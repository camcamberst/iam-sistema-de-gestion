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d400beda21569b7/Mejoras ( Innova )/"/>
    </mc:Choice>
  </mc:AlternateContent>
  <xr:revisionPtr revIDLastSave="0" documentId="8_{BD02EB53-A923-4DFD-BA87-E09029C69586}" xr6:coauthVersionLast="47" xr6:coauthVersionMax="47" xr10:uidLastSave="{00000000-0000-0000-0000-000000000000}"/>
  <bookViews>
    <workbookView xWindow="-120" yWindow="-120" windowWidth="38640" windowHeight="21240" firstSheet="10" activeTab="10" xr2:uid="{00000000-000D-0000-FFFF-FFFF00000000}"/>
  </bookViews>
  <sheets>
    <sheet name="Enero" sheetId="34" r:id="rId1"/>
    <sheet name="Febrero" sheetId="35" r:id="rId2"/>
    <sheet name="Marzo" sheetId="36" r:id="rId3"/>
    <sheet name="Abril" sheetId="37" r:id="rId4"/>
    <sheet name="Mayo" sheetId="38" r:id="rId5"/>
    <sheet name="Junio" sheetId="39" r:id="rId6"/>
    <sheet name="Julio" sheetId="40" r:id="rId7"/>
    <sheet name="Agosto" sheetId="41" r:id="rId8"/>
    <sheet name="Septiembre" sheetId="42" r:id="rId9"/>
    <sheet name="Octubre" sheetId="43" r:id="rId10"/>
    <sheet name="Noviembre" sheetId="44" r:id="rId11"/>
  </sheets>
  <externalReferences>
    <externalReference r:id="rId12"/>
  </externalReferences>
  <definedNames>
    <definedName name="_xlnm._FilterDatabase" localSheetId="3" hidden="1">Abril!#REF!</definedName>
    <definedName name="_xlnm._FilterDatabase" localSheetId="7" hidden="1">Agosto!#REF!</definedName>
    <definedName name="_xlnm._FilterDatabase" localSheetId="0" hidden="1">Enero!#REF!</definedName>
    <definedName name="_xlnm._FilterDatabase" localSheetId="1" hidden="1">Febrero!#REF!</definedName>
    <definedName name="_xlnm._FilterDatabase" localSheetId="6" hidden="1">Julio!#REF!</definedName>
    <definedName name="_xlnm._FilterDatabase" localSheetId="5" hidden="1">Junio!#REF!</definedName>
    <definedName name="_xlnm._FilterDatabase" localSheetId="2" hidden="1">Marzo!#REF!</definedName>
    <definedName name="_xlnm._FilterDatabase" localSheetId="4" hidden="1">Mayo!#REF!</definedName>
    <definedName name="_xlnm._FilterDatabase" localSheetId="10" hidden="1">Noviembre!#REF!</definedName>
    <definedName name="_xlnm._FilterDatabase" localSheetId="9" hidden="1">Octubre!#REF!</definedName>
    <definedName name="_xlnm._FilterDatabase" localSheetId="8" hidden="1">Septiembre!#REF!</definedName>
    <definedName name="Código1">[1]Agosto!$D$3</definedName>
    <definedName name="Código2">[1]Agosto!$H$3</definedName>
    <definedName name="Código3">[1]Agosto!$L$3</definedName>
    <definedName name="Código4">[1]Agosto!$P$3</definedName>
    <definedName name="Código5">[1]Agosto!$T$3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H26" i="44" l="1"/>
  <c r="CF26" i="44"/>
  <c r="CE26" i="44"/>
  <c r="CB26" i="44"/>
  <c r="CA26" i="44"/>
  <c r="BX26" i="44"/>
  <c r="BW26" i="44"/>
  <c r="BT26" i="44"/>
  <c r="BS26" i="44"/>
  <c r="BP26" i="44"/>
  <c r="BN26" i="44"/>
  <c r="BJ26" i="44"/>
  <c r="BI26" i="44"/>
  <c r="BF26" i="44"/>
  <c r="BE26" i="44"/>
  <c r="AZ26" i="44"/>
  <c r="AV26" i="44"/>
  <c r="AT26" i="44"/>
  <c r="AN26" i="44"/>
  <c r="AM26" i="44"/>
  <c r="AJ26" i="44"/>
  <c r="AI26" i="44"/>
  <c r="AF26" i="44"/>
  <c r="AE26" i="44"/>
  <c r="AB26" i="44"/>
  <c r="AA26" i="44"/>
  <c r="W26" i="44"/>
  <c r="V26" i="44"/>
  <c r="S26" i="44"/>
  <c r="Q26" i="44"/>
  <c r="P26" i="44"/>
  <c r="M26" i="44"/>
  <c r="K26" i="44"/>
  <c r="J26" i="44"/>
  <c r="G26" i="44"/>
  <c r="CS26" i="44" s="1"/>
  <c r="F26" i="44"/>
  <c r="CR26" i="44" s="1"/>
  <c r="CH24" i="44"/>
  <c r="CF24" i="44"/>
  <c r="CE24" i="44"/>
  <c r="CB24" i="44"/>
  <c r="CA24" i="44"/>
  <c r="BX24" i="44"/>
  <c r="BW24" i="44"/>
  <c r="BT24" i="44"/>
  <c r="BS24" i="44"/>
  <c r="BP24" i="44"/>
  <c r="BN24" i="44"/>
  <c r="BJ24" i="44"/>
  <c r="BI24" i="44"/>
  <c r="BF24" i="44"/>
  <c r="BE24" i="44"/>
  <c r="AZ24" i="44"/>
  <c r="AV24" i="44"/>
  <c r="AT24" i="44"/>
  <c r="AN24" i="44"/>
  <c r="AM24" i="44"/>
  <c r="AJ24" i="44"/>
  <c r="AI24" i="44"/>
  <c r="AF24" i="44"/>
  <c r="AE24" i="44"/>
  <c r="AB24" i="44"/>
  <c r="AA24" i="44"/>
  <c r="W24" i="44"/>
  <c r="V24" i="44"/>
  <c r="S24" i="44"/>
  <c r="Q24" i="44"/>
  <c r="P24" i="44"/>
  <c r="M24" i="44"/>
  <c r="K24" i="44"/>
  <c r="J24" i="44"/>
  <c r="G24" i="44"/>
  <c r="CS24" i="44" s="1"/>
  <c r="F24" i="44"/>
  <c r="CR24" i="44" s="1"/>
  <c r="CH25" i="44"/>
  <c r="CF25" i="44"/>
  <c r="CE25" i="44"/>
  <c r="CB25" i="44"/>
  <c r="CA25" i="44"/>
  <c r="BX25" i="44"/>
  <c r="BW25" i="44"/>
  <c r="BT25" i="44"/>
  <c r="BS25" i="44"/>
  <c r="BP25" i="44"/>
  <c r="BN25" i="44"/>
  <c r="BJ25" i="44"/>
  <c r="BI25" i="44"/>
  <c r="BF25" i="44"/>
  <c r="BE25" i="44"/>
  <c r="AZ25" i="44"/>
  <c r="AV25" i="44"/>
  <c r="AT25" i="44"/>
  <c r="AN25" i="44"/>
  <c r="AM25" i="44"/>
  <c r="AJ25" i="44"/>
  <c r="AI25" i="44"/>
  <c r="AF25" i="44"/>
  <c r="AE25" i="44"/>
  <c r="AB25" i="44"/>
  <c r="AA25" i="44"/>
  <c r="W25" i="44"/>
  <c r="V25" i="44"/>
  <c r="S25" i="44"/>
  <c r="Q25" i="44"/>
  <c r="P25" i="44"/>
  <c r="M25" i="44"/>
  <c r="K25" i="44"/>
  <c r="J25" i="44"/>
  <c r="G25" i="44"/>
  <c r="CS25" i="44" s="1"/>
  <c r="F25" i="44"/>
  <c r="CR25" i="44" s="1"/>
  <c r="CC15" i="44"/>
  <c r="CP29" i="44"/>
  <c r="CO29" i="44"/>
  <c r="CN29" i="44"/>
  <c r="CM29" i="44"/>
  <c r="CL29" i="44"/>
  <c r="CK29" i="44"/>
  <c r="CJ29" i="44"/>
  <c r="CI29" i="44"/>
  <c r="CG29" i="44"/>
  <c r="BZ29" i="44"/>
  <c r="BY29" i="44"/>
  <c r="BV29" i="44"/>
  <c r="BU29" i="44"/>
  <c r="BR29" i="44"/>
  <c r="BQ29" i="44"/>
  <c r="BO29" i="44"/>
  <c r="BM29" i="44"/>
  <c r="BL29" i="44"/>
  <c r="BK29" i="44"/>
  <c r="BH29" i="44"/>
  <c r="BG29" i="44"/>
  <c r="BD29" i="44"/>
  <c r="BB29" i="44"/>
  <c r="BA29" i="44"/>
  <c r="AY29" i="44"/>
  <c r="AX29" i="44"/>
  <c r="AW29" i="44"/>
  <c r="AU29" i="44"/>
  <c r="AS29" i="44"/>
  <c r="AR29" i="44"/>
  <c r="AQ29" i="44"/>
  <c r="AP29" i="44"/>
  <c r="AO29" i="44"/>
  <c r="AL29" i="44"/>
  <c r="AK29" i="44"/>
  <c r="AH29" i="44"/>
  <c r="AG29" i="44"/>
  <c r="AD29" i="44"/>
  <c r="AC29" i="44"/>
  <c r="Z29" i="44"/>
  <c r="Y29" i="44"/>
  <c r="X29" i="44"/>
  <c r="U29" i="44"/>
  <c r="T29" i="44"/>
  <c r="R29" i="44"/>
  <c r="O29" i="44"/>
  <c r="N29" i="44"/>
  <c r="L29" i="44"/>
  <c r="I29" i="44"/>
  <c r="H29" i="44"/>
  <c r="E29" i="44"/>
  <c r="D29" i="44"/>
  <c r="CH28" i="44"/>
  <c r="CF28" i="44"/>
  <c r="CE28" i="44"/>
  <c r="CB28" i="44"/>
  <c r="CA28" i="44"/>
  <c r="BX28" i="44"/>
  <c r="BW28" i="44"/>
  <c r="BT28" i="44"/>
  <c r="BS28" i="44"/>
  <c r="BP28" i="44"/>
  <c r="BN28" i="44"/>
  <c r="BJ28" i="44"/>
  <c r="BI28" i="44"/>
  <c r="BF28" i="44"/>
  <c r="BE28" i="44"/>
  <c r="AZ28" i="44"/>
  <c r="AV28" i="44"/>
  <c r="AT28" i="44"/>
  <c r="AN28" i="44"/>
  <c r="AM28" i="44"/>
  <c r="AJ28" i="44"/>
  <c r="AI28" i="44"/>
  <c r="AF28" i="44"/>
  <c r="AE28" i="44"/>
  <c r="AB28" i="44"/>
  <c r="AA28" i="44"/>
  <c r="W28" i="44"/>
  <c r="V28" i="44"/>
  <c r="S28" i="44"/>
  <c r="Q28" i="44"/>
  <c r="P28" i="44"/>
  <c r="M28" i="44"/>
  <c r="K28" i="44"/>
  <c r="J28" i="44"/>
  <c r="G28" i="44"/>
  <c r="CS28" i="44" s="1"/>
  <c r="F28" i="44"/>
  <c r="CR28" i="44" s="1"/>
  <c r="CH27" i="44"/>
  <c r="CF27" i="44"/>
  <c r="CE27" i="44"/>
  <c r="CB27" i="44"/>
  <c r="CA27" i="44"/>
  <c r="BX27" i="44"/>
  <c r="BW27" i="44"/>
  <c r="BT27" i="44"/>
  <c r="BS27" i="44"/>
  <c r="BP27" i="44"/>
  <c r="BN27" i="44"/>
  <c r="BJ27" i="44"/>
  <c r="BI27" i="44"/>
  <c r="BF27" i="44"/>
  <c r="BE27" i="44"/>
  <c r="AZ27" i="44"/>
  <c r="AV27" i="44"/>
  <c r="AT27" i="44"/>
  <c r="AN27" i="44"/>
  <c r="AM27" i="44"/>
  <c r="AJ27" i="44"/>
  <c r="AI27" i="44"/>
  <c r="AF27" i="44"/>
  <c r="AE27" i="44"/>
  <c r="AB27" i="44"/>
  <c r="AA27" i="44"/>
  <c r="W27" i="44"/>
  <c r="V27" i="44"/>
  <c r="S27" i="44"/>
  <c r="Q27" i="44"/>
  <c r="P27" i="44"/>
  <c r="M27" i="44"/>
  <c r="K27" i="44"/>
  <c r="J27" i="44"/>
  <c r="G27" i="44"/>
  <c r="CS27" i="44" s="1"/>
  <c r="F27" i="44"/>
  <c r="CR27" i="44" s="1"/>
  <c r="CH23" i="44"/>
  <c r="CF23" i="44"/>
  <c r="CE23" i="44"/>
  <c r="CB23" i="44"/>
  <c r="CA23" i="44"/>
  <c r="BX23" i="44"/>
  <c r="BW23" i="44"/>
  <c r="BT23" i="44"/>
  <c r="BS23" i="44"/>
  <c r="BP23" i="44"/>
  <c r="BN23" i="44"/>
  <c r="BJ23" i="44"/>
  <c r="BI23" i="44"/>
  <c r="BF23" i="44"/>
  <c r="BE23" i="44"/>
  <c r="AZ23" i="44"/>
  <c r="AV23" i="44"/>
  <c r="AT23" i="44"/>
  <c r="AN23" i="44"/>
  <c r="AM23" i="44"/>
  <c r="AJ23" i="44"/>
  <c r="AI23" i="44"/>
  <c r="AF23" i="44"/>
  <c r="AE23" i="44"/>
  <c r="AB23" i="44"/>
  <c r="AA23" i="44"/>
  <c r="W23" i="44"/>
  <c r="V23" i="44"/>
  <c r="S23" i="44"/>
  <c r="Q23" i="44"/>
  <c r="P23" i="44"/>
  <c r="M23" i="44"/>
  <c r="K23" i="44"/>
  <c r="J23" i="44"/>
  <c r="G23" i="44"/>
  <c r="CS23" i="44" s="1"/>
  <c r="F23" i="44"/>
  <c r="CR23" i="44" s="1"/>
  <c r="CH22" i="44"/>
  <c r="CF22" i="44"/>
  <c r="CE22" i="44"/>
  <c r="CB22" i="44"/>
  <c r="CA22" i="44"/>
  <c r="BX22" i="44"/>
  <c r="BW22" i="44"/>
  <c r="BT22" i="44"/>
  <c r="BS22" i="44"/>
  <c r="BP22" i="44"/>
  <c r="BN22" i="44"/>
  <c r="BJ22" i="44"/>
  <c r="BI22" i="44"/>
  <c r="BF22" i="44"/>
  <c r="BE22" i="44"/>
  <c r="AZ22" i="44"/>
  <c r="AV22" i="44"/>
  <c r="AT22" i="44"/>
  <c r="AN22" i="44"/>
  <c r="AM22" i="44"/>
  <c r="AJ22" i="44"/>
  <c r="AI22" i="44"/>
  <c r="AF22" i="44"/>
  <c r="AE22" i="44"/>
  <c r="AB22" i="44"/>
  <c r="AA22" i="44"/>
  <c r="W22" i="44"/>
  <c r="V22" i="44"/>
  <c r="S22" i="44"/>
  <c r="Q22" i="44"/>
  <c r="P22" i="44"/>
  <c r="M22" i="44"/>
  <c r="K22" i="44"/>
  <c r="J22" i="44"/>
  <c r="G22" i="44"/>
  <c r="CS22" i="44" s="1"/>
  <c r="F22" i="44"/>
  <c r="CR22" i="44" s="1"/>
  <c r="CH21" i="44"/>
  <c r="CF21" i="44"/>
  <c r="CE21" i="44"/>
  <c r="CB21" i="44"/>
  <c r="CA21" i="44"/>
  <c r="BX21" i="44"/>
  <c r="BW21" i="44"/>
  <c r="BT21" i="44"/>
  <c r="BS21" i="44"/>
  <c r="BP21" i="44"/>
  <c r="BN21" i="44"/>
  <c r="BJ21" i="44"/>
  <c r="BI21" i="44"/>
  <c r="BF21" i="44"/>
  <c r="BE21" i="44"/>
  <c r="AZ21" i="44"/>
  <c r="AV21" i="44"/>
  <c r="AT21" i="44"/>
  <c r="AN21" i="44"/>
  <c r="AM21" i="44"/>
  <c r="AJ21" i="44"/>
  <c r="AI21" i="44"/>
  <c r="AF21" i="44"/>
  <c r="AE21" i="44"/>
  <c r="AB21" i="44"/>
  <c r="AA21" i="44"/>
  <c r="W21" i="44"/>
  <c r="V21" i="44"/>
  <c r="S21" i="44"/>
  <c r="Q21" i="44"/>
  <c r="P21" i="44"/>
  <c r="M21" i="44"/>
  <c r="K21" i="44"/>
  <c r="J21" i="44"/>
  <c r="G21" i="44"/>
  <c r="CS21" i="44" s="1"/>
  <c r="F21" i="44"/>
  <c r="CR21" i="44" s="1"/>
  <c r="CH20" i="44"/>
  <c r="CF20" i="44"/>
  <c r="CE20" i="44"/>
  <c r="CB20" i="44"/>
  <c r="CA20" i="44"/>
  <c r="BX20" i="44"/>
  <c r="BW20" i="44"/>
  <c r="BT20" i="44"/>
  <c r="BS20" i="44"/>
  <c r="BP20" i="44"/>
  <c r="BN20" i="44"/>
  <c r="BJ20" i="44"/>
  <c r="BI20" i="44"/>
  <c r="BF20" i="44"/>
  <c r="BE20" i="44"/>
  <c r="AZ20" i="44"/>
  <c r="AV20" i="44"/>
  <c r="AT20" i="44"/>
  <c r="AN20" i="44"/>
  <c r="AM20" i="44"/>
  <c r="AJ20" i="44"/>
  <c r="AI20" i="44"/>
  <c r="AF20" i="44"/>
  <c r="AE20" i="44"/>
  <c r="AB20" i="44"/>
  <c r="AA20" i="44"/>
  <c r="W20" i="44"/>
  <c r="V20" i="44"/>
  <c r="S20" i="44"/>
  <c r="Q20" i="44"/>
  <c r="P20" i="44"/>
  <c r="M20" i="44"/>
  <c r="K20" i="44"/>
  <c r="J20" i="44"/>
  <c r="G20" i="44"/>
  <c r="CS20" i="44" s="1"/>
  <c r="F20" i="44"/>
  <c r="CR20" i="44" s="1"/>
  <c r="CH19" i="44"/>
  <c r="CF19" i="44"/>
  <c r="CE19" i="44"/>
  <c r="CB19" i="44"/>
  <c r="CA19" i="44"/>
  <c r="BX19" i="44"/>
  <c r="BW19" i="44"/>
  <c r="BT19" i="44"/>
  <c r="BS19" i="44"/>
  <c r="BP19" i="44"/>
  <c r="BN19" i="44"/>
  <c r="BJ19" i="44"/>
  <c r="BI19" i="44"/>
  <c r="BF19" i="44"/>
  <c r="BE19" i="44"/>
  <c r="AZ19" i="44"/>
  <c r="AV19" i="44"/>
  <c r="AT19" i="44"/>
  <c r="AN19" i="44"/>
  <c r="AM19" i="44"/>
  <c r="AJ19" i="44"/>
  <c r="AI19" i="44"/>
  <c r="AF19" i="44"/>
  <c r="AE19" i="44"/>
  <c r="AB19" i="44"/>
  <c r="AA19" i="44"/>
  <c r="W19" i="44"/>
  <c r="V19" i="44"/>
  <c r="S19" i="44"/>
  <c r="Q19" i="44"/>
  <c r="P19" i="44"/>
  <c r="M19" i="44"/>
  <c r="K19" i="44"/>
  <c r="J19" i="44"/>
  <c r="G19" i="44"/>
  <c r="CS19" i="44" s="1"/>
  <c r="F19" i="44"/>
  <c r="CR19" i="44" s="1"/>
  <c r="CH18" i="44"/>
  <c r="CF18" i="44"/>
  <c r="CE18" i="44"/>
  <c r="CB18" i="44"/>
  <c r="CA18" i="44"/>
  <c r="BX18" i="44"/>
  <c r="BW18" i="44"/>
  <c r="BT18" i="44"/>
  <c r="BS18" i="44"/>
  <c r="BP18" i="44"/>
  <c r="BN18" i="44"/>
  <c r="BJ18" i="44"/>
  <c r="BI18" i="44"/>
  <c r="BF18" i="44"/>
  <c r="BE18" i="44"/>
  <c r="AZ18" i="44"/>
  <c r="AV18" i="44"/>
  <c r="AT18" i="44"/>
  <c r="AN18" i="44"/>
  <c r="AM18" i="44"/>
  <c r="AJ18" i="44"/>
  <c r="AI18" i="44"/>
  <c r="AF18" i="44"/>
  <c r="AE18" i="44"/>
  <c r="AB18" i="44"/>
  <c r="AA18" i="44"/>
  <c r="W18" i="44"/>
  <c r="V18" i="44"/>
  <c r="S18" i="44"/>
  <c r="Q18" i="44"/>
  <c r="P18" i="44"/>
  <c r="M18" i="44"/>
  <c r="K18" i="44"/>
  <c r="J18" i="44"/>
  <c r="G18" i="44"/>
  <c r="CS18" i="44" s="1"/>
  <c r="F18" i="44"/>
  <c r="CR18" i="44" s="1"/>
  <c r="CH17" i="44"/>
  <c r="CF17" i="44"/>
  <c r="CE17" i="44"/>
  <c r="CB17" i="44"/>
  <c r="CA17" i="44"/>
  <c r="BX17" i="44"/>
  <c r="BW17" i="44"/>
  <c r="BT17" i="44"/>
  <c r="BS17" i="44"/>
  <c r="BP17" i="44"/>
  <c r="BN17" i="44"/>
  <c r="BJ17" i="44"/>
  <c r="BI17" i="44"/>
  <c r="BF17" i="44"/>
  <c r="BE17" i="44"/>
  <c r="AZ17" i="44"/>
  <c r="AV17" i="44"/>
  <c r="AT17" i="44"/>
  <c r="AN17" i="44"/>
  <c r="AM17" i="44"/>
  <c r="AJ17" i="44"/>
  <c r="AI17" i="44"/>
  <c r="AF17" i="44"/>
  <c r="AE17" i="44"/>
  <c r="AB17" i="44"/>
  <c r="AA17" i="44"/>
  <c r="W17" i="44"/>
  <c r="V17" i="44"/>
  <c r="S17" i="44"/>
  <c r="Q17" i="44"/>
  <c r="P17" i="44"/>
  <c r="M17" i="44"/>
  <c r="K17" i="44"/>
  <c r="J17" i="44"/>
  <c r="G17" i="44"/>
  <c r="CS17" i="44" s="1"/>
  <c r="F17" i="44"/>
  <c r="CR17" i="44" s="1"/>
  <c r="CH16" i="44"/>
  <c r="CF16" i="44"/>
  <c r="CE16" i="44"/>
  <c r="CB16" i="44"/>
  <c r="CA16" i="44"/>
  <c r="BX16" i="44"/>
  <c r="BW16" i="44"/>
  <c r="BT16" i="44"/>
  <c r="BS16" i="44"/>
  <c r="BP16" i="44"/>
  <c r="BN16" i="44"/>
  <c r="BJ16" i="44"/>
  <c r="BI16" i="44"/>
  <c r="BF16" i="44"/>
  <c r="BE16" i="44"/>
  <c r="AZ16" i="44"/>
  <c r="AV16" i="44"/>
  <c r="AT16" i="44"/>
  <c r="AN16" i="44"/>
  <c r="AM16" i="44"/>
  <c r="AJ16" i="44"/>
  <c r="AI16" i="44"/>
  <c r="AF16" i="44"/>
  <c r="AE16" i="44"/>
  <c r="AB16" i="44"/>
  <c r="AA16" i="44"/>
  <c r="W16" i="44"/>
  <c r="V16" i="44"/>
  <c r="S16" i="44"/>
  <c r="Q16" i="44"/>
  <c r="P16" i="44"/>
  <c r="M16" i="44"/>
  <c r="K16" i="44"/>
  <c r="J16" i="44"/>
  <c r="G16" i="44"/>
  <c r="CS16" i="44" s="1"/>
  <c r="F16" i="44"/>
  <c r="CR16" i="44" s="1"/>
  <c r="CH15" i="44"/>
  <c r="CB15" i="44"/>
  <c r="CA15" i="44"/>
  <c r="BX15" i="44"/>
  <c r="BW15" i="44"/>
  <c r="BT15" i="44"/>
  <c r="BS15" i="44"/>
  <c r="BP15" i="44"/>
  <c r="BN15" i="44"/>
  <c r="BJ15" i="44"/>
  <c r="BI15" i="44"/>
  <c r="BF15" i="44"/>
  <c r="BE15" i="44"/>
  <c r="AZ15" i="44"/>
  <c r="AV15" i="44"/>
  <c r="AT15" i="44"/>
  <c r="AN15" i="44"/>
  <c r="AM15" i="44"/>
  <c r="AJ15" i="44"/>
  <c r="AI15" i="44"/>
  <c r="AF15" i="44"/>
  <c r="AE15" i="44"/>
  <c r="AB15" i="44"/>
  <c r="AA15" i="44"/>
  <c r="W15" i="44"/>
  <c r="V15" i="44"/>
  <c r="S15" i="44"/>
  <c r="Q15" i="44"/>
  <c r="P15" i="44"/>
  <c r="M15" i="44"/>
  <c r="K15" i="44"/>
  <c r="J15" i="44"/>
  <c r="G15" i="44"/>
  <c r="F15" i="44"/>
  <c r="CH14" i="44"/>
  <c r="CF14" i="44"/>
  <c r="CE14" i="44"/>
  <c r="CB14" i="44"/>
  <c r="CA14" i="44"/>
  <c r="BX14" i="44"/>
  <c r="BW14" i="44"/>
  <c r="BT14" i="44"/>
  <c r="BS14" i="44"/>
  <c r="BP14" i="44"/>
  <c r="BN14" i="44"/>
  <c r="BJ14" i="44"/>
  <c r="BI14" i="44"/>
  <c r="BF14" i="44"/>
  <c r="BE14" i="44"/>
  <c r="AZ14" i="44"/>
  <c r="AV14" i="44"/>
  <c r="AT14" i="44"/>
  <c r="AN14" i="44"/>
  <c r="AM14" i="44"/>
  <c r="AJ14" i="44"/>
  <c r="AI14" i="44"/>
  <c r="AF14" i="44"/>
  <c r="AE14" i="44"/>
  <c r="AB14" i="44"/>
  <c r="AA14" i="44"/>
  <c r="W14" i="44"/>
  <c r="V14" i="44"/>
  <c r="S14" i="44"/>
  <c r="Q14" i="44"/>
  <c r="P14" i="44"/>
  <c r="M14" i="44"/>
  <c r="K14" i="44"/>
  <c r="J14" i="44"/>
  <c r="G14" i="44"/>
  <c r="CS14" i="44" s="1"/>
  <c r="F14" i="44"/>
  <c r="CR14" i="44" s="1"/>
  <c r="CX29" i="44"/>
  <c r="CH13" i="44"/>
  <c r="CF13" i="44"/>
  <c r="CE13" i="44"/>
  <c r="CB13" i="44"/>
  <c r="CA13" i="44"/>
  <c r="BX13" i="44"/>
  <c r="BW13" i="44"/>
  <c r="BT13" i="44"/>
  <c r="BS13" i="44"/>
  <c r="BP13" i="44"/>
  <c r="BN13" i="44"/>
  <c r="BJ13" i="44"/>
  <c r="BI13" i="44"/>
  <c r="BF13" i="44"/>
  <c r="BE13" i="44"/>
  <c r="AZ13" i="44"/>
  <c r="AV13" i="44"/>
  <c r="AT13" i="44"/>
  <c r="AN13" i="44"/>
  <c r="AM13" i="44"/>
  <c r="AJ13" i="44"/>
  <c r="AI13" i="44"/>
  <c r="AF13" i="44"/>
  <c r="AE13" i="44"/>
  <c r="AB13" i="44"/>
  <c r="AA13" i="44"/>
  <c r="W13" i="44"/>
  <c r="V13" i="44"/>
  <c r="S13" i="44"/>
  <c r="Q13" i="44"/>
  <c r="P13" i="44"/>
  <c r="M13" i="44"/>
  <c r="K13" i="44"/>
  <c r="J13" i="44"/>
  <c r="G13" i="44"/>
  <c r="CS13" i="44" s="1"/>
  <c r="F13" i="44"/>
  <c r="CR13" i="44" s="1"/>
  <c r="CH12" i="44"/>
  <c r="CF12" i="44"/>
  <c r="CE12" i="44"/>
  <c r="CB12" i="44"/>
  <c r="CA12" i="44"/>
  <c r="BX12" i="44"/>
  <c r="BW12" i="44"/>
  <c r="BT12" i="44"/>
  <c r="BS12" i="44"/>
  <c r="BP12" i="44"/>
  <c r="BN12" i="44"/>
  <c r="BJ12" i="44"/>
  <c r="BI12" i="44"/>
  <c r="BF12" i="44"/>
  <c r="BE12" i="44"/>
  <c r="AZ12" i="44"/>
  <c r="AV12" i="44"/>
  <c r="AT12" i="44"/>
  <c r="AN12" i="44"/>
  <c r="AM12" i="44"/>
  <c r="AJ12" i="44"/>
  <c r="AI12" i="44"/>
  <c r="AF12" i="44"/>
  <c r="AE12" i="44"/>
  <c r="AB12" i="44"/>
  <c r="AA12" i="44"/>
  <c r="W12" i="44"/>
  <c r="V12" i="44"/>
  <c r="S12" i="44"/>
  <c r="Q12" i="44"/>
  <c r="P12" i="44"/>
  <c r="M12" i="44"/>
  <c r="K12" i="44"/>
  <c r="J12" i="44"/>
  <c r="G12" i="44"/>
  <c r="CS12" i="44" s="1"/>
  <c r="F12" i="44"/>
  <c r="CR12" i="44" s="1"/>
  <c r="CH11" i="44"/>
  <c r="CF11" i="44"/>
  <c r="CE11" i="44"/>
  <c r="CB11" i="44"/>
  <c r="CA11" i="44"/>
  <c r="BX11" i="44"/>
  <c r="BW11" i="44"/>
  <c r="BT11" i="44"/>
  <c r="BS11" i="44"/>
  <c r="BP11" i="44"/>
  <c r="BN11" i="44"/>
  <c r="BJ11" i="44"/>
  <c r="BI11" i="44"/>
  <c r="BF11" i="44"/>
  <c r="BE11" i="44"/>
  <c r="AZ11" i="44"/>
  <c r="AV11" i="44"/>
  <c r="AT11" i="44"/>
  <c r="AN11" i="44"/>
  <c r="AM11" i="44"/>
  <c r="AJ11" i="44"/>
  <c r="AI11" i="44"/>
  <c r="AF11" i="44"/>
  <c r="AE11" i="44"/>
  <c r="AB11" i="44"/>
  <c r="AA11" i="44"/>
  <c r="W11" i="44"/>
  <c r="V11" i="44"/>
  <c r="S11" i="44"/>
  <c r="Q11" i="44"/>
  <c r="P11" i="44"/>
  <c r="M11" i="44"/>
  <c r="K11" i="44"/>
  <c r="J11" i="44"/>
  <c r="G11" i="44"/>
  <c r="CS11" i="44" s="1"/>
  <c r="F11" i="44"/>
  <c r="CR11" i="44" s="1"/>
  <c r="CH10" i="44"/>
  <c r="CF10" i="44"/>
  <c r="CE10" i="44"/>
  <c r="CB10" i="44"/>
  <c r="CA10" i="44"/>
  <c r="BX10" i="44"/>
  <c r="BW10" i="44"/>
  <c r="BT10" i="44"/>
  <c r="BS10" i="44"/>
  <c r="BP10" i="44"/>
  <c r="BN10" i="44"/>
  <c r="BJ10" i="44"/>
  <c r="BI10" i="44"/>
  <c r="BF10" i="44"/>
  <c r="BE10" i="44"/>
  <c r="AZ10" i="44"/>
  <c r="AV10" i="44"/>
  <c r="AT10" i="44"/>
  <c r="AN10" i="44"/>
  <c r="AM10" i="44"/>
  <c r="AJ10" i="44"/>
  <c r="AI10" i="44"/>
  <c r="AF10" i="44"/>
  <c r="AE10" i="44"/>
  <c r="AB10" i="44"/>
  <c r="AA10" i="44"/>
  <c r="W10" i="44"/>
  <c r="V10" i="44"/>
  <c r="S10" i="44"/>
  <c r="Q10" i="44"/>
  <c r="P10" i="44"/>
  <c r="M10" i="44"/>
  <c r="K10" i="44"/>
  <c r="J10" i="44"/>
  <c r="G10" i="44"/>
  <c r="CS10" i="44" s="1"/>
  <c r="F10" i="44"/>
  <c r="CR10" i="44" s="1"/>
  <c r="CH9" i="44"/>
  <c r="CF9" i="44"/>
  <c r="CE9" i="44"/>
  <c r="CB9" i="44"/>
  <c r="CA9" i="44"/>
  <c r="BX9" i="44"/>
  <c r="BW9" i="44"/>
  <c r="BT9" i="44"/>
  <c r="BS9" i="44"/>
  <c r="BP9" i="44"/>
  <c r="BN9" i="44"/>
  <c r="BJ9" i="44"/>
  <c r="BI9" i="44"/>
  <c r="BF9" i="44"/>
  <c r="BE9" i="44"/>
  <c r="AZ9" i="44"/>
  <c r="AV9" i="44"/>
  <c r="AT9" i="44"/>
  <c r="AN9" i="44"/>
  <c r="AM9" i="44"/>
  <c r="AJ9" i="44"/>
  <c r="AI9" i="44"/>
  <c r="AF9" i="44"/>
  <c r="AE9" i="44"/>
  <c r="AB9" i="44"/>
  <c r="AA9" i="44"/>
  <c r="W9" i="44"/>
  <c r="V9" i="44"/>
  <c r="S9" i="44"/>
  <c r="Q9" i="44"/>
  <c r="P9" i="44"/>
  <c r="M9" i="44"/>
  <c r="K9" i="44"/>
  <c r="J9" i="44"/>
  <c r="G9" i="44"/>
  <c r="CS9" i="44" s="1"/>
  <c r="F9" i="44"/>
  <c r="CR9" i="44" s="1"/>
  <c r="CH8" i="44"/>
  <c r="CF8" i="44"/>
  <c r="CE8" i="44"/>
  <c r="CB8" i="44"/>
  <c r="CA8" i="44"/>
  <c r="BX8" i="44"/>
  <c r="BW8" i="44"/>
  <c r="BT8" i="44"/>
  <c r="BS8" i="44"/>
  <c r="BP8" i="44"/>
  <c r="BN8" i="44"/>
  <c r="BJ8" i="44"/>
  <c r="BI8" i="44"/>
  <c r="BF8" i="44"/>
  <c r="AZ8" i="44"/>
  <c r="AV8" i="44"/>
  <c r="AT8" i="44"/>
  <c r="AN8" i="44"/>
  <c r="AM8" i="44"/>
  <c r="AJ8" i="44"/>
  <c r="AI8" i="44"/>
  <c r="AF8" i="44"/>
  <c r="AE8" i="44"/>
  <c r="AB8" i="44"/>
  <c r="AA8" i="44"/>
  <c r="W8" i="44"/>
  <c r="V8" i="44"/>
  <c r="S8" i="44"/>
  <c r="Q8" i="44"/>
  <c r="P8" i="44"/>
  <c r="M8" i="44"/>
  <c r="K8" i="44"/>
  <c r="J8" i="44"/>
  <c r="G8" i="44"/>
  <c r="CS8" i="44" s="1"/>
  <c r="F8" i="44"/>
  <c r="CH7" i="44"/>
  <c r="CF7" i="44"/>
  <c r="CE7" i="44"/>
  <c r="CB7" i="44"/>
  <c r="CB29" i="44" s="1"/>
  <c r="CA7" i="44"/>
  <c r="CA29" i="44" s="1"/>
  <c r="BX7" i="44"/>
  <c r="BX29" i="44" s="1"/>
  <c r="BW7" i="44"/>
  <c r="BW29" i="44" s="1"/>
  <c r="BT7" i="44"/>
  <c r="BT29" i="44" s="1"/>
  <c r="BS7" i="44"/>
  <c r="BS29" i="44" s="1"/>
  <c r="BP7" i="44"/>
  <c r="BP29" i="44" s="1"/>
  <c r="BN7" i="44"/>
  <c r="BN29" i="44" s="1"/>
  <c r="BJ7" i="44"/>
  <c r="BJ29" i="44" s="1"/>
  <c r="BI7" i="44"/>
  <c r="BI29" i="44" s="1"/>
  <c r="BF7" i="44"/>
  <c r="BF29" i="44" s="1"/>
  <c r="BE7" i="44"/>
  <c r="AZ7" i="44"/>
  <c r="AZ29" i="44" s="1"/>
  <c r="AV7" i="44"/>
  <c r="AV29" i="44" s="1"/>
  <c r="AT7" i="44"/>
  <c r="AT29" i="44" s="1"/>
  <c r="AN7" i="44"/>
  <c r="AN29" i="44" s="1"/>
  <c r="AM7" i="44"/>
  <c r="AM29" i="44" s="1"/>
  <c r="AJ7" i="44"/>
  <c r="AJ29" i="44" s="1"/>
  <c r="AI7" i="44"/>
  <c r="AI29" i="44" s="1"/>
  <c r="AF7" i="44"/>
  <c r="AF29" i="44" s="1"/>
  <c r="AE7" i="44"/>
  <c r="AE29" i="44" s="1"/>
  <c r="AB7" i="44"/>
  <c r="AB29" i="44" s="1"/>
  <c r="AA7" i="44"/>
  <c r="AA29" i="44" s="1"/>
  <c r="W7" i="44"/>
  <c r="W29" i="44" s="1"/>
  <c r="V7" i="44"/>
  <c r="V29" i="44" s="1"/>
  <c r="S7" i="44"/>
  <c r="S29" i="44" s="1"/>
  <c r="Q7" i="44"/>
  <c r="Q29" i="44" s="1"/>
  <c r="P7" i="44"/>
  <c r="P29" i="44" s="1"/>
  <c r="M7" i="44"/>
  <c r="M29" i="44" s="1"/>
  <c r="K7" i="44"/>
  <c r="K29" i="44" s="1"/>
  <c r="J7" i="44"/>
  <c r="J29" i="44" s="1"/>
  <c r="G7" i="44"/>
  <c r="F7" i="44"/>
  <c r="CU26" i="43"/>
  <c r="CX14" i="43"/>
  <c r="CX13" i="43"/>
  <c r="CD15" i="43"/>
  <c r="BC8" i="43"/>
  <c r="CC15" i="43"/>
  <c r="M21" i="43"/>
  <c r="CX26" i="43"/>
  <c r="CP26" i="43"/>
  <c r="CO26" i="43"/>
  <c r="CN26" i="43"/>
  <c r="CM26" i="43"/>
  <c r="CL26" i="43"/>
  <c r="CK26" i="43"/>
  <c r="CJ26" i="43"/>
  <c r="CI26" i="43"/>
  <c r="CG26" i="43"/>
  <c r="BZ26" i="43"/>
  <c r="BY26" i="43"/>
  <c r="BV26" i="43"/>
  <c r="BU26" i="43"/>
  <c r="BR26" i="43"/>
  <c r="BQ26" i="43"/>
  <c r="BO26" i="43"/>
  <c r="BM26" i="43"/>
  <c r="BL26" i="43"/>
  <c r="BK26" i="43"/>
  <c r="BH26" i="43"/>
  <c r="BG26" i="43"/>
  <c r="BC26" i="43"/>
  <c r="BB26" i="43"/>
  <c r="BA26" i="43"/>
  <c r="AY26" i="43"/>
  <c r="AX26" i="43"/>
  <c r="AW26" i="43"/>
  <c r="AU26" i="43"/>
  <c r="AS26" i="43"/>
  <c r="AR26" i="43"/>
  <c r="AQ26" i="43"/>
  <c r="AP26" i="43"/>
  <c r="AO26" i="43"/>
  <c r="AL26" i="43"/>
  <c r="AK26" i="43"/>
  <c r="AH26" i="43"/>
  <c r="AG26" i="43"/>
  <c r="AD26" i="43"/>
  <c r="AC26" i="43"/>
  <c r="Z26" i="43"/>
  <c r="Y26" i="43"/>
  <c r="X26" i="43"/>
  <c r="U26" i="43"/>
  <c r="T26" i="43"/>
  <c r="R26" i="43"/>
  <c r="O26" i="43"/>
  <c r="N26" i="43"/>
  <c r="L26" i="43"/>
  <c r="I26" i="43"/>
  <c r="H26" i="43"/>
  <c r="E26" i="43"/>
  <c r="D26" i="43"/>
  <c r="CH25" i="43"/>
  <c r="CF25" i="43"/>
  <c r="CE25" i="43"/>
  <c r="CB25" i="43"/>
  <c r="CA25" i="43"/>
  <c r="BX25" i="43"/>
  <c r="BW25" i="43"/>
  <c r="BT25" i="43"/>
  <c r="BS25" i="43"/>
  <c r="BP25" i="43"/>
  <c r="BN25" i="43"/>
  <c r="BJ25" i="43"/>
  <c r="BI25" i="43"/>
  <c r="BF25" i="43"/>
  <c r="BE25" i="43"/>
  <c r="AZ25" i="43"/>
  <c r="AV25" i="43"/>
  <c r="AT25" i="43"/>
  <c r="AN25" i="43"/>
  <c r="AM25" i="43"/>
  <c r="AJ25" i="43"/>
  <c r="AI25" i="43"/>
  <c r="AF25" i="43"/>
  <c r="AE25" i="43"/>
  <c r="AB25" i="43"/>
  <c r="AA25" i="43"/>
  <c r="W25" i="43"/>
  <c r="V25" i="43"/>
  <c r="S25" i="43"/>
  <c r="Q25" i="43"/>
  <c r="P25" i="43"/>
  <c r="M25" i="43"/>
  <c r="K25" i="43"/>
  <c r="J25" i="43"/>
  <c r="G25" i="43"/>
  <c r="CS25" i="43" s="1"/>
  <c r="F25" i="43"/>
  <c r="CR25" i="43" s="1"/>
  <c r="CH24" i="43"/>
  <c r="CF24" i="43"/>
  <c r="CE24" i="43"/>
  <c r="CB24" i="43"/>
  <c r="CA24" i="43"/>
  <c r="BX24" i="43"/>
  <c r="BW24" i="43"/>
  <c r="BT24" i="43"/>
  <c r="BS24" i="43"/>
  <c r="BP24" i="43"/>
  <c r="BN24" i="43"/>
  <c r="BJ24" i="43"/>
  <c r="BI24" i="43"/>
  <c r="BF24" i="43"/>
  <c r="BE24" i="43"/>
  <c r="AZ24" i="43"/>
  <c r="AV24" i="43"/>
  <c r="AT24" i="43"/>
  <c r="AN24" i="43"/>
  <c r="AM24" i="43"/>
  <c r="AJ24" i="43"/>
  <c r="AI24" i="43"/>
  <c r="AF24" i="43"/>
  <c r="AE24" i="43"/>
  <c r="AB24" i="43"/>
  <c r="AA24" i="43"/>
  <c r="W24" i="43"/>
  <c r="V24" i="43"/>
  <c r="S24" i="43"/>
  <c r="Q24" i="43"/>
  <c r="P24" i="43"/>
  <c r="M24" i="43"/>
  <c r="K24" i="43"/>
  <c r="J24" i="43"/>
  <c r="G24" i="43"/>
  <c r="CS24" i="43" s="1"/>
  <c r="F24" i="43"/>
  <c r="CR24" i="43" s="1"/>
  <c r="CH23" i="43"/>
  <c r="CF23" i="43"/>
  <c r="CE23" i="43"/>
  <c r="CB23" i="43"/>
  <c r="CA23" i="43"/>
  <c r="BX23" i="43"/>
  <c r="BW23" i="43"/>
  <c r="BT23" i="43"/>
  <c r="BS23" i="43"/>
  <c r="BP23" i="43"/>
  <c r="BN23" i="43"/>
  <c r="BJ23" i="43"/>
  <c r="BI23" i="43"/>
  <c r="BF23" i="43"/>
  <c r="BE23" i="43"/>
  <c r="AZ23" i="43"/>
  <c r="AV23" i="43"/>
  <c r="AT23" i="43"/>
  <c r="AN23" i="43"/>
  <c r="AM23" i="43"/>
  <c r="AJ23" i="43"/>
  <c r="AI23" i="43"/>
  <c r="AF23" i="43"/>
  <c r="AE23" i="43"/>
  <c r="AB23" i="43"/>
  <c r="AA23" i="43"/>
  <c r="W23" i="43"/>
  <c r="V23" i="43"/>
  <c r="S23" i="43"/>
  <c r="Q23" i="43"/>
  <c r="P23" i="43"/>
  <c r="M23" i="43"/>
  <c r="K23" i="43"/>
  <c r="J23" i="43"/>
  <c r="G23" i="43"/>
  <c r="CS23" i="43" s="1"/>
  <c r="F23" i="43"/>
  <c r="CR23" i="43" s="1"/>
  <c r="CH22" i="43"/>
  <c r="CF22" i="43"/>
  <c r="CE22" i="43"/>
  <c r="CB22" i="43"/>
  <c r="CA22" i="43"/>
  <c r="BX22" i="43"/>
  <c r="BW22" i="43"/>
  <c r="BT22" i="43"/>
  <c r="BS22" i="43"/>
  <c r="BP22" i="43"/>
  <c r="BN22" i="43"/>
  <c r="BJ22" i="43"/>
  <c r="BI22" i="43"/>
  <c r="BF22" i="43"/>
  <c r="BE22" i="43"/>
  <c r="AZ22" i="43"/>
  <c r="AV22" i="43"/>
  <c r="AT22" i="43"/>
  <c r="AN22" i="43"/>
  <c r="AM22" i="43"/>
  <c r="AJ22" i="43"/>
  <c r="AI22" i="43"/>
  <c r="AF22" i="43"/>
  <c r="AE22" i="43"/>
  <c r="AB22" i="43"/>
  <c r="AA22" i="43"/>
  <c r="W22" i="43"/>
  <c r="V22" i="43"/>
  <c r="S22" i="43"/>
  <c r="Q22" i="43"/>
  <c r="P22" i="43"/>
  <c r="M22" i="43"/>
  <c r="K22" i="43"/>
  <c r="J22" i="43"/>
  <c r="G22" i="43"/>
  <c r="CS22" i="43" s="1"/>
  <c r="F22" i="43"/>
  <c r="CR22" i="43" s="1"/>
  <c r="CH21" i="43"/>
  <c r="CF21" i="43"/>
  <c r="CE21" i="43"/>
  <c r="CB21" i="43"/>
  <c r="CA21" i="43"/>
  <c r="BX21" i="43"/>
  <c r="BW21" i="43"/>
  <c r="BT21" i="43"/>
  <c r="BS21" i="43"/>
  <c r="BP21" i="43"/>
  <c r="BN21" i="43"/>
  <c r="BJ21" i="43"/>
  <c r="BI21" i="43"/>
  <c r="BF21" i="43"/>
  <c r="BE21" i="43"/>
  <c r="AZ21" i="43"/>
  <c r="AV21" i="43"/>
  <c r="AT21" i="43"/>
  <c r="AN21" i="43"/>
  <c r="AM21" i="43"/>
  <c r="AJ21" i="43"/>
  <c r="AI21" i="43"/>
  <c r="AF21" i="43"/>
  <c r="AE21" i="43"/>
  <c r="AB21" i="43"/>
  <c r="AA21" i="43"/>
  <c r="W21" i="43"/>
  <c r="V21" i="43"/>
  <c r="S21" i="43"/>
  <c r="Q21" i="43"/>
  <c r="P21" i="43"/>
  <c r="K21" i="43"/>
  <c r="J21" i="43"/>
  <c r="G21" i="43"/>
  <c r="CS21" i="43" s="1"/>
  <c r="F21" i="43"/>
  <c r="CR21" i="43" s="1"/>
  <c r="CH20" i="43"/>
  <c r="CF20" i="43"/>
  <c r="CE20" i="43"/>
  <c r="CB20" i="43"/>
  <c r="CA20" i="43"/>
  <c r="BX20" i="43"/>
  <c r="BW20" i="43"/>
  <c r="BT20" i="43"/>
  <c r="BS20" i="43"/>
  <c r="BP20" i="43"/>
  <c r="BN20" i="43"/>
  <c r="BJ20" i="43"/>
  <c r="BI20" i="43"/>
  <c r="BE20" i="43"/>
  <c r="BF20" i="43"/>
  <c r="AZ20" i="43"/>
  <c r="AV20" i="43"/>
  <c r="AT20" i="43"/>
  <c r="AN20" i="43"/>
  <c r="AM20" i="43"/>
  <c r="AJ20" i="43"/>
  <c r="AI20" i="43"/>
  <c r="AF20" i="43"/>
  <c r="AE20" i="43"/>
  <c r="AB20" i="43"/>
  <c r="AA20" i="43"/>
  <c r="W20" i="43"/>
  <c r="V20" i="43"/>
  <c r="S20" i="43"/>
  <c r="Q20" i="43"/>
  <c r="P20" i="43"/>
  <c r="M20" i="43"/>
  <c r="K20" i="43"/>
  <c r="J20" i="43"/>
  <c r="G20" i="43"/>
  <c r="CS20" i="43" s="1"/>
  <c r="F20" i="43"/>
  <c r="CR20" i="43" s="1"/>
  <c r="CH19" i="43"/>
  <c r="CF19" i="43"/>
  <c r="CE19" i="43"/>
  <c r="CB19" i="43"/>
  <c r="CA19" i="43"/>
  <c r="BX19" i="43"/>
  <c r="BW19" i="43"/>
  <c r="BT19" i="43"/>
  <c r="BS19" i="43"/>
  <c r="BP19" i="43"/>
  <c r="BN19" i="43"/>
  <c r="BJ19" i="43"/>
  <c r="BI19" i="43"/>
  <c r="BF19" i="43"/>
  <c r="BE19" i="43"/>
  <c r="AZ19" i="43"/>
  <c r="AV19" i="43"/>
  <c r="AT19" i="43"/>
  <c r="AN19" i="43"/>
  <c r="AM19" i="43"/>
  <c r="AJ19" i="43"/>
  <c r="AI19" i="43"/>
  <c r="AF19" i="43"/>
  <c r="AE19" i="43"/>
  <c r="AB19" i="43"/>
  <c r="AA19" i="43"/>
  <c r="W19" i="43"/>
  <c r="V19" i="43"/>
  <c r="S19" i="43"/>
  <c r="Q19" i="43"/>
  <c r="P19" i="43"/>
  <c r="M19" i="43"/>
  <c r="K19" i="43"/>
  <c r="J19" i="43"/>
  <c r="G19" i="43"/>
  <c r="CS19" i="43" s="1"/>
  <c r="F19" i="43"/>
  <c r="CR19" i="43" s="1"/>
  <c r="CH18" i="43"/>
  <c r="CF18" i="43"/>
  <c r="CE18" i="43"/>
  <c r="CB18" i="43"/>
  <c r="CA18" i="43"/>
  <c r="BX18" i="43"/>
  <c r="BW18" i="43"/>
  <c r="BT18" i="43"/>
  <c r="BS18" i="43"/>
  <c r="BP18" i="43"/>
  <c r="BN18" i="43"/>
  <c r="BJ18" i="43"/>
  <c r="BI18" i="43"/>
  <c r="BF18" i="43"/>
  <c r="BE18" i="43"/>
  <c r="AZ18" i="43"/>
  <c r="AV18" i="43"/>
  <c r="AT18" i="43"/>
  <c r="AN18" i="43"/>
  <c r="AM18" i="43"/>
  <c r="AJ18" i="43"/>
  <c r="AI18" i="43"/>
  <c r="AF18" i="43"/>
  <c r="AE18" i="43"/>
  <c r="AB18" i="43"/>
  <c r="AA18" i="43"/>
  <c r="W18" i="43"/>
  <c r="V18" i="43"/>
  <c r="S18" i="43"/>
  <c r="Q18" i="43"/>
  <c r="P18" i="43"/>
  <c r="M18" i="43"/>
  <c r="K18" i="43"/>
  <c r="J18" i="43"/>
  <c r="G18" i="43"/>
  <c r="CS18" i="43" s="1"/>
  <c r="F18" i="43"/>
  <c r="CR18" i="43" s="1"/>
  <c r="CH17" i="43"/>
  <c r="CF17" i="43"/>
  <c r="CE17" i="43"/>
  <c r="CB17" i="43"/>
  <c r="CA17" i="43"/>
  <c r="BX17" i="43"/>
  <c r="BW17" i="43"/>
  <c r="BT17" i="43"/>
  <c r="BS17" i="43"/>
  <c r="BP17" i="43"/>
  <c r="BN17" i="43"/>
  <c r="BJ17" i="43"/>
  <c r="BI17" i="43"/>
  <c r="BF17" i="43"/>
  <c r="BE17" i="43"/>
  <c r="AZ17" i="43"/>
  <c r="AV17" i="43"/>
  <c r="AT17" i="43"/>
  <c r="AN17" i="43"/>
  <c r="AM17" i="43"/>
  <c r="AJ17" i="43"/>
  <c r="AI17" i="43"/>
  <c r="AF17" i="43"/>
  <c r="AE17" i="43"/>
  <c r="AB17" i="43"/>
  <c r="AA17" i="43"/>
  <c r="W17" i="43"/>
  <c r="V17" i="43"/>
  <c r="S17" i="43"/>
  <c r="Q17" i="43"/>
  <c r="P17" i="43"/>
  <c r="M17" i="43"/>
  <c r="K17" i="43"/>
  <c r="J17" i="43"/>
  <c r="G17" i="43"/>
  <c r="CS17" i="43" s="1"/>
  <c r="F17" i="43"/>
  <c r="CR17" i="43" s="1"/>
  <c r="CH16" i="43"/>
  <c r="CF16" i="43"/>
  <c r="CE16" i="43"/>
  <c r="CB16" i="43"/>
  <c r="CA16" i="43"/>
  <c r="BX16" i="43"/>
  <c r="BW16" i="43"/>
  <c r="BT16" i="43"/>
  <c r="BS16" i="43"/>
  <c r="BP16" i="43"/>
  <c r="BN16" i="43"/>
  <c r="BJ16" i="43"/>
  <c r="BI16" i="43"/>
  <c r="BF16" i="43"/>
  <c r="BE16" i="43"/>
  <c r="AZ16" i="43"/>
  <c r="AV16" i="43"/>
  <c r="AT16" i="43"/>
  <c r="AN16" i="43"/>
  <c r="AM16" i="43"/>
  <c r="AJ16" i="43"/>
  <c r="AI16" i="43"/>
  <c r="AF16" i="43"/>
  <c r="AE16" i="43"/>
  <c r="AB16" i="43"/>
  <c r="AA16" i="43"/>
  <c r="W16" i="43"/>
  <c r="V16" i="43"/>
  <c r="S16" i="43"/>
  <c r="Q16" i="43"/>
  <c r="P16" i="43"/>
  <c r="M16" i="43"/>
  <c r="K16" i="43"/>
  <c r="J16" i="43"/>
  <c r="G16" i="43"/>
  <c r="CS16" i="43" s="1"/>
  <c r="F16" i="43"/>
  <c r="CR16" i="43" s="1"/>
  <c r="CH15" i="43"/>
  <c r="CB15" i="43"/>
  <c r="CA15" i="43"/>
  <c r="BX15" i="43"/>
  <c r="BW15" i="43"/>
  <c r="BT15" i="43"/>
  <c r="BS15" i="43"/>
  <c r="BP15" i="43"/>
  <c r="BN15" i="43"/>
  <c r="BJ15" i="43"/>
  <c r="BI15" i="43"/>
  <c r="BF15" i="43"/>
  <c r="BE15" i="43"/>
  <c r="AZ15" i="43"/>
  <c r="AV15" i="43"/>
  <c r="AT15" i="43"/>
  <c r="AN15" i="43"/>
  <c r="AM15" i="43"/>
  <c r="AJ15" i="43"/>
  <c r="AI15" i="43"/>
  <c r="AF15" i="43"/>
  <c r="AE15" i="43"/>
  <c r="AB15" i="43"/>
  <c r="AA15" i="43"/>
  <c r="W15" i="43"/>
  <c r="V15" i="43"/>
  <c r="S15" i="43"/>
  <c r="Q15" i="43"/>
  <c r="P15" i="43"/>
  <c r="M15" i="43"/>
  <c r="K15" i="43"/>
  <c r="J15" i="43"/>
  <c r="G15" i="43"/>
  <c r="F15" i="43"/>
  <c r="CH14" i="43"/>
  <c r="CF14" i="43"/>
  <c r="CE14" i="43"/>
  <c r="CB14" i="43"/>
  <c r="CA14" i="43"/>
  <c r="BX14" i="43"/>
  <c r="BW14" i="43"/>
  <c r="BT14" i="43"/>
  <c r="BS14" i="43"/>
  <c r="BP14" i="43"/>
  <c r="BN14" i="43"/>
  <c r="BJ14" i="43"/>
  <c r="BI14" i="43"/>
  <c r="BF14" i="43"/>
  <c r="BE14" i="43"/>
  <c r="AZ14" i="43"/>
  <c r="AV14" i="43"/>
  <c r="AT14" i="43"/>
  <c r="AN14" i="43"/>
  <c r="AM14" i="43"/>
  <c r="AJ14" i="43"/>
  <c r="AI14" i="43"/>
  <c r="AF14" i="43"/>
  <c r="AE14" i="43"/>
  <c r="AB14" i="43"/>
  <c r="AA14" i="43"/>
  <c r="W14" i="43"/>
  <c r="V14" i="43"/>
  <c r="S14" i="43"/>
  <c r="Q14" i="43"/>
  <c r="P14" i="43"/>
  <c r="M14" i="43"/>
  <c r="K14" i="43"/>
  <c r="J14" i="43"/>
  <c r="G14" i="43"/>
  <c r="CS14" i="43" s="1"/>
  <c r="F14" i="43"/>
  <c r="CR14" i="43" s="1"/>
  <c r="CH13" i="43"/>
  <c r="CF13" i="43"/>
  <c r="CE13" i="43"/>
  <c r="CB13" i="43"/>
  <c r="CA13" i="43"/>
  <c r="BX13" i="43"/>
  <c r="BW13" i="43"/>
  <c r="BT13" i="43"/>
  <c r="BS13" i="43"/>
  <c r="BP13" i="43"/>
  <c r="BN13" i="43"/>
  <c r="BJ13" i="43"/>
  <c r="BI13" i="43"/>
  <c r="BF13" i="43"/>
  <c r="BE13" i="43"/>
  <c r="AZ13" i="43"/>
  <c r="AV13" i="43"/>
  <c r="AT13" i="43"/>
  <c r="AN13" i="43"/>
  <c r="AM13" i="43"/>
  <c r="AJ13" i="43"/>
  <c r="AI13" i="43"/>
  <c r="AF13" i="43"/>
  <c r="AE13" i="43"/>
  <c r="AB13" i="43"/>
  <c r="AA13" i="43"/>
  <c r="W13" i="43"/>
  <c r="V13" i="43"/>
  <c r="S13" i="43"/>
  <c r="Q13" i="43"/>
  <c r="P13" i="43"/>
  <c r="M13" i="43"/>
  <c r="K13" i="43"/>
  <c r="J13" i="43"/>
  <c r="G13" i="43"/>
  <c r="CS13" i="43" s="1"/>
  <c r="F13" i="43"/>
  <c r="CR13" i="43" s="1"/>
  <c r="CH12" i="43"/>
  <c r="CF12" i="43"/>
  <c r="CE12" i="43"/>
  <c r="CB12" i="43"/>
  <c r="CA12" i="43"/>
  <c r="BX12" i="43"/>
  <c r="BW12" i="43"/>
  <c r="BT12" i="43"/>
  <c r="BS12" i="43"/>
  <c r="BP12" i="43"/>
  <c r="BN12" i="43"/>
  <c r="BJ12" i="43"/>
  <c r="BI12" i="43"/>
  <c r="BF12" i="43"/>
  <c r="BE12" i="43"/>
  <c r="AZ12" i="43"/>
  <c r="AV12" i="43"/>
  <c r="AT12" i="43"/>
  <c r="AN12" i="43"/>
  <c r="AM12" i="43"/>
  <c r="AJ12" i="43"/>
  <c r="AI12" i="43"/>
  <c r="AF12" i="43"/>
  <c r="AE12" i="43"/>
  <c r="AB12" i="43"/>
  <c r="AA12" i="43"/>
  <c r="W12" i="43"/>
  <c r="V12" i="43"/>
  <c r="S12" i="43"/>
  <c r="Q12" i="43"/>
  <c r="P12" i="43"/>
  <c r="M12" i="43"/>
  <c r="K12" i="43"/>
  <c r="J12" i="43"/>
  <c r="G12" i="43"/>
  <c r="CS12" i="43" s="1"/>
  <c r="F12" i="43"/>
  <c r="CR12" i="43" s="1"/>
  <c r="CH11" i="43"/>
  <c r="CF11" i="43"/>
  <c r="CE11" i="43"/>
  <c r="CB11" i="43"/>
  <c r="CA11" i="43"/>
  <c r="BX11" i="43"/>
  <c r="BW11" i="43"/>
  <c r="BT11" i="43"/>
  <c r="BS11" i="43"/>
  <c r="BP11" i="43"/>
  <c r="BN11" i="43"/>
  <c r="BJ11" i="43"/>
  <c r="BI11" i="43"/>
  <c r="BF11" i="43"/>
  <c r="BE11" i="43"/>
  <c r="AZ11" i="43"/>
  <c r="AV11" i="43"/>
  <c r="AT11" i="43"/>
  <c r="AN11" i="43"/>
  <c r="AM11" i="43"/>
  <c r="AJ11" i="43"/>
  <c r="AI11" i="43"/>
  <c r="AF11" i="43"/>
  <c r="AE11" i="43"/>
  <c r="AB11" i="43"/>
  <c r="AA11" i="43"/>
  <c r="W11" i="43"/>
  <c r="V11" i="43"/>
  <c r="S11" i="43"/>
  <c r="Q11" i="43"/>
  <c r="P11" i="43"/>
  <c r="M11" i="43"/>
  <c r="K11" i="43"/>
  <c r="J11" i="43"/>
  <c r="G11" i="43"/>
  <c r="CS11" i="43" s="1"/>
  <c r="F11" i="43"/>
  <c r="CR11" i="43" s="1"/>
  <c r="CH10" i="43"/>
  <c r="CF10" i="43"/>
  <c r="CE10" i="43"/>
  <c r="CB10" i="43"/>
  <c r="CA10" i="43"/>
  <c r="BX10" i="43"/>
  <c r="BW10" i="43"/>
  <c r="BT10" i="43"/>
  <c r="BS10" i="43"/>
  <c r="BP10" i="43"/>
  <c r="BN10" i="43"/>
  <c r="BJ10" i="43"/>
  <c r="BI10" i="43"/>
  <c r="BF10" i="43"/>
  <c r="BE10" i="43"/>
  <c r="AZ10" i="43"/>
  <c r="AV10" i="43"/>
  <c r="AT10" i="43"/>
  <c r="AN10" i="43"/>
  <c r="AM10" i="43"/>
  <c r="AJ10" i="43"/>
  <c r="AI10" i="43"/>
  <c r="AF10" i="43"/>
  <c r="AE10" i="43"/>
  <c r="AB10" i="43"/>
  <c r="AA10" i="43"/>
  <c r="W10" i="43"/>
  <c r="V10" i="43"/>
  <c r="S10" i="43"/>
  <c r="Q10" i="43"/>
  <c r="P10" i="43"/>
  <c r="M10" i="43"/>
  <c r="K10" i="43"/>
  <c r="J10" i="43"/>
  <c r="G10" i="43"/>
  <c r="CS10" i="43" s="1"/>
  <c r="F10" i="43"/>
  <c r="CR10" i="43" s="1"/>
  <c r="CH9" i="43"/>
  <c r="CF9" i="43"/>
  <c r="CE9" i="43"/>
  <c r="CB9" i="43"/>
  <c r="CA9" i="43"/>
  <c r="BX9" i="43"/>
  <c r="BW9" i="43"/>
  <c r="BT9" i="43"/>
  <c r="BS9" i="43"/>
  <c r="BP9" i="43"/>
  <c r="BN9" i="43"/>
  <c r="BJ9" i="43"/>
  <c r="BI9" i="43"/>
  <c r="BF9" i="43"/>
  <c r="BE9" i="43"/>
  <c r="AZ9" i="43"/>
  <c r="AV9" i="43"/>
  <c r="AT9" i="43"/>
  <c r="AN9" i="43"/>
  <c r="AM9" i="43"/>
  <c r="AJ9" i="43"/>
  <c r="AI9" i="43"/>
  <c r="AF9" i="43"/>
  <c r="AE9" i="43"/>
  <c r="AB9" i="43"/>
  <c r="AA9" i="43"/>
  <c r="W9" i="43"/>
  <c r="V9" i="43"/>
  <c r="S9" i="43"/>
  <c r="Q9" i="43"/>
  <c r="P9" i="43"/>
  <c r="M9" i="43"/>
  <c r="K9" i="43"/>
  <c r="J9" i="43"/>
  <c r="G9" i="43"/>
  <c r="CS9" i="43" s="1"/>
  <c r="F9" i="43"/>
  <c r="CR9" i="43" s="1"/>
  <c r="CH8" i="43"/>
  <c r="CF8" i="43"/>
  <c r="CE8" i="43"/>
  <c r="CB8" i="43"/>
  <c r="CA8" i="43"/>
  <c r="BX8" i="43"/>
  <c r="BW8" i="43"/>
  <c r="BT8" i="43"/>
  <c r="BS8" i="43"/>
  <c r="BP8" i="43"/>
  <c r="BN8" i="43"/>
  <c r="BJ8" i="43"/>
  <c r="BI8" i="43"/>
  <c r="BE8" i="43"/>
  <c r="AZ8" i="43"/>
  <c r="AV8" i="43"/>
  <c r="AT8" i="43"/>
  <c r="AN8" i="43"/>
  <c r="AM8" i="43"/>
  <c r="AJ8" i="43"/>
  <c r="AI8" i="43"/>
  <c r="AF8" i="43"/>
  <c r="AE8" i="43"/>
  <c r="AB8" i="43"/>
  <c r="AA8" i="43"/>
  <c r="W8" i="43"/>
  <c r="V8" i="43"/>
  <c r="S8" i="43"/>
  <c r="Q8" i="43"/>
  <c r="P8" i="43"/>
  <c r="M8" i="43"/>
  <c r="K8" i="43"/>
  <c r="J8" i="43"/>
  <c r="G8" i="43"/>
  <c r="F8" i="43"/>
  <c r="CR8" i="43" s="1"/>
  <c r="CH7" i="43"/>
  <c r="CF7" i="43"/>
  <c r="CE7" i="43"/>
  <c r="CB7" i="43"/>
  <c r="CB26" i="43" s="1"/>
  <c r="CA7" i="43"/>
  <c r="CA26" i="43" s="1"/>
  <c r="BX7" i="43"/>
  <c r="BX26" i="43" s="1"/>
  <c r="BW7" i="43"/>
  <c r="BW26" i="43" s="1"/>
  <c r="BT7" i="43"/>
  <c r="BT26" i="43" s="1"/>
  <c r="BS7" i="43"/>
  <c r="BS26" i="43" s="1"/>
  <c r="BP7" i="43"/>
  <c r="BP26" i="43" s="1"/>
  <c r="BN7" i="43"/>
  <c r="BN26" i="43" s="1"/>
  <c r="BJ7" i="43"/>
  <c r="BJ26" i="43" s="1"/>
  <c r="BI7" i="43"/>
  <c r="BI26" i="43" s="1"/>
  <c r="BF7" i="43"/>
  <c r="BE7" i="43"/>
  <c r="BE26" i="43" s="1"/>
  <c r="AZ7" i="43"/>
  <c r="AZ26" i="43" s="1"/>
  <c r="AV7" i="43"/>
  <c r="AV26" i="43" s="1"/>
  <c r="AT7" i="43"/>
  <c r="AT26" i="43" s="1"/>
  <c r="AN7" i="43"/>
  <c r="AN26" i="43" s="1"/>
  <c r="AM7" i="43"/>
  <c r="AM26" i="43" s="1"/>
  <c r="AJ7" i="43"/>
  <c r="AJ26" i="43" s="1"/>
  <c r="AI7" i="43"/>
  <c r="AI26" i="43" s="1"/>
  <c r="AF7" i="43"/>
  <c r="AF26" i="43" s="1"/>
  <c r="AE7" i="43"/>
  <c r="AE26" i="43" s="1"/>
  <c r="AB7" i="43"/>
  <c r="AB26" i="43" s="1"/>
  <c r="AA7" i="43"/>
  <c r="AA26" i="43" s="1"/>
  <c r="W7" i="43"/>
  <c r="W26" i="43" s="1"/>
  <c r="V7" i="43"/>
  <c r="V26" i="43" s="1"/>
  <c r="S7" i="43"/>
  <c r="S26" i="43" s="1"/>
  <c r="Q7" i="43"/>
  <c r="Q26" i="43" s="1"/>
  <c r="P7" i="43"/>
  <c r="P26" i="43" s="1"/>
  <c r="M7" i="43"/>
  <c r="M26" i="43" s="1"/>
  <c r="K7" i="43"/>
  <c r="K26" i="43" s="1"/>
  <c r="J7" i="43"/>
  <c r="J26" i="43" s="1"/>
  <c r="G7" i="43"/>
  <c r="F7" i="43"/>
  <c r="CD15" i="42"/>
  <c r="BD20" i="42"/>
  <c r="BD8" i="42"/>
  <c r="CH24" i="42"/>
  <c r="CF24" i="42"/>
  <c r="CE24" i="42"/>
  <c r="CB24" i="42"/>
  <c r="CA24" i="42"/>
  <c r="BX24" i="42"/>
  <c r="BW24" i="42"/>
  <c r="BT24" i="42"/>
  <c r="BS24" i="42"/>
  <c r="BP24" i="42"/>
  <c r="BN24" i="42"/>
  <c r="BJ24" i="42"/>
  <c r="BI24" i="42"/>
  <c r="BF24" i="42"/>
  <c r="BE24" i="42"/>
  <c r="AZ24" i="42"/>
  <c r="AV24" i="42"/>
  <c r="AT24" i="42"/>
  <c r="AN24" i="42"/>
  <c r="AM24" i="42"/>
  <c r="AJ24" i="42"/>
  <c r="AI24" i="42"/>
  <c r="AF24" i="42"/>
  <c r="AE24" i="42"/>
  <c r="AB24" i="42"/>
  <c r="AA24" i="42"/>
  <c r="W24" i="42"/>
  <c r="V24" i="42"/>
  <c r="S24" i="42"/>
  <c r="Q24" i="42"/>
  <c r="P24" i="42"/>
  <c r="M24" i="42"/>
  <c r="K24" i="42"/>
  <c r="J24" i="42"/>
  <c r="G24" i="42"/>
  <c r="CS24" i="42" s="1"/>
  <c r="F24" i="42"/>
  <c r="CR24" i="42" s="1"/>
  <c r="BN8" i="42"/>
  <c r="BN9" i="42"/>
  <c r="BN10" i="42"/>
  <c r="BN11" i="42"/>
  <c r="BN12" i="42"/>
  <c r="BN13" i="42"/>
  <c r="BN14" i="42"/>
  <c r="BN15" i="42"/>
  <c r="BN16" i="42"/>
  <c r="BN17" i="42"/>
  <c r="BN18" i="42"/>
  <c r="BN19" i="42"/>
  <c r="BN20" i="42"/>
  <c r="BN21" i="42"/>
  <c r="BN22" i="42"/>
  <c r="BN23" i="42"/>
  <c r="BN25" i="42"/>
  <c r="BN7" i="42"/>
  <c r="CC15" i="42"/>
  <c r="AV8" i="42"/>
  <c r="AV9" i="42"/>
  <c r="AV10" i="42"/>
  <c r="AV11" i="42"/>
  <c r="AV12" i="42"/>
  <c r="AV13" i="42"/>
  <c r="AV14" i="42"/>
  <c r="AV15" i="42"/>
  <c r="AV16" i="42"/>
  <c r="AV17" i="42"/>
  <c r="AV18" i="42"/>
  <c r="AV19" i="42"/>
  <c r="AV20" i="42"/>
  <c r="AV21" i="42"/>
  <c r="AV22" i="42"/>
  <c r="AV23" i="42"/>
  <c r="AV25" i="42"/>
  <c r="AV7" i="42"/>
  <c r="CP26" i="42"/>
  <c r="CO26" i="42"/>
  <c r="CN26" i="42"/>
  <c r="CM26" i="42"/>
  <c r="CL26" i="42"/>
  <c r="CK26" i="42"/>
  <c r="CJ26" i="42"/>
  <c r="CI26" i="42"/>
  <c r="CG26" i="42"/>
  <c r="BZ26" i="42"/>
  <c r="BY26" i="42"/>
  <c r="BV26" i="42"/>
  <c r="BU26" i="42"/>
  <c r="BR26" i="42"/>
  <c r="BQ26" i="42"/>
  <c r="BO26" i="42"/>
  <c r="BM26" i="42"/>
  <c r="BL26" i="42"/>
  <c r="BK26" i="42"/>
  <c r="BH26" i="42"/>
  <c r="BG26" i="42"/>
  <c r="BC26" i="42"/>
  <c r="BB26" i="42"/>
  <c r="BA26" i="42"/>
  <c r="AY26" i="42"/>
  <c r="AX26" i="42"/>
  <c r="AW26" i="42"/>
  <c r="AU26" i="42"/>
  <c r="AS26" i="42"/>
  <c r="AR26" i="42"/>
  <c r="AQ26" i="42"/>
  <c r="AP26" i="42"/>
  <c r="AO26" i="42"/>
  <c r="AL26" i="42"/>
  <c r="AK26" i="42"/>
  <c r="AH26" i="42"/>
  <c r="AG26" i="42"/>
  <c r="AD26" i="42"/>
  <c r="AC26" i="42"/>
  <c r="Z26" i="42"/>
  <c r="Y26" i="42"/>
  <c r="X26" i="42"/>
  <c r="U26" i="42"/>
  <c r="T26" i="42"/>
  <c r="R26" i="42"/>
  <c r="O26" i="42"/>
  <c r="N26" i="42"/>
  <c r="L26" i="42"/>
  <c r="I26" i="42"/>
  <c r="H26" i="42"/>
  <c r="E26" i="42"/>
  <c r="D26" i="42"/>
  <c r="CH25" i="42"/>
  <c r="CF25" i="42"/>
  <c r="CE25" i="42"/>
  <c r="CB25" i="42"/>
  <c r="CA25" i="42"/>
  <c r="BX25" i="42"/>
  <c r="BW25" i="42"/>
  <c r="BT25" i="42"/>
  <c r="BS25" i="42"/>
  <c r="BP25" i="42"/>
  <c r="BJ25" i="42"/>
  <c r="BI25" i="42"/>
  <c r="BF25" i="42"/>
  <c r="BE25" i="42"/>
  <c r="AZ25" i="42"/>
  <c r="AT25" i="42"/>
  <c r="AN25" i="42"/>
  <c r="AM25" i="42"/>
  <c r="AJ25" i="42"/>
  <c r="AI25" i="42"/>
  <c r="AF25" i="42"/>
  <c r="AE25" i="42"/>
  <c r="AB25" i="42"/>
  <c r="AA25" i="42"/>
  <c r="W25" i="42"/>
  <c r="V25" i="42"/>
  <c r="S25" i="42"/>
  <c r="Q25" i="42"/>
  <c r="P25" i="42"/>
  <c r="M25" i="42"/>
  <c r="K25" i="42"/>
  <c r="J25" i="42"/>
  <c r="G25" i="42"/>
  <c r="CS25" i="42" s="1"/>
  <c r="F25" i="42"/>
  <c r="CR25" i="42" s="1"/>
  <c r="CH23" i="42"/>
  <c r="CF23" i="42"/>
  <c r="CE23" i="42"/>
  <c r="CB23" i="42"/>
  <c r="CA23" i="42"/>
  <c r="BX23" i="42"/>
  <c r="BW23" i="42"/>
  <c r="BT23" i="42"/>
  <c r="BS23" i="42"/>
  <c r="BP23" i="42"/>
  <c r="BJ23" i="42"/>
  <c r="BI23" i="42"/>
  <c r="BF23" i="42"/>
  <c r="BE23" i="42"/>
  <c r="AZ23" i="42"/>
  <c r="AT23" i="42"/>
  <c r="AN23" i="42"/>
  <c r="AM23" i="42"/>
  <c r="AJ23" i="42"/>
  <c r="AI23" i="42"/>
  <c r="AF23" i="42"/>
  <c r="AE23" i="42"/>
  <c r="AB23" i="42"/>
  <c r="AA23" i="42"/>
  <c r="W23" i="42"/>
  <c r="V23" i="42"/>
  <c r="S23" i="42"/>
  <c r="Q23" i="42"/>
  <c r="P23" i="42"/>
  <c r="M23" i="42"/>
  <c r="K23" i="42"/>
  <c r="J23" i="42"/>
  <c r="G23" i="42"/>
  <c r="CS23" i="42" s="1"/>
  <c r="F23" i="42"/>
  <c r="CR23" i="42" s="1"/>
  <c r="CH22" i="42"/>
  <c r="CF22" i="42"/>
  <c r="CE22" i="42"/>
  <c r="CB22" i="42"/>
  <c r="CA22" i="42"/>
  <c r="BX22" i="42"/>
  <c r="BW22" i="42"/>
  <c r="BT22" i="42"/>
  <c r="BS22" i="42"/>
  <c r="BP22" i="42"/>
  <c r="BJ22" i="42"/>
  <c r="BI22" i="42"/>
  <c r="BF22" i="42"/>
  <c r="BE22" i="42"/>
  <c r="AZ22" i="42"/>
  <c r="AT22" i="42"/>
  <c r="AN22" i="42"/>
  <c r="AM22" i="42"/>
  <c r="AJ22" i="42"/>
  <c r="AI22" i="42"/>
  <c r="AF22" i="42"/>
  <c r="AE22" i="42"/>
  <c r="AB22" i="42"/>
  <c r="AA22" i="42"/>
  <c r="W22" i="42"/>
  <c r="V22" i="42"/>
  <c r="S22" i="42"/>
  <c r="Q22" i="42"/>
  <c r="P22" i="42"/>
  <c r="M22" i="42"/>
  <c r="K22" i="42"/>
  <c r="J22" i="42"/>
  <c r="G22" i="42"/>
  <c r="CS22" i="42" s="1"/>
  <c r="F22" i="42"/>
  <c r="CR22" i="42" s="1"/>
  <c r="CH21" i="42"/>
  <c r="CF21" i="42"/>
  <c r="CE21" i="42"/>
  <c r="CB21" i="42"/>
  <c r="CA21" i="42"/>
  <c r="BX21" i="42"/>
  <c r="BW21" i="42"/>
  <c r="BT21" i="42"/>
  <c r="BS21" i="42"/>
  <c r="BP21" i="42"/>
  <c r="BJ21" i="42"/>
  <c r="BI21" i="42"/>
  <c r="BF21" i="42"/>
  <c r="BE21" i="42"/>
  <c r="AZ21" i="42"/>
  <c r="AT21" i="42"/>
  <c r="AN21" i="42"/>
  <c r="AM21" i="42"/>
  <c r="AJ21" i="42"/>
  <c r="AI21" i="42"/>
  <c r="AF21" i="42"/>
  <c r="AE21" i="42"/>
  <c r="AB21" i="42"/>
  <c r="AA21" i="42"/>
  <c r="W21" i="42"/>
  <c r="V21" i="42"/>
  <c r="S21" i="42"/>
  <c r="Q21" i="42"/>
  <c r="P21" i="42"/>
  <c r="M21" i="42"/>
  <c r="K21" i="42"/>
  <c r="J21" i="42"/>
  <c r="G21" i="42"/>
  <c r="CS21" i="42" s="1"/>
  <c r="F21" i="42"/>
  <c r="CR21" i="42" s="1"/>
  <c r="CH20" i="42"/>
  <c r="CF20" i="42"/>
  <c r="CE20" i="42"/>
  <c r="CB20" i="42"/>
  <c r="CA20" i="42"/>
  <c r="BX20" i="42"/>
  <c r="BW20" i="42"/>
  <c r="BT20" i="42"/>
  <c r="BS20" i="42"/>
  <c r="BP20" i="42"/>
  <c r="BJ20" i="42"/>
  <c r="BI20" i="42"/>
  <c r="BE20" i="42"/>
  <c r="AZ20" i="42"/>
  <c r="AT20" i="42"/>
  <c r="AN20" i="42"/>
  <c r="AM20" i="42"/>
  <c r="AJ20" i="42"/>
  <c r="AI20" i="42"/>
  <c r="AF20" i="42"/>
  <c r="AE20" i="42"/>
  <c r="AB20" i="42"/>
  <c r="AA20" i="42"/>
  <c r="W20" i="42"/>
  <c r="V20" i="42"/>
  <c r="S20" i="42"/>
  <c r="Q20" i="42"/>
  <c r="P20" i="42"/>
  <c r="M20" i="42"/>
  <c r="K20" i="42"/>
  <c r="J20" i="42"/>
  <c r="G20" i="42"/>
  <c r="F20" i="42"/>
  <c r="CR20" i="42" s="1"/>
  <c r="CH19" i="42"/>
  <c r="CF19" i="42"/>
  <c r="CE19" i="42"/>
  <c r="CB19" i="42"/>
  <c r="CA19" i="42"/>
  <c r="BX19" i="42"/>
  <c r="BW19" i="42"/>
  <c r="BT19" i="42"/>
  <c r="BS19" i="42"/>
  <c r="BP19" i="42"/>
  <c r="BJ19" i="42"/>
  <c r="BI19" i="42"/>
  <c r="BF19" i="42"/>
  <c r="BE19" i="42"/>
  <c r="AZ19" i="42"/>
  <c r="AT19" i="42"/>
  <c r="AN19" i="42"/>
  <c r="AM19" i="42"/>
  <c r="AJ19" i="42"/>
  <c r="AI19" i="42"/>
  <c r="AF19" i="42"/>
  <c r="AE19" i="42"/>
  <c r="AB19" i="42"/>
  <c r="AA19" i="42"/>
  <c r="W19" i="42"/>
  <c r="V19" i="42"/>
  <c r="S19" i="42"/>
  <c r="Q19" i="42"/>
  <c r="P19" i="42"/>
  <c r="M19" i="42"/>
  <c r="K19" i="42"/>
  <c r="J19" i="42"/>
  <c r="G19" i="42"/>
  <c r="CS19" i="42" s="1"/>
  <c r="F19" i="42"/>
  <c r="CR19" i="42" s="1"/>
  <c r="CH18" i="42"/>
  <c r="CF18" i="42"/>
  <c r="CE18" i="42"/>
  <c r="CB18" i="42"/>
  <c r="CA18" i="42"/>
  <c r="BX18" i="42"/>
  <c r="BW18" i="42"/>
  <c r="BT18" i="42"/>
  <c r="BS18" i="42"/>
  <c r="BP18" i="42"/>
  <c r="BJ18" i="42"/>
  <c r="BI18" i="42"/>
  <c r="BF18" i="42"/>
  <c r="BE18" i="42"/>
  <c r="AZ18" i="42"/>
  <c r="AT18" i="42"/>
  <c r="AN18" i="42"/>
  <c r="AM18" i="42"/>
  <c r="AJ18" i="42"/>
  <c r="AI18" i="42"/>
  <c r="AF18" i="42"/>
  <c r="AE18" i="42"/>
  <c r="AB18" i="42"/>
  <c r="AA18" i="42"/>
  <c r="W18" i="42"/>
  <c r="V18" i="42"/>
  <c r="S18" i="42"/>
  <c r="Q18" i="42"/>
  <c r="P18" i="42"/>
  <c r="M18" i="42"/>
  <c r="K18" i="42"/>
  <c r="J18" i="42"/>
  <c r="G18" i="42"/>
  <c r="CS18" i="42" s="1"/>
  <c r="F18" i="42"/>
  <c r="CR18" i="42" s="1"/>
  <c r="CH17" i="42"/>
  <c r="CF17" i="42"/>
  <c r="CE17" i="42"/>
  <c r="CB17" i="42"/>
  <c r="CA17" i="42"/>
  <c r="BX17" i="42"/>
  <c r="BW17" i="42"/>
  <c r="BT17" i="42"/>
  <c r="BS17" i="42"/>
  <c r="BP17" i="42"/>
  <c r="BJ17" i="42"/>
  <c r="BI17" i="42"/>
  <c r="BF17" i="42"/>
  <c r="BE17" i="42"/>
  <c r="AZ17" i="42"/>
  <c r="AT17" i="42"/>
  <c r="AN17" i="42"/>
  <c r="AM17" i="42"/>
  <c r="AJ17" i="42"/>
  <c r="AI17" i="42"/>
  <c r="AF17" i="42"/>
  <c r="AE17" i="42"/>
  <c r="AB17" i="42"/>
  <c r="AA17" i="42"/>
  <c r="W17" i="42"/>
  <c r="V17" i="42"/>
  <c r="S17" i="42"/>
  <c r="Q17" i="42"/>
  <c r="P17" i="42"/>
  <c r="M17" i="42"/>
  <c r="K17" i="42"/>
  <c r="J17" i="42"/>
  <c r="G17" i="42"/>
  <c r="CS17" i="42" s="1"/>
  <c r="F17" i="42"/>
  <c r="CR17" i="42" s="1"/>
  <c r="CH16" i="42"/>
  <c r="CF16" i="42"/>
  <c r="CE16" i="42"/>
  <c r="CB16" i="42"/>
  <c r="CA16" i="42"/>
  <c r="BX16" i="42"/>
  <c r="BW16" i="42"/>
  <c r="BT16" i="42"/>
  <c r="BS16" i="42"/>
  <c r="BP16" i="42"/>
  <c r="BJ16" i="42"/>
  <c r="BI16" i="42"/>
  <c r="BF16" i="42"/>
  <c r="BE16" i="42"/>
  <c r="AZ16" i="42"/>
  <c r="AT16" i="42"/>
  <c r="AN16" i="42"/>
  <c r="AM16" i="42"/>
  <c r="AJ16" i="42"/>
  <c r="AI16" i="42"/>
  <c r="AF16" i="42"/>
  <c r="AE16" i="42"/>
  <c r="AB16" i="42"/>
  <c r="AA16" i="42"/>
  <c r="W16" i="42"/>
  <c r="V16" i="42"/>
  <c r="S16" i="42"/>
  <c r="Q16" i="42"/>
  <c r="P16" i="42"/>
  <c r="M16" i="42"/>
  <c r="K16" i="42"/>
  <c r="J16" i="42"/>
  <c r="G16" i="42"/>
  <c r="CS16" i="42" s="1"/>
  <c r="F16" i="42"/>
  <c r="CR16" i="42" s="1"/>
  <c r="CH15" i="42"/>
  <c r="CB15" i="42"/>
  <c r="CA15" i="42"/>
  <c r="BX15" i="42"/>
  <c r="BW15" i="42"/>
  <c r="BT15" i="42"/>
  <c r="BS15" i="42"/>
  <c r="BP15" i="42"/>
  <c r="BJ15" i="42"/>
  <c r="BI15" i="42"/>
  <c r="BF15" i="42"/>
  <c r="BE15" i="42"/>
  <c r="AZ15" i="42"/>
  <c r="AT15" i="42"/>
  <c r="AN15" i="42"/>
  <c r="AM15" i="42"/>
  <c r="AJ15" i="42"/>
  <c r="AI15" i="42"/>
  <c r="AF15" i="42"/>
  <c r="AE15" i="42"/>
  <c r="AB15" i="42"/>
  <c r="AA15" i="42"/>
  <c r="W15" i="42"/>
  <c r="V15" i="42"/>
  <c r="S15" i="42"/>
  <c r="Q15" i="42"/>
  <c r="P15" i="42"/>
  <c r="M15" i="42"/>
  <c r="K15" i="42"/>
  <c r="J15" i="42"/>
  <c r="G15" i="42"/>
  <c r="F15" i="42"/>
  <c r="CX26" i="42"/>
  <c r="CH14" i="42"/>
  <c r="CF14" i="42"/>
  <c r="CE14" i="42"/>
  <c r="CB14" i="42"/>
  <c r="CA14" i="42"/>
  <c r="BX14" i="42"/>
  <c r="BW14" i="42"/>
  <c r="BT14" i="42"/>
  <c r="BS14" i="42"/>
  <c r="BP14" i="42"/>
  <c r="BJ14" i="42"/>
  <c r="BI14" i="42"/>
  <c r="BF14" i="42"/>
  <c r="BE14" i="42"/>
  <c r="AZ14" i="42"/>
  <c r="AT14" i="42"/>
  <c r="AN14" i="42"/>
  <c r="AM14" i="42"/>
  <c r="AJ14" i="42"/>
  <c r="AI14" i="42"/>
  <c r="AF14" i="42"/>
  <c r="AE14" i="42"/>
  <c r="AB14" i="42"/>
  <c r="AA14" i="42"/>
  <c r="W14" i="42"/>
  <c r="V14" i="42"/>
  <c r="S14" i="42"/>
  <c r="Q14" i="42"/>
  <c r="P14" i="42"/>
  <c r="M14" i="42"/>
  <c r="K14" i="42"/>
  <c r="J14" i="42"/>
  <c r="G14" i="42"/>
  <c r="CS14" i="42" s="1"/>
  <c r="F14" i="42"/>
  <c r="CR14" i="42" s="1"/>
  <c r="CH13" i="42"/>
  <c r="CF13" i="42"/>
  <c r="CE13" i="42"/>
  <c r="CB13" i="42"/>
  <c r="CA13" i="42"/>
  <c r="BX13" i="42"/>
  <c r="BW13" i="42"/>
  <c r="BT13" i="42"/>
  <c r="BS13" i="42"/>
  <c r="BP13" i="42"/>
  <c r="BJ13" i="42"/>
  <c r="BI13" i="42"/>
  <c r="BF13" i="42"/>
  <c r="BE13" i="42"/>
  <c r="AZ13" i="42"/>
  <c r="AT13" i="42"/>
  <c r="AN13" i="42"/>
  <c r="AM13" i="42"/>
  <c r="AJ13" i="42"/>
  <c r="AI13" i="42"/>
  <c r="AF13" i="42"/>
  <c r="AE13" i="42"/>
  <c r="AB13" i="42"/>
  <c r="AA13" i="42"/>
  <c r="W13" i="42"/>
  <c r="V13" i="42"/>
  <c r="S13" i="42"/>
  <c r="Q13" i="42"/>
  <c r="P13" i="42"/>
  <c r="M13" i="42"/>
  <c r="K13" i="42"/>
  <c r="J13" i="42"/>
  <c r="G13" i="42"/>
  <c r="CS13" i="42" s="1"/>
  <c r="F13" i="42"/>
  <c r="CR13" i="42" s="1"/>
  <c r="CH12" i="42"/>
  <c r="CF12" i="42"/>
  <c r="CE12" i="42"/>
  <c r="CB12" i="42"/>
  <c r="CA12" i="42"/>
  <c r="BX12" i="42"/>
  <c r="BW12" i="42"/>
  <c r="BT12" i="42"/>
  <c r="BS12" i="42"/>
  <c r="BP12" i="42"/>
  <c r="BJ12" i="42"/>
  <c r="BI12" i="42"/>
  <c r="BF12" i="42"/>
  <c r="BE12" i="42"/>
  <c r="AZ12" i="42"/>
  <c r="AT12" i="42"/>
  <c r="AN12" i="42"/>
  <c r="AM12" i="42"/>
  <c r="AJ12" i="42"/>
  <c r="AI12" i="42"/>
  <c r="AF12" i="42"/>
  <c r="AE12" i="42"/>
  <c r="AB12" i="42"/>
  <c r="AA12" i="42"/>
  <c r="W12" i="42"/>
  <c r="V12" i="42"/>
  <c r="S12" i="42"/>
  <c r="Q12" i="42"/>
  <c r="P12" i="42"/>
  <c r="M12" i="42"/>
  <c r="K12" i="42"/>
  <c r="J12" i="42"/>
  <c r="G12" i="42"/>
  <c r="CS12" i="42" s="1"/>
  <c r="F12" i="42"/>
  <c r="CR12" i="42" s="1"/>
  <c r="CH11" i="42"/>
  <c r="CF11" i="42"/>
  <c r="CE11" i="42"/>
  <c r="CB11" i="42"/>
  <c r="CA11" i="42"/>
  <c r="BX11" i="42"/>
  <c r="BW11" i="42"/>
  <c r="BT11" i="42"/>
  <c r="BS11" i="42"/>
  <c r="BP11" i="42"/>
  <c r="BJ11" i="42"/>
  <c r="BI11" i="42"/>
  <c r="BF11" i="42"/>
  <c r="BE11" i="42"/>
  <c r="AZ11" i="42"/>
  <c r="AT11" i="42"/>
  <c r="AN11" i="42"/>
  <c r="AM11" i="42"/>
  <c r="AJ11" i="42"/>
  <c r="AI11" i="42"/>
  <c r="AF11" i="42"/>
  <c r="AE11" i="42"/>
  <c r="AB11" i="42"/>
  <c r="AA11" i="42"/>
  <c r="W11" i="42"/>
  <c r="V11" i="42"/>
  <c r="S11" i="42"/>
  <c r="Q11" i="42"/>
  <c r="P11" i="42"/>
  <c r="M11" i="42"/>
  <c r="K11" i="42"/>
  <c r="J11" i="42"/>
  <c r="G11" i="42"/>
  <c r="CS11" i="42" s="1"/>
  <c r="F11" i="42"/>
  <c r="CR11" i="42" s="1"/>
  <c r="CH10" i="42"/>
  <c r="CF10" i="42"/>
  <c r="CE10" i="42"/>
  <c r="CB10" i="42"/>
  <c r="CA10" i="42"/>
  <c r="BX10" i="42"/>
  <c r="BW10" i="42"/>
  <c r="BT10" i="42"/>
  <c r="BS10" i="42"/>
  <c r="BP10" i="42"/>
  <c r="BJ10" i="42"/>
  <c r="BI10" i="42"/>
  <c r="BF10" i="42"/>
  <c r="BE10" i="42"/>
  <c r="AZ10" i="42"/>
  <c r="AT10" i="42"/>
  <c r="AN10" i="42"/>
  <c r="AM10" i="42"/>
  <c r="AJ10" i="42"/>
  <c r="AI10" i="42"/>
  <c r="AF10" i="42"/>
  <c r="AE10" i="42"/>
  <c r="AB10" i="42"/>
  <c r="AA10" i="42"/>
  <c r="W10" i="42"/>
  <c r="V10" i="42"/>
  <c r="S10" i="42"/>
  <c r="Q10" i="42"/>
  <c r="P10" i="42"/>
  <c r="M10" i="42"/>
  <c r="K10" i="42"/>
  <c r="J10" i="42"/>
  <c r="G10" i="42"/>
  <c r="CS10" i="42" s="1"/>
  <c r="F10" i="42"/>
  <c r="CR10" i="42" s="1"/>
  <c r="CH9" i="42"/>
  <c r="CF9" i="42"/>
  <c r="CE9" i="42"/>
  <c r="CB9" i="42"/>
  <c r="CA9" i="42"/>
  <c r="BX9" i="42"/>
  <c r="BW9" i="42"/>
  <c r="BT9" i="42"/>
  <c r="BS9" i="42"/>
  <c r="BP9" i="42"/>
  <c r="BJ9" i="42"/>
  <c r="BI9" i="42"/>
  <c r="BF9" i="42"/>
  <c r="BE9" i="42"/>
  <c r="AZ9" i="42"/>
  <c r="AT9" i="42"/>
  <c r="AN9" i="42"/>
  <c r="AM9" i="42"/>
  <c r="AJ9" i="42"/>
  <c r="AI9" i="42"/>
  <c r="AF9" i="42"/>
  <c r="AE9" i="42"/>
  <c r="AB9" i="42"/>
  <c r="AA9" i="42"/>
  <c r="W9" i="42"/>
  <c r="V9" i="42"/>
  <c r="S9" i="42"/>
  <c r="Q9" i="42"/>
  <c r="P9" i="42"/>
  <c r="M9" i="42"/>
  <c r="K9" i="42"/>
  <c r="J9" i="42"/>
  <c r="G9" i="42"/>
  <c r="CS9" i="42" s="1"/>
  <c r="F9" i="42"/>
  <c r="CR9" i="42" s="1"/>
  <c r="CH8" i="42"/>
  <c r="CF8" i="42"/>
  <c r="CE8" i="42"/>
  <c r="CB8" i="42"/>
  <c r="CA8" i="42"/>
  <c r="BX8" i="42"/>
  <c r="BW8" i="42"/>
  <c r="BT8" i="42"/>
  <c r="BS8" i="42"/>
  <c r="BP8" i="42"/>
  <c r="BJ8" i="42"/>
  <c r="BI8" i="42"/>
  <c r="BF8" i="42"/>
  <c r="BE8" i="42"/>
  <c r="AZ8" i="42"/>
  <c r="AT8" i="42"/>
  <c r="AN8" i="42"/>
  <c r="AM8" i="42"/>
  <c r="AJ8" i="42"/>
  <c r="AI8" i="42"/>
  <c r="AF8" i="42"/>
  <c r="AE8" i="42"/>
  <c r="AB8" i="42"/>
  <c r="AA8" i="42"/>
  <c r="W8" i="42"/>
  <c r="V8" i="42"/>
  <c r="S8" i="42"/>
  <c r="Q8" i="42"/>
  <c r="P8" i="42"/>
  <c r="M8" i="42"/>
  <c r="K8" i="42"/>
  <c r="J8" i="42"/>
  <c r="G8" i="42"/>
  <c r="CS8" i="42" s="1"/>
  <c r="F8" i="42"/>
  <c r="CR8" i="42" s="1"/>
  <c r="CH7" i="42"/>
  <c r="CF7" i="42"/>
  <c r="CE7" i="42"/>
  <c r="CB7" i="42"/>
  <c r="CB26" i="42" s="1"/>
  <c r="CA7" i="42"/>
  <c r="CA26" i="42" s="1"/>
  <c r="BX7" i="42"/>
  <c r="BX26" i="42" s="1"/>
  <c r="BW7" i="42"/>
  <c r="BW26" i="42" s="1"/>
  <c r="BT7" i="42"/>
  <c r="BT26" i="42" s="1"/>
  <c r="BS7" i="42"/>
  <c r="BS26" i="42" s="1"/>
  <c r="BP7" i="42"/>
  <c r="BP26" i="42" s="1"/>
  <c r="BN26" i="42"/>
  <c r="BJ7" i="42"/>
  <c r="BJ26" i="42" s="1"/>
  <c r="BI7" i="42"/>
  <c r="BI26" i="42" s="1"/>
  <c r="BF7" i="42"/>
  <c r="BE7" i="42"/>
  <c r="BE26" i="42" s="1"/>
  <c r="AZ7" i="42"/>
  <c r="AZ26" i="42" s="1"/>
  <c r="AV26" i="42"/>
  <c r="AT7" i="42"/>
  <c r="AT26" i="42" s="1"/>
  <c r="AN7" i="42"/>
  <c r="AN26" i="42" s="1"/>
  <c r="AM7" i="42"/>
  <c r="AM26" i="42" s="1"/>
  <c r="AJ7" i="42"/>
  <c r="AJ26" i="42" s="1"/>
  <c r="AI7" i="42"/>
  <c r="AI26" i="42" s="1"/>
  <c r="AF7" i="42"/>
  <c r="AF26" i="42" s="1"/>
  <c r="AE7" i="42"/>
  <c r="AE26" i="42" s="1"/>
  <c r="AB7" i="42"/>
  <c r="AB26" i="42" s="1"/>
  <c r="AA7" i="42"/>
  <c r="AA26" i="42" s="1"/>
  <c r="W7" i="42"/>
  <c r="W26" i="42" s="1"/>
  <c r="V7" i="42"/>
  <c r="V26" i="42" s="1"/>
  <c r="S7" i="42"/>
  <c r="S26" i="42" s="1"/>
  <c r="Q7" i="42"/>
  <c r="Q26" i="42" s="1"/>
  <c r="P7" i="42"/>
  <c r="P26" i="42" s="1"/>
  <c r="M7" i="42"/>
  <c r="M26" i="42" s="1"/>
  <c r="K7" i="42"/>
  <c r="K26" i="42" s="1"/>
  <c r="J7" i="42"/>
  <c r="J26" i="42" s="1"/>
  <c r="G7" i="42"/>
  <c r="F7" i="42"/>
  <c r="CD15" i="41"/>
  <c r="BS23" i="41"/>
  <c r="BT23" i="41"/>
  <c r="BW23" i="41"/>
  <c r="BX23" i="41"/>
  <c r="CA23" i="41"/>
  <c r="CB23" i="41"/>
  <c r="CE23" i="41"/>
  <c r="CF23" i="41"/>
  <c r="CH23" i="41"/>
  <c r="BN23" i="41"/>
  <c r="BP23" i="41"/>
  <c r="BI23" i="41"/>
  <c r="BJ23" i="41"/>
  <c r="BE23" i="41"/>
  <c r="BF23" i="41"/>
  <c r="AZ23" i="41"/>
  <c r="AV23" i="41"/>
  <c r="AT23" i="41"/>
  <c r="AM23" i="41"/>
  <c r="AN23" i="41"/>
  <c r="AE23" i="41"/>
  <c r="AF23" i="41"/>
  <c r="AI23" i="41"/>
  <c r="AJ23" i="41"/>
  <c r="AA23" i="41"/>
  <c r="AB23" i="41"/>
  <c r="P23" i="41"/>
  <c r="Q23" i="41"/>
  <c r="S23" i="41"/>
  <c r="V23" i="41"/>
  <c r="W23" i="41"/>
  <c r="J23" i="41"/>
  <c r="K23" i="41"/>
  <c r="M23" i="41"/>
  <c r="F23" i="41"/>
  <c r="CR23" i="41" s="1"/>
  <c r="G23" i="41"/>
  <c r="CS23" i="41" s="1"/>
  <c r="BD20" i="41"/>
  <c r="CX14" i="41"/>
  <c r="CC15" i="41"/>
  <c r="CX14" i="40"/>
  <c r="CP25" i="41"/>
  <c r="CO25" i="41"/>
  <c r="CN25" i="41"/>
  <c r="CM25" i="41"/>
  <c r="CK25" i="41"/>
  <c r="CJ25" i="41"/>
  <c r="CI25" i="41"/>
  <c r="CG25" i="41"/>
  <c r="CC25" i="41"/>
  <c r="BZ25" i="41"/>
  <c r="BY25" i="41"/>
  <c r="BV25" i="41"/>
  <c r="BU25" i="41"/>
  <c r="BR25" i="41"/>
  <c r="BQ25" i="41"/>
  <c r="BO25" i="41"/>
  <c r="BM25" i="41"/>
  <c r="BL25" i="41"/>
  <c r="BK25" i="41"/>
  <c r="BH25" i="41"/>
  <c r="BG25" i="41"/>
  <c r="BD25" i="41"/>
  <c r="BB25" i="41"/>
  <c r="BA25" i="41"/>
  <c r="AY25" i="41"/>
  <c r="AX25" i="41"/>
  <c r="AW25" i="41"/>
  <c r="AU25" i="41"/>
  <c r="AS25" i="41"/>
  <c r="AR25" i="41"/>
  <c r="AQ25" i="41"/>
  <c r="AP25" i="41"/>
  <c r="AO25" i="41"/>
  <c r="AL25" i="41"/>
  <c r="AK25" i="41"/>
  <c r="AH25" i="41"/>
  <c r="AG25" i="41"/>
  <c r="AD25" i="41"/>
  <c r="AC25" i="41"/>
  <c r="Z25" i="41"/>
  <c r="Y25" i="41"/>
  <c r="X25" i="41"/>
  <c r="U25" i="41"/>
  <c r="T25" i="41"/>
  <c r="R25" i="41"/>
  <c r="O25" i="41"/>
  <c r="N25" i="41"/>
  <c r="L25" i="41"/>
  <c r="I25" i="41"/>
  <c r="H25" i="41"/>
  <c r="E25" i="41"/>
  <c r="D25" i="41"/>
  <c r="CH24" i="41"/>
  <c r="CF24" i="41"/>
  <c r="CE24" i="41"/>
  <c r="CB24" i="41"/>
  <c r="CA24" i="41"/>
  <c r="BX24" i="41"/>
  <c r="BW24" i="41"/>
  <c r="BT24" i="41"/>
  <c r="BS24" i="41"/>
  <c r="BP24" i="41"/>
  <c r="BN24" i="41"/>
  <c r="BJ24" i="41"/>
  <c r="BI24" i="41"/>
  <c r="BF24" i="41"/>
  <c r="BE24" i="41"/>
  <c r="AZ24" i="41"/>
  <c r="AV24" i="41"/>
  <c r="AT24" i="41"/>
  <c r="AN24" i="41"/>
  <c r="AM24" i="41"/>
  <c r="AJ24" i="41"/>
  <c r="AI24" i="41"/>
  <c r="AF24" i="41"/>
  <c r="AE24" i="41"/>
  <c r="AB24" i="41"/>
  <c r="AA24" i="41"/>
  <c r="W24" i="41"/>
  <c r="V24" i="41"/>
  <c r="S24" i="41"/>
  <c r="Q24" i="41"/>
  <c r="P24" i="41"/>
  <c r="M24" i="41"/>
  <c r="K24" i="41"/>
  <c r="J24" i="41"/>
  <c r="G24" i="41"/>
  <c r="CS24" i="41" s="1"/>
  <c r="F24" i="41"/>
  <c r="CR24" i="41" s="1"/>
  <c r="CH22" i="41"/>
  <c r="CF22" i="41"/>
  <c r="CE22" i="41"/>
  <c r="CB22" i="41"/>
  <c r="CA22" i="41"/>
  <c r="BX22" i="41"/>
  <c r="BW22" i="41"/>
  <c r="BT22" i="41"/>
  <c r="BS22" i="41"/>
  <c r="BP22" i="41"/>
  <c r="BN22" i="41"/>
  <c r="BJ22" i="41"/>
  <c r="BI22" i="41"/>
  <c r="BF22" i="41"/>
  <c r="BE22" i="41"/>
  <c r="AZ22" i="41"/>
  <c r="AV22" i="41"/>
  <c r="AT22" i="41"/>
  <c r="AN22" i="41"/>
  <c r="AM22" i="41"/>
  <c r="AJ22" i="41"/>
  <c r="AI22" i="41"/>
  <c r="AF22" i="41"/>
  <c r="AE22" i="41"/>
  <c r="AB22" i="41"/>
  <c r="AA22" i="41"/>
  <c r="W22" i="41"/>
  <c r="V22" i="41"/>
  <c r="S22" i="41"/>
  <c r="Q22" i="41"/>
  <c r="P22" i="41"/>
  <c r="M22" i="41"/>
  <c r="K22" i="41"/>
  <c r="J22" i="41"/>
  <c r="G22" i="41"/>
  <c r="F22" i="41"/>
  <c r="CR22" i="41" s="1"/>
  <c r="CH21" i="41"/>
  <c r="CF21" i="41"/>
  <c r="CE21" i="41"/>
  <c r="CB21" i="41"/>
  <c r="CA21" i="41"/>
  <c r="BX21" i="41"/>
  <c r="BW21" i="41"/>
  <c r="BT21" i="41"/>
  <c r="BS21" i="41"/>
  <c r="BP21" i="41"/>
  <c r="BN21" i="41"/>
  <c r="BJ21" i="41"/>
  <c r="BI21" i="41"/>
  <c r="BF21" i="41"/>
  <c r="BE21" i="41"/>
  <c r="AZ21" i="41"/>
  <c r="AV21" i="41"/>
  <c r="AT21" i="41"/>
  <c r="AN21" i="41"/>
  <c r="AM21" i="41"/>
  <c r="AJ21" i="41"/>
  <c r="AI21" i="41"/>
  <c r="AF21" i="41"/>
  <c r="AE21" i="41"/>
  <c r="AB21" i="41"/>
  <c r="AA21" i="41"/>
  <c r="W21" i="41"/>
  <c r="V21" i="41"/>
  <c r="S21" i="41"/>
  <c r="Q21" i="41"/>
  <c r="P21" i="41"/>
  <c r="M21" i="41"/>
  <c r="K21" i="41"/>
  <c r="J21" i="41"/>
  <c r="G21" i="41"/>
  <c r="F21" i="41"/>
  <c r="CR21" i="41" s="1"/>
  <c r="CH20" i="41"/>
  <c r="CF20" i="41"/>
  <c r="CE20" i="41"/>
  <c r="CB20" i="41"/>
  <c r="CA20" i="41"/>
  <c r="BX20" i="41"/>
  <c r="BW20" i="41"/>
  <c r="BT20" i="41"/>
  <c r="BS20" i="41"/>
  <c r="BP20" i="41"/>
  <c r="BN20" i="41"/>
  <c r="BJ20" i="41"/>
  <c r="BI20" i="41"/>
  <c r="BF20" i="41"/>
  <c r="BE20" i="41"/>
  <c r="AZ20" i="41"/>
  <c r="AV20" i="41"/>
  <c r="AT20" i="41"/>
  <c r="AN20" i="41"/>
  <c r="AM20" i="41"/>
  <c r="AJ20" i="41"/>
  <c r="AI20" i="41"/>
  <c r="AF20" i="41"/>
  <c r="AE20" i="41"/>
  <c r="AB20" i="41"/>
  <c r="AA20" i="41"/>
  <c r="W20" i="41"/>
  <c r="V20" i="41"/>
  <c r="S20" i="41"/>
  <c r="Q20" i="41"/>
  <c r="P20" i="41"/>
  <c r="M20" i="41"/>
  <c r="K20" i="41"/>
  <c r="J20" i="41"/>
  <c r="G20" i="41"/>
  <c r="F20" i="41"/>
  <c r="CR20" i="41" s="1"/>
  <c r="CH19" i="41"/>
  <c r="CF19" i="41"/>
  <c r="CE19" i="41"/>
  <c r="CB19" i="41"/>
  <c r="CA19" i="41"/>
  <c r="BX19" i="41"/>
  <c r="BW19" i="41"/>
  <c r="BT19" i="41"/>
  <c r="BS19" i="41"/>
  <c r="BP19" i="41"/>
  <c r="BN19" i="41"/>
  <c r="BJ19" i="41"/>
  <c r="BI19" i="41"/>
  <c r="BF19" i="41"/>
  <c r="BE19" i="41"/>
  <c r="AZ19" i="41"/>
  <c r="AV19" i="41"/>
  <c r="AT19" i="41"/>
  <c r="AN19" i="41"/>
  <c r="AM19" i="41"/>
  <c r="AJ19" i="41"/>
  <c r="AI19" i="41"/>
  <c r="AF19" i="41"/>
  <c r="AE19" i="41"/>
  <c r="AB19" i="41"/>
  <c r="AA19" i="41"/>
  <c r="W19" i="41"/>
  <c r="V19" i="41"/>
  <c r="S19" i="41"/>
  <c r="Q19" i="41"/>
  <c r="P19" i="41"/>
  <c r="M19" i="41"/>
  <c r="K19" i="41"/>
  <c r="J19" i="41"/>
  <c r="G19" i="41"/>
  <c r="CS19" i="41" s="1"/>
  <c r="F19" i="41"/>
  <c r="CR19" i="41" s="1"/>
  <c r="CH18" i="41"/>
  <c r="CF18" i="41"/>
  <c r="CE18" i="41"/>
  <c r="CB18" i="41"/>
  <c r="CA18" i="41"/>
  <c r="BX18" i="41"/>
  <c r="BW18" i="41"/>
  <c r="BT18" i="41"/>
  <c r="BS18" i="41"/>
  <c r="BP18" i="41"/>
  <c r="BN18" i="41"/>
  <c r="BJ18" i="41"/>
  <c r="BI18" i="41"/>
  <c r="BF18" i="41"/>
  <c r="BE18" i="41"/>
  <c r="AZ18" i="41"/>
  <c r="AV18" i="41"/>
  <c r="AT18" i="41"/>
  <c r="AN18" i="41"/>
  <c r="AM18" i="41"/>
  <c r="AJ18" i="41"/>
  <c r="AI18" i="41"/>
  <c r="AF18" i="41"/>
  <c r="AE18" i="41"/>
  <c r="AB18" i="41"/>
  <c r="AA18" i="41"/>
  <c r="W18" i="41"/>
  <c r="V18" i="41"/>
  <c r="S18" i="41"/>
  <c r="Q18" i="41"/>
  <c r="P18" i="41"/>
  <c r="M18" i="41"/>
  <c r="K18" i="41"/>
  <c r="J18" i="41"/>
  <c r="G18" i="41"/>
  <c r="F18" i="41"/>
  <c r="CR18" i="41" s="1"/>
  <c r="CL25" i="41"/>
  <c r="CH17" i="41"/>
  <c r="CF17" i="41"/>
  <c r="CE17" i="41"/>
  <c r="CB17" i="41"/>
  <c r="CA17" i="41"/>
  <c r="BX17" i="41"/>
  <c r="BW17" i="41"/>
  <c r="BT17" i="41"/>
  <c r="BS17" i="41"/>
  <c r="BP17" i="41"/>
  <c r="BN17" i="41"/>
  <c r="BJ17" i="41"/>
  <c r="BI17" i="41"/>
  <c r="BF17" i="41"/>
  <c r="BE17" i="41"/>
  <c r="AZ17" i="41"/>
  <c r="AV17" i="41"/>
  <c r="AT17" i="41"/>
  <c r="AN17" i="41"/>
  <c r="AM17" i="41"/>
  <c r="AJ17" i="41"/>
  <c r="AI17" i="41"/>
  <c r="AF17" i="41"/>
  <c r="AE17" i="41"/>
  <c r="AB17" i="41"/>
  <c r="AA17" i="41"/>
  <c r="W17" i="41"/>
  <c r="V17" i="41"/>
  <c r="S17" i="41"/>
  <c r="Q17" i="41"/>
  <c r="P17" i="41"/>
  <c r="M17" i="41"/>
  <c r="K17" i="41"/>
  <c r="J17" i="41"/>
  <c r="G17" i="41"/>
  <c r="F17" i="41"/>
  <c r="CR17" i="41" s="1"/>
  <c r="CH16" i="41"/>
  <c r="CF16" i="41"/>
  <c r="CE16" i="41"/>
  <c r="CB16" i="41"/>
  <c r="CA16" i="41"/>
  <c r="BX16" i="41"/>
  <c r="BW16" i="41"/>
  <c r="BT16" i="41"/>
  <c r="BS16" i="41"/>
  <c r="BP16" i="41"/>
  <c r="BN16" i="41"/>
  <c r="BJ16" i="41"/>
  <c r="BI16" i="41"/>
  <c r="BF16" i="41"/>
  <c r="BE16" i="41"/>
  <c r="AZ16" i="41"/>
  <c r="AV16" i="41"/>
  <c r="AT16" i="41"/>
  <c r="AN16" i="41"/>
  <c r="AM16" i="41"/>
  <c r="AJ16" i="41"/>
  <c r="AI16" i="41"/>
  <c r="AF16" i="41"/>
  <c r="AE16" i="41"/>
  <c r="AB16" i="41"/>
  <c r="AA16" i="41"/>
  <c r="W16" i="41"/>
  <c r="V16" i="41"/>
  <c r="S16" i="41"/>
  <c r="Q16" i="41"/>
  <c r="P16" i="41"/>
  <c r="M16" i="41"/>
  <c r="K16" i="41"/>
  <c r="J16" i="41"/>
  <c r="G16" i="41"/>
  <c r="F16" i="41"/>
  <c r="CR16" i="41" s="1"/>
  <c r="CH15" i="41"/>
  <c r="CE15" i="41"/>
  <c r="CB15" i="41"/>
  <c r="CA15" i="41"/>
  <c r="BX15" i="41"/>
  <c r="BW15" i="41"/>
  <c r="BT15" i="41"/>
  <c r="BS15" i="41"/>
  <c r="BP15" i="41"/>
  <c r="BN15" i="41"/>
  <c r="BJ15" i="41"/>
  <c r="BI15" i="41"/>
  <c r="BF15" i="41"/>
  <c r="BE15" i="41"/>
  <c r="AZ15" i="41"/>
  <c r="AV15" i="41"/>
  <c r="AT15" i="41"/>
  <c r="AN15" i="41"/>
  <c r="AM15" i="41"/>
  <c r="AJ15" i="41"/>
  <c r="AI15" i="41"/>
  <c r="AF15" i="41"/>
  <c r="AE15" i="41"/>
  <c r="AB15" i="41"/>
  <c r="AA15" i="41"/>
  <c r="W15" i="41"/>
  <c r="V15" i="41"/>
  <c r="S15" i="41"/>
  <c r="Q15" i="41"/>
  <c r="P15" i="41"/>
  <c r="M15" i="41"/>
  <c r="K15" i="41"/>
  <c r="J15" i="41"/>
  <c r="G15" i="41"/>
  <c r="F15" i="41"/>
  <c r="CR15" i="41" s="1"/>
  <c r="CH14" i="41"/>
  <c r="CF14" i="41"/>
  <c r="CE14" i="41"/>
  <c r="CB14" i="41"/>
  <c r="CA14" i="41"/>
  <c r="BX14" i="41"/>
  <c r="BW14" i="41"/>
  <c r="BT14" i="41"/>
  <c r="BS14" i="41"/>
  <c r="BP14" i="41"/>
  <c r="BN14" i="41"/>
  <c r="BJ14" i="41"/>
  <c r="BI14" i="41"/>
  <c r="BF14" i="41"/>
  <c r="BE14" i="41"/>
  <c r="AZ14" i="41"/>
  <c r="AV14" i="41"/>
  <c r="AT14" i="41"/>
  <c r="AN14" i="41"/>
  <c r="AM14" i="41"/>
  <c r="AJ14" i="41"/>
  <c r="AI14" i="41"/>
  <c r="AF14" i="41"/>
  <c r="AE14" i="41"/>
  <c r="AB14" i="41"/>
  <c r="AA14" i="41"/>
  <c r="W14" i="41"/>
  <c r="V14" i="41"/>
  <c r="S14" i="41"/>
  <c r="Q14" i="41"/>
  <c r="P14" i="41"/>
  <c r="M14" i="41"/>
  <c r="K14" i="41"/>
  <c r="J14" i="41"/>
  <c r="G14" i="41"/>
  <c r="F14" i="41"/>
  <c r="CR14" i="41" s="1"/>
  <c r="CX25" i="41"/>
  <c r="CH13" i="41"/>
  <c r="CF13" i="41"/>
  <c r="CE13" i="41"/>
  <c r="CB13" i="41"/>
  <c r="CA13" i="41"/>
  <c r="BX13" i="41"/>
  <c r="BW13" i="41"/>
  <c r="BT13" i="41"/>
  <c r="BS13" i="41"/>
  <c r="BP13" i="41"/>
  <c r="BN13" i="41"/>
  <c r="BJ13" i="41"/>
  <c r="BI13" i="41"/>
  <c r="BF13" i="41"/>
  <c r="BE13" i="41"/>
  <c r="AZ13" i="41"/>
  <c r="AV13" i="41"/>
  <c r="AT13" i="41"/>
  <c r="AN13" i="41"/>
  <c r="AM13" i="41"/>
  <c r="AJ13" i="41"/>
  <c r="AI13" i="41"/>
  <c r="AF13" i="41"/>
  <c r="AE13" i="41"/>
  <c r="AB13" i="41"/>
  <c r="AA13" i="41"/>
  <c r="W13" i="41"/>
  <c r="V13" i="41"/>
  <c r="S13" i="41"/>
  <c r="Q13" i="41"/>
  <c r="P13" i="41"/>
  <c r="M13" i="41"/>
  <c r="K13" i="41"/>
  <c r="J13" i="41"/>
  <c r="G13" i="41"/>
  <c r="F13" i="41"/>
  <c r="CR13" i="41" s="1"/>
  <c r="CH12" i="41"/>
  <c r="CF12" i="41"/>
  <c r="CE12" i="41"/>
  <c r="CB12" i="41"/>
  <c r="CA12" i="41"/>
  <c r="BX12" i="41"/>
  <c r="BW12" i="41"/>
  <c r="BT12" i="41"/>
  <c r="BS12" i="41"/>
  <c r="BP12" i="41"/>
  <c r="BN12" i="41"/>
  <c r="BJ12" i="41"/>
  <c r="BI12" i="41"/>
  <c r="BF12" i="41"/>
  <c r="BE12" i="41"/>
  <c r="AZ12" i="41"/>
  <c r="AV12" i="41"/>
  <c r="AT12" i="41"/>
  <c r="AN12" i="41"/>
  <c r="AM12" i="41"/>
  <c r="AJ12" i="41"/>
  <c r="AI12" i="41"/>
  <c r="AF12" i="41"/>
  <c r="AE12" i="41"/>
  <c r="AB12" i="41"/>
  <c r="AA12" i="41"/>
  <c r="W12" i="41"/>
  <c r="V12" i="41"/>
  <c r="S12" i="41"/>
  <c r="Q12" i="41"/>
  <c r="P12" i="41"/>
  <c r="M12" i="41"/>
  <c r="K12" i="41"/>
  <c r="J12" i="41"/>
  <c r="G12" i="41"/>
  <c r="F12" i="41"/>
  <c r="CR12" i="41" s="1"/>
  <c r="CH11" i="41"/>
  <c r="CF11" i="41"/>
  <c r="CE11" i="41"/>
  <c r="CB11" i="41"/>
  <c r="CA11" i="41"/>
  <c r="BX11" i="41"/>
  <c r="BW11" i="41"/>
  <c r="BT11" i="41"/>
  <c r="BS11" i="41"/>
  <c r="BP11" i="41"/>
  <c r="BN11" i="41"/>
  <c r="BJ11" i="41"/>
  <c r="BI11" i="41"/>
  <c r="BF11" i="41"/>
  <c r="BE11" i="41"/>
  <c r="AZ11" i="41"/>
  <c r="AV11" i="41"/>
  <c r="AT11" i="41"/>
  <c r="AN11" i="41"/>
  <c r="AM11" i="41"/>
  <c r="AJ11" i="41"/>
  <c r="AI11" i="41"/>
  <c r="AF11" i="41"/>
  <c r="AE11" i="41"/>
  <c r="AB11" i="41"/>
  <c r="AA11" i="41"/>
  <c r="W11" i="41"/>
  <c r="V11" i="41"/>
  <c r="S11" i="41"/>
  <c r="Q11" i="41"/>
  <c r="P11" i="41"/>
  <c r="M11" i="41"/>
  <c r="K11" i="41"/>
  <c r="J11" i="41"/>
  <c r="G11" i="41"/>
  <c r="F11" i="41"/>
  <c r="CR11" i="41" s="1"/>
  <c r="CH10" i="41"/>
  <c r="CF10" i="41"/>
  <c r="CE10" i="41"/>
  <c r="CB10" i="41"/>
  <c r="CA10" i="41"/>
  <c r="BX10" i="41"/>
  <c r="BW10" i="41"/>
  <c r="BT10" i="41"/>
  <c r="BS10" i="41"/>
  <c r="BP10" i="41"/>
  <c r="BN10" i="41"/>
  <c r="BJ10" i="41"/>
  <c r="BI10" i="41"/>
  <c r="BF10" i="41"/>
  <c r="BE10" i="41"/>
  <c r="AZ10" i="41"/>
  <c r="AV10" i="41"/>
  <c r="AT10" i="41"/>
  <c r="AN10" i="41"/>
  <c r="AM10" i="41"/>
  <c r="AJ10" i="41"/>
  <c r="AI10" i="41"/>
  <c r="AF10" i="41"/>
  <c r="AE10" i="41"/>
  <c r="AB10" i="41"/>
  <c r="AA10" i="41"/>
  <c r="W10" i="41"/>
  <c r="V10" i="41"/>
  <c r="S10" i="41"/>
  <c r="Q10" i="41"/>
  <c r="P10" i="41"/>
  <c r="M10" i="41"/>
  <c r="K10" i="41"/>
  <c r="J10" i="41"/>
  <c r="G10" i="41"/>
  <c r="F10" i="41"/>
  <c r="CR10" i="41" s="1"/>
  <c r="CH9" i="41"/>
  <c r="CF9" i="41"/>
  <c r="CE9" i="41"/>
  <c r="CB9" i="41"/>
  <c r="CA9" i="41"/>
  <c r="BX9" i="41"/>
  <c r="BW9" i="41"/>
  <c r="BT9" i="41"/>
  <c r="BS9" i="41"/>
  <c r="BP9" i="41"/>
  <c r="BN9" i="41"/>
  <c r="BJ9" i="41"/>
  <c r="BI9" i="41"/>
  <c r="BF9" i="41"/>
  <c r="BE9" i="41"/>
  <c r="AZ9" i="41"/>
  <c r="AV9" i="41"/>
  <c r="AT9" i="41"/>
  <c r="AN9" i="41"/>
  <c r="AM9" i="41"/>
  <c r="AJ9" i="41"/>
  <c r="AI9" i="41"/>
  <c r="AF9" i="41"/>
  <c r="AE9" i="41"/>
  <c r="AB9" i="41"/>
  <c r="AA9" i="41"/>
  <c r="W9" i="41"/>
  <c r="V9" i="41"/>
  <c r="S9" i="41"/>
  <c r="Q9" i="41"/>
  <c r="P9" i="41"/>
  <c r="M9" i="41"/>
  <c r="K9" i="41"/>
  <c r="J9" i="41"/>
  <c r="G9" i="41"/>
  <c r="F9" i="41"/>
  <c r="CR9" i="41" s="1"/>
  <c r="CH8" i="41"/>
  <c r="CF8" i="41"/>
  <c r="CE8" i="41"/>
  <c r="CB8" i="41"/>
  <c r="CA8" i="41"/>
  <c r="BX8" i="41"/>
  <c r="BW8" i="41"/>
  <c r="BT8" i="41"/>
  <c r="BS8" i="41"/>
  <c r="BP8" i="41"/>
  <c r="BN8" i="41"/>
  <c r="BJ8" i="41"/>
  <c r="BI8" i="41"/>
  <c r="BF8" i="41"/>
  <c r="AZ8" i="41"/>
  <c r="AV8" i="41"/>
  <c r="AT8" i="41"/>
  <c r="AN8" i="41"/>
  <c r="AM8" i="41"/>
  <c r="AJ8" i="41"/>
  <c r="AI8" i="41"/>
  <c r="AF8" i="41"/>
  <c r="AE8" i="41"/>
  <c r="AB8" i="41"/>
  <c r="AA8" i="41"/>
  <c r="W8" i="41"/>
  <c r="V8" i="41"/>
  <c r="S8" i="41"/>
  <c r="Q8" i="41"/>
  <c r="P8" i="41"/>
  <c r="M8" i="41"/>
  <c r="K8" i="41"/>
  <c r="J8" i="41"/>
  <c r="G8" i="41"/>
  <c r="F8" i="41"/>
  <c r="CH7" i="41"/>
  <c r="CF7" i="41"/>
  <c r="CE7" i="41"/>
  <c r="CE25" i="41" s="1"/>
  <c r="CB7" i="41"/>
  <c r="CB25" i="41" s="1"/>
  <c r="CA7" i="41"/>
  <c r="CA25" i="41" s="1"/>
  <c r="BX7" i="41"/>
  <c r="BX25" i="41" s="1"/>
  <c r="BW7" i="41"/>
  <c r="BW25" i="41" s="1"/>
  <c r="BT7" i="41"/>
  <c r="BS7" i="41"/>
  <c r="BS25" i="41" s="1"/>
  <c r="BP7" i="41"/>
  <c r="BN7" i="41"/>
  <c r="BJ7" i="41"/>
  <c r="BI7" i="41"/>
  <c r="BF7" i="41"/>
  <c r="BE7" i="41"/>
  <c r="AZ7" i="41"/>
  <c r="AZ25" i="41" s="1"/>
  <c r="AV7" i="41"/>
  <c r="AT7" i="41"/>
  <c r="AN7" i="41"/>
  <c r="AN25" i="41" s="1"/>
  <c r="AM7" i="41"/>
  <c r="AM25" i="41" s="1"/>
  <c r="AJ7" i="41"/>
  <c r="AJ25" i="41" s="1"/>
  <c r="AI7" i="41"/>
  <c r="AI25" i="41" s="1"/>
  <c r="AF7" i="41"/>
  <c r="AF25" i="41" s="1"/>
  <c r="AE7" i="41"/>
  <c r="AE25" i="41" s="1"/>
  <c r="AB7" i="41"/>
  <c r="AB25" i="41" s="1"/>
  <c r="AA7" i="41"/>
  <c r="AA25" i="41" s="1"/>
  <c r="W7" i="41"/>
  <c r="V7" i="41"/>
  <c r="V25" i="41" s="1"/>
  <c r="S7" i="41"/>
  <c r="Q7" i="41"/>
  <c r="P7" i="41"/>
  <c r="P25" i="41" s="1"/>
  <c r="M7" i="41"/>
  <c r="M25" i="41" s="1"/>
  <c r="K7" i="41"/>
  <c r="J7" i="41"/>
  <c r="J25" i="41" s="1"/>
  <c r="G7" i="41"/>
  <c r="F7" i="41"/>
  <c r="CX14" i="38"/>
  <c r="CH23" i="40"/>
  <c r="CF23" i="40"/>
  <c r="CE23" i="40"/>
  <c r="CB23" i="40"/>
  <c r="CA23" i="40"/>
  <c r="BX23" i="40"/>
  <c r="BW23" i="40"/>
  <c r="BT23" i="40"/>
  <c r="BS23" i="40"/>
  <c r="BP23" i="40"/>
  <c r="BN23" i="40"/>
  <c r="BJ23" i="40"/>
  <c r="BI23" i="40"/>
  <c r="BF23" i="40"/>
  <c r="BE23" i="40"/>
  <c r="AZ23" i="40"/>
  <c r="AV23" i="40"/>
  <c r="AT23" i="40"/>
  <c r="AN23" i="40"/>
  <c r="AM23" i="40"/>
  <c r="AJ23" i="40"/>
  <c r="AI23" i="40"/>
  <c r="AF23" i="40"/>
  <c r="AE23" i="40"/>
  <c r="AB23" i="40"/>
  <c r="AA23" i="40"/>
  <c r="W23" i="40"/>
  <c r="V23" i="40"/>
  <c r="S23" i="40"/>
  <c r="Q23" i="40"/>
  <c r="P23" i="40"/>
  <c r="M23" i="40"/>
  <c r="K23" i="40"/>
  <c r="J23" i="40"/>
  <c r="G23" i="40"/>
  <c r="F23" i="40"/>
  <c r="CR23" i="40" s="1"/>
  <c r="CD15" i="40"/>
  <c r="CX13" i="40"/>
  <c r="CL18" i="40"/>
  <c r="CL17" i="40"/>
  <c r="BC8" i="40"/>
  <c r="CH22" i="40"/>
  <c r="CF22" i="40"/>
  <c r="CE22" i="40"/>
  <c r="CB22" i="40"/>
  <c r="CA22" i="40"/>
  <c r="BX22" i="40"/>
  <c r="BW22" i="40"/>
  <c r="BT22" i="40"/>
  <c r="BS22" i="40"/>
  <c r="BP22" i="40"/>
  <c r="BN22" i="40"/>
  <c r="BJ22" i="40"/>
  <c r="BI22" i="40"/>
  <c r="BF22" i="40"/>
  <c r="BE22" i="40"/>
  <c r="AZ22" i="40"/>
  <c r="AV22" i="40"/>
  <c r="AT22" i="40"/>
  <c r="AN22" i="40"/>
  <c r="AM22" i="40"/>
  <c r="AJ22" i="40"/>
  <c r="AI22" i="40"/>
  <c r="AF22" i="40"/>
  <c r="AE22" i="40"/>
  <c r="AB22" i="40"/>
  <c r="AA22" i="40"/>
  <c r="W22" i="40"/>
  <c r="V22" i="40"/>
  <c r="S22" i="40"/>
  <c r="Q22" i="40"/>
  <c r="P22" i="40"/>
  <c r="M22" i="40"/>
  <c r="K22" i="40"/>
  <c r="J22" i="40"/>
  <c r="G22" i="40"/>
  <c r="F22" i="40"/>
  <c r="CX25" i="40"/>
  <c r="CP25" i="40"/>
  <c r="CO25" i="40"/>
  <c r="CN25" i="40"/>
  <c r="CM25" i="40"/>
  <c r="CL25" i="40"/>
  <c r="CK25" i="40"/>
  <c r="CJ25" i="40"/>
  <c r="CI25" i="40"/>
  <c r="CG25" i="40"/>
  <c r="CD25" i="40"/>
  <c r="CC25" i="40"/>
  <c r="BZ25" i="40"/>
  <c r="BY25" i="40"/>
  <c r="BV25" i="40"/>
  <c r="BU25" i="40"/>
  <c r="BR25" i="40"/>
  <c r="BQ25" i="40"/>
  <c r="BO25" i="40"/>
  <c r="BM25" i="40"/>
  <c r="BL25" i="40"/>
  <c r="BK25" i="40"/>
  <c r="BH25" i="40"/>
  <c r="BG25" i="40"/>
  <c r="BB25" i="40"/>
  <c r="BA25" i="40"/>
  <c r="AY25" i="40"/>
  <c r="AX25" i="40"/>
  <c r="AW25" i="40"/>
  <c r="AU25" i="40"/>
  <c r="AS25" i="40"/>
  <c r="AR25" i="40"/>
  <c r="AQ25" i="40"/>
  <c r="AP25" i="40"/>
  <c r="AO25" i="40"/>
  <c r="AL25" i="40"/>
  <c r="AK25" i="40"/>
  <c r="AH25" i="40"/>
  <c r="AG25" i="40"/>
  <c r="AD25" i="40"/>
  <c r="AC25" i="40"/>
  <c r="Z25" i="40"/>
  <c r="Y25" i="40"/>
  <c r="X25" i="40"/>
  <c r="U25" i="40"/>
  <c r="T25" i="40"/>
  <c r="R25" i="40"/>
  <c r="O25" i="40"/>
  <c r="N25" i="40"/>
  <c r="L25" i="40"/>
  <c r="I25" i="40"/>
  <c r="H25" i="40"/>
  <c r="E25" i="40"/>
  <c r="D25" i="40"/>
  <c r="CH24" i="40"/>
  <c r="CF24" i="40"/>
  <c r="CE24" i="40"/>
  <c r="CB24" i="40"/>
  <c r="CA24" i="40"/>
  <c r="BX24" i="40"/>
  <c r="BW24" i="40"/>
  <c r="BT24" i="40"/>
  <c r="BS24" i="40"/>
  <c r="BP24" i="40"/>
  <c r="BN24" i="40"/>
  <c r="BJ24" i="40"/>
  <c r="BI24" i="40"/>
  <c r="BF24" i="40"/>
  <c r="BE24" i="40"/>
  <c r="AZ24" i="40"/>
  <c r="AV24" i="40"/>
  <c r="AT24" i="40"/>
  <c r="AN24" i="40"/>
  <c r="AM24" i="40"/>
  <c r="AJ24" i="40"/>
  <c r="AI24" i="40"/>
  <c r="AF24" i="40"/>
  <c r="AE24" i="40"/>
  <c r="AB24" i="40"/>
  <c r="AA24" i="40"/>
  <c r="W24" i="40"/>
  <c r="V24" i="40"/>
  <c r="S24" i="40"/>
  <c r="Q24" i="40"/>
  <c r="P24" i="40"/>
  <c r="M24" i="40"/>
  <c r="K24" i="40"/>
  <c r="J24" i="40"/>
  <c r="G24" i="40"/>
  <c r="F24" i="40"/>
  <c r="CR24" i="40" s="1"/>
  <c r="CH21" i="40"/>
  <c r="CF21" i="40"/>
  <c r="CE21" i="40"/>
  <c r="CB21" i="40"/>
  <c r="CA21" i="40"/>
  <c r="BX21" i="40"/>
  <c r="BW21" i="40"/>
  <c r="BT21" i="40"/>
  <c r="BS21" i="40"/>
  <c r="BP21" i="40"/>
  <c r="BN21" i="40"/>
  <c r="BJ21" i="40"/>
  <c r="BI21" i="40"/>
  <c r="BF21" i="40"/>
  <c r="BE21" i="40"/>
  <c r="AZ21" i="40"/>
  <c r="AV21" i="40"/>
  <c r="AT21" i="40"/>
  <c r="AN21" i="40"/>
  <c r="AM21" i="40"/>
  <c r="AJ21" i="40"/>
  <c r="AI21" i="40"/>
  <c r="AF21" i="40"/>
  <c r="AE21" i="40"/>
  <c r="AB21" i="40"/>
  <c r="AA21" i="40"/>
  <c r="W21" i="40"/>
  <c r="V21" i="40"/>
  <c r="S21" i="40"/>
  <c r="Q21" i="40"/>
  <c r="P21" i="40"/>
  <c r="M21" i="40"/>
  <c r="K21" i="40"/>
  <c r="J21" i="40"/>
  <c r="G21" i="40"/>
  <c r="F21" i="40"/>
  <c r="CH20" i="40"/>
  <c r="CF20" i="40"/>
  <c r="CE20" i="40"/>
  <c r="CB20" i="40"/>
  <c r="CA20" i="40"/>
  <c r="BX20" i="40"/>
  <c r="BW20" i="40"/>
  <c r="BT20" i="40"/>
  <c r="BS20" i="40"/>
  <c r="BP20" i="40"/>
  <c r="BN20" i="40"/>
  <c r="BJ20" i="40"/>
  <c r="BI20" i="40"/>
  <c r="BE20" i="40"/>
  <c r="BF20" i="40"/>
  <c r="AZ20" i="40"/>
  <c r="AV20" i="40"/>
  <c r="AT20" i="40"/>
  <c r="AN20" i="40"/>
  <c r="AM20" i="40"/>
  <c r="AJ20" i="40"/>
  <c r="AI20" i="40"/>
  <c r="AF20" i="40"/>
  <c r="AE20" i="40"/>
  <c r="AB20" i="40"/>
  <c r="AA20" i="40"/>
  <c r="W20" i="40"/>
  <c r="V20" i="40"/>
  <c r="S20" i="40"/>
  <c r="Q20" i="40"/>
  <c r="P20" i="40"/>
  <c r="M20" i="40"/>
  <c r="K20" i="40"/>
  <c r="J20" i="40"/>
  <c r="G20" i="40"/>
  <c r="F20" i="40"/>
  <c r="CH19" i="40"/>
  <c r="CF19" i="40"/>
  <c r="CE19" i="40"/>
  <c r="CB19" i="40"/>
  <c r="CA19" i="40"/>
  <c r="BX19" i="40"/>
  <c r="BW19" i="40"/>
  <c r="BT19" i="40"/>
  <c r="BS19" i="40"/>
  <c r="BP19" i="40"/>
  <c r="BN19" i="40"/>
  <c r="BJ19" i="40"/>
  <c r="BI19" i="40"/>
  <c r="BF19" i="40"/>
  <c r="BE19" i="40"/>
  <c r="AZ19" i="40"/>
  <c r="AV19" i="40"/>
  <c r="AT19" i="40"/>
  <c r="AN19" i="40"/>
  <c r="AM19" i="40"/>
  <c r="AJ19" i="40"/>
  <c r="AI19" i="40"/>
  <c r="AF19" i="40"/>
  <c r="AE19" i="40"/>
  <c r="AB19" i="40"/>
  <c r="AA19" i="40"/>
  <c r="W19" i="40"/>
  <c r="V19" i="40"/>
  <c r="S19" i="40"/>
  <c r="Q19" i="40"/>
  <c r="P19" i="40"/>
  <c r="M19" i="40"/>
  <c r="K19" i="40"/>
  <c r="J19" i="40"/>
  <c r="G19" i="40"/>
  <c r="F19" i="40"/>
  <c r="CH18" i="40"/>
  <c r="CF18" i="40"/>
  <c r="CE18" i="40"/>
  <c r="CB18" i="40"/>
  <c r="CA18" i="40"/>
  <c r="BX18" i="40"/>
  <c r="BW18" i="40"/>
  <c r="BT18" i="40"/>
  <c r="BS18" i="40"/>
  <c r="BP18" i="40"/>
  <c r="BN18" i="40"/>
  <c r="BJ18" i="40"/>
  <c r="BI18" i="40"/>
  <c r="BF18" i="40"/>
  <c r="BE18" i="40"/>
  <c r="AZ18" i="40"/>
  <c r="AV18" i="40"/>
  <c r="AT18" i="40"/>
  <c r="AN18" i="40"/>
  <c r="AM18" i="40"/>
  <c r="AJ18" i="40"/>
  <c r="AI18" i="40"/>
  <c r="AF18" i="40"/>
  <c r="AE18" i="40"/>
  <c r="AB18" i="40"/>
  <c r="AA18" i="40"/>
  <c r="W18" i="40"/>
  <c r="V18" i="40"/>
  <c r="S18" i="40"/>
  <c r="Q18" i="40"/>
  <c r="P18" i="40"/>
  <c r="M18" i="40"/>
  <c r="K18" i="40"/>
  <c r="J18" i="40"/>
  <c r="G18" i="40"/>
  <c r="F18" i="40"/>
  <c r="CR18" i="40" s="1"/>
  <c r="CH17" i="40"/>
  <c r="CF17" i="40"/>
  <c r="CE17" i="40"/>
  <c r="CB17" i="40"/>
  <c r="CA17" i="40"/>
  <c r="BX17" i="40"/>
  <c r="BW17" i="40"/>
  <c r="BT17" i="40"/>
  <c r="BS17" i="40"/>
  <c r="BP17" i="40"/>
  <c r="BN17" i="40"/>
  <c r="BJ17" i="40"/>
  <c r="BI17" i="40"/>
  <c r="BF17" i="40"/>
  <c r="BE17" i="40"/>
  <c r="AZ17" i="40"/>
  <c r="AV17" i="40"/>
  <c r="AT17" i="40"/>
  <c r="AN17" i="40"/>
  <c r="AM17" i="40"/>
  <c r="AJ17" i="40"/>
  <c r="AI17" i="40"/>
  <c r="AF17" i="40"/>
  <c r="AE17" i="40"/>
  <c r="AB17" i="40"/>
  <c r="AA17" i="40"/>
  <c r="W17" i="40"/>
  <c r="V17" i="40"/>
  <c r="S17" i="40"/>
  <c r="Q17" i="40"/>
  <c r="P17" i="40"/>
  <c r="M17" i="40"/>
  <c r="K17" i="40"/>
  <c r="J17" i="40"/>
  <c r="G17" i="40"/>
  <c r="F17" i="40"/>
  <c r="CH16" i="40"/>
  <c r="CF16" i="40"/>
  <c r="CE16" i="40"/>
  <c r="CB16" i="40"/>
  <c r="CA16" i="40"/>
  <c r="BX16" i="40"/>
  <c r="BW16" i="40"/>
  <c r="BT16" i="40"/>
  <c r="BS16" i="40"/>
  <c r="BP16" i="40"/>
  <c r="BN16" i="40"/>
  <c r="BJ16" i="40"/>
  <c r="BI16" i="40"/>
  <c r="BF16" i="40"/>
  <c r="BE16" i="40"/>
  <c r="AZ16" i="40"/>
  <c r="AV16" i="40"/>
  <c r="AT16" i="40"/>
  <c r="AN16" i="40"/>
  <c r="AM16" i="40"/>
  <c r="AJ16" i="40"/>
  <c r="AI16" i="40"/>
  <c r="AF16" i="40"/>
  <c r="AE16" i="40"/>
  <c r="AB16" i="40"/>
  <c r="AA16" i="40"/>
  <c r="W16" i="40"/>
  <c r="V16" i="40"/>
  <c r="S16" i="40"/>
  <c r="Q16" i="40"/>
  <c r="P16" i="40"/>
  <c r="M16" i="40"/>
  <c r="K16" i="40"/>
  <c r="J16" i="40"/>
  <c r="G16" i="40"/>
  <c r="F16" i="40"/>
  <c r="CH15" i="40"/>
  <c r="CF15" i="40"/>
  <c r="CE15" i="40"/>
  <c r="CB15" i="40"/>
  <c r="CA15" i="40"/>
  <c r="BX15" i="40"/>
  <c r="BW15" i="40"/>
  <c r="BT15" i="40"/>
  <c r="BS15" i="40"/>
  <c r="BP15" i="40"/>
  <c r="BN15" i="40"/>
  <c r="BJ15" i="40"/>
  <c r="BI15" i="40"/>
  <c r="BF15" i="40"/>
  <c r="BE15" i="40"/>
  <c r="AZ15" i="40"/>
  <c r="AV15" i="40"/>
  <c r="AT15" i="40"/>
  <c r="AN15" i="40"/>
  <c r="AM15" i="40"/>
  <c r="AJ15" i="40"/>
  <c r="AI15" i="40"/>
  <c r="AF15" i="40"/>
  <c r="AE15" i="40"/>
  <c r="AB15" i="40"/>
  <c r="AA15" i="40"/>
  <c r="W15" i="40"/>
  <c r="V15" i="40"/>
  <c r="S15" i="40"/>
  <c r="Q15" i="40"/>
  <c r="P15" i="40"/>
  <c r="M15" i="40"/>
  <c r="K15" i="40"/>
  <c r="J15" i="40"/>
  <c r="G15" i="40"/>
  <c r="F15" i="40"/>
  <c r="CH14" i="40"/>
  <c r="CF14" i="40"/>
  <c r="CE14" i="40"/>
  <c r="CB14" i="40"/>
  <c r="CA14" i="40"/>
  <c r="BX14" i="40"/>
  <c r="BW14" i="40"/>
  <c r="BT14" i="40"/>
  <c r="BS14" i="40"/>
  <c r="BP14" i="40"/>
  <c r="BN14" i="40"/>
  <c r="BJ14" i="40"/>
  <c r="BI14" i="40"/>
  <c r="BF14" i="40"/>
  <c r="BE14" i="40"/>
  <c r="AZ14" i="40"/>
  <c r="AV14" i="40"/>
  <c r="AT14" i="40"/>
  <c r="AN14" i="40"/>
  <c r="AM14" i="40"/>
  <c r="AJ14" i="40"/>
  <c r="AI14" i="40"/>
  <c r="AF14" i="40"/>
  <c r="AE14" i="40"/>
  <c r="AB14" i="40"/>
  <c r="AA14" i="40"/>
  <c r="W14" i="40"/>
  <c r="V14" i="40"/>
  <c r="S14" i="40"/>
  <c r="Q14" i="40"/>
  <c r="P14" i="40"/>
  <c r="M14" i="40"/>
  <c r="K14" i="40"/>
  <c r="J14" i="40"/>
  <c r="G14" i="40"/>
  <c r="F14" i="40"/>
  <c r="CR14" i="40" s="1"/>
  <c r="CH13" i="40"/>
  <c r="CF13" i="40"/>
  <c r="CE13" i="40"/>
  <c r="CB13" i="40"/>
  <c r="CA13" i="40"/>
  <c r="BX13" i="40"/>
  <c r="BW13" i="40"/>
  <c r="BT13" i="40"/>
  <c r="BS13" i="40"/>
  <c r="BP13" i="40"/>
  <c r="BN13" i="40"/>
  <c r="BJ13" i="40"/>
  <c r="BI13" i="40"/>
  <c r="BF13" i="40"/>
  <c r="BE13" i="40"/>
  <c r="AZ13" i="40"/>
  <c r="AV13" i="40"/>
  <c r="AT13" i="40"/>
  <c r="AN13" i="40"/>
  <c r="AM13" i="40"/>
  <c r="AJ13" i="40"/>
  <c r="AI13" i="40"/>
  <c r="AF13" i="40"/>
  <c r="AE13" i="40"/>
  <c r="AB13" i="40"/>
  <c r="AA13" i="40"/>
  <c r="W13" i="40"/>
  <c r="V13" i="40"/>
  <c r="S13" i="40"/>
  <c r="Q13" i="40"/>
  <c r="P13" i="40"/>
  <c r="M13" i="40"/>
  <c r="K13" i="40"/>
  <c r="J13" i="40"/>
  <c r="G13" i="40"/>
  <c r="F13" i="40"/>
  <c r="CH12" i="40"/>
  <c r="CF12" i="40"/>
  <c r="CE12" i="40"/>
  <c r="CB12" i="40"/>
  <c r="CA12" i="40"/>
  <c r="BX12" i="40"/>
  <c r="BW12" i="40"/>
  <c r="BT12" i="40"/>
  <c r="BS12" i="40"/>
  <c r="BP12" i="40"/>
  <c r="BN12" i="40"/>
  <c r="BJ12" i="40"/>
  <c r="BI12" i="40"/>
  <c r="BF12" i="40"/>
  <c r="BE12" i="40"/>
  <c r="AZ12" i="40"/>
  <c r="AV12" i="40"/>
  <c r="AT12" i="40"/>
  <c r="AN12" i="40"/>
  <c r="AM12" i="40"/>
  <c r="AJ12" i="40"/>
  <c r="AI12" i="40"/>
  <c r="AF12" i="40"/>
  <c r="AE12" i="40"/>
  <c r="AB12" i="40"/>
  <c r="AA12" i="40"/>
  <c r="W12" i="40"/>
  <c r="V12" i="40"/>
  <c r="S12" i="40"/>
  <c r="Q12" i="40"/>
  <c r="P12" i="40"/>
  <c r="M12" i="40"/>
  <c r="K12" i="40"/>
  <c r="J12" i="40"/>
  <c r="G12" i="40"/>
  <c r="F12" i="40"/>
  <c r="CH11" i="40"/>
  <c r="CF11" i="40"/>
  <c r="CE11" i="40"/>
  <c r="CB11" i="40"/>
  <c r="CA11" i="40"/>
  <c r="BX11" i="40"/>
  <c r="BW11" i="40"/>
  <c r="BT11" i="40"/>
  <c r="BS11" i="40"/>
  <c r="BP11" i="40"/>
  <c r="BN11" i="40"/>
  <c r="BJ11" i="40"/>
  <c r="BI11" i="40"/>
  <c r="BF11" i="40"/>
  <c r="BE11" i="40"/>
  <c r="AZ11" i="40"/>
  <c r="AV11" i="40"/>
  <c r="AT11" i="40"/>
  <c r="AN11" i="40"/>
  <c r="AM11" i="40"/>
  <c r="AJ11" i="40"/>
  <c r="AI11" i="40"/>
  <c r="AF11" i="40"/>
  <c r="AE11" i="40"/>
  <c r="AB11" i="40"/>
  <c r="AA11" i="40"/>
  <c r="W11" i="40"/>
  <c r="V11" i="40"/>
  <c r="S11" i="40"/>
  <c r="Q11" i="40"/>
  <c r="P11" i="40"/>
  <c r="M11" i="40"/>
  <c r="K11" i="40"/>
  <c r="J11" i="40"/>
  <c r="G11" i="40"/>
  <c r="F11" i="40"/>
  <c r="CH10" i="40"/>
  <c r="CF10" i="40"/>
  <c r="CE10" i="40"/>
  <c r="CB10" i="40"/>
  <c r="CA10" i="40"/>
  <c r="BX10" i="40"/>
  <c r="BW10" i="40"/>
  <c r="BT10" i="40"/>
  <c r="BS10" i="40"/>
  <c r="BP10" i="40"/>
  <c r="BN10" i="40"/>
  <c r="BJ10" i="40"/>
  <c r="BI10" i="40"/>
  <c r="BF10" i="40"/>
  <c r="BE10" i="40"/>
  <c r="AZ10" i="40"/>
  <c r="AV10" i="40"/>
  <c r="AT10" i="40"/>
  <c r="AN10" i="40"/>
  <c r="AM10" i="40"/>
  <c r="AJ10" i="40"/>
  <c r="AI10" i="40"/>
  <c r="AF10" i="40"/>
  <c r="AE10" i="40"/>
  <c r="AB10" i="40"/>
  <c r="AA10" i="40"/>
  <c r="W10" i="40"/>
  <c r="V10" i="40"/>
  <c r="S10" i="40"/>
  <c r="Q10" i="40"/>
  <c r="P10" i="40"/>
  <c r="M10" i="40"/>
  <c r="K10" i="40"/>
  <c r="J10" i="40"/>
  <c r="G10" i="40"/>
  <c r="F10" i="40"/>
  <c r="CR10" i="40" s="1"/>
  <c r="CH9" i="40"/>
  <c r="CF9" i="40"/>
  <c r="CE9" i="40"/>
  <c r="CB9" i="40"/>
  <c r="CA9" i="40"/>
  <c r="BX9" i="40"/>
  <c r="BW9" i="40"/>
  <c r="BT9" i="40"/>
  <c r="BS9" i="40"/>
  <c r="BP9" i="40"/>
  <c r="BN9" i="40"/>
  <c r="BJ9" i="40"/>
  <c r="BI9" i="40"/>
  <c r="BF9" i="40"/>
  <c r="BE9" i="40"/>
  <c r="AZ9" i="40"/>
  <c r="AV9" i="40"/>
  <c r="AT9" i="40"/>
  <c r="AN9" i="40"/>
  <c r="AM9" i="40"/>
  <c r="AJ9" i="40"/>
  <c r="AI9" i="40"/>
  <c r="AF9" i="40"/>
  <c r="AE9" i="40"/>
  <c r="AB9" i="40"/>
  <c r="AA9" i="40"/>
  <c r="W9" i="40"/>
  <c r="V9" i="40"/>
  <c r="S9" i="40"/>
  <c r="Q9" i="40"/>
  <c r="P9" i="40"/>
  <c r="M9" i="40"/>
  <c r="K9" i="40"/>
  <c r="J9" i="40"/>
  <c r="G9" i="40"/>
  <c r="F9" i="40"/>
  <c r="CH8" i="40"/>
  <c r="CF8" i="40"/>
  <c r="CE8" i="40"/>
  <c r="CB8" i="40"/>
  <c r="CA8" i="40"/>
  <c r="BX8" i="40"/>
  <c r="BW8" i="40"/>
  <c r="BT8" i="40"/>
  <c r="BS8" i="40"/>
  <c r="BP8" i="40"/>
  <c r="BN8" i="40"/>
  <c r="BJ8" i="40"/>
  <c r="BI8" i="40"/>
  <c r="AZ8" i="40"/>
  <c r="AV8" i="40"/>
  <c r="AT8" i="40"/>
  <c r="AN8" i="40"/>
  <c r="AM8" i="40"/>
  <c r="AJ8" i="40"/>
  <c r="AI8" i="40"/>
  <c r="AF8" i="40"/>
  <c r="AE8" i="40"/>
  <c r="AB8" i="40"/>
  <c r="AA8" i="40"/>
  <c r="W8" i="40"/>
  <c r="V8" i="40"/>
  <c r="S8" i="40"/>
  <c r="Q8" i="40"/>
  <c r="P8" i="40"/>
  <c r="M8" i="40"/>
  <c r="K8" i="40"/>
  <c r="J8" i="40"/>
  <c r="G8" i="40"/>
  <c r="F8" i="40"/>
  <c r="CH7" i="40"/>
  <c r="CF7" i="40"/>
  <c r="CF25" i="40" s="1"/>
  <c r="CE7" i="40"/>
  <c r="CB7" i="40"/>
  <c r="CB25" i="40" s="1"/>
  <c r="CA7" i="40"/>
  <c r="CA25" i="40" s="1"/>
  <c r="BX7" i="40"/>
  <c r="BW7" i="40"/>
  <c r="BT7" i="40"/>
  <c r="BS7" i="40"/>
  <c r="BP7" i="40"/>
  <c r="BN7" i="40"/>
  <c r="BJ7" i="40"/>
  <c r="BI7" i="40"/>
  <c r="BF7" i="40"/>
  <c r="BE7" i="40"/>
  <c r="AZ7" i="40"/>
  <c r="AZ25" i="40" s="1"/>
  <c r="AV7" i="40"/>
  <c r="AT7" i="40"/>
  <c r="AN7" i="40"/>
  <c r="AM7" i="40"/>
  <c r="AJ7" i="40"/>
  <c r="AJ25" i="40" s="1"/>
  <c r="AI7" i="40"/>
  <c r="AI25" i="40" s="1"/>
  <c r="AF7" i="40"/>
  <c r="AF25" i="40" s="1"/>
  <c r="AE7" i="40"/>
  <c r="AE25" i="40" s="1"/>
  <c r="AB7" i="40"/>
  <c r="AB25" i="40" s="1"/>
  <c r="AA7" i="40"/>
  <c r="AA25" i="40" s="1"/>
  <c r="W7" i="40"/>
  <c r="V7" i="40"/>
  <c r="S7" i="40"/>
  <c r="Q7" i="40"/>
  <c r="P7" i="40"/>
  <c r="M7" i="40"/>
  <c r="M25" i="40" s="1"/>
  <c r="K7" i="40"/>
  <c r="J7" i="40"/>
  <c r="J25" i="40" s="1"/>
  <c r="G7" i="40"/>
  <c r="F7" i="40"/>
  <c r="BD23" i="39"/>
  <c r="BD8" i="39"/>
  <c r="AR27" i="39"/>
  <c r="CH25" i="39"/>
  <c r="CF25" i="39"/>
  <c r="CE25" i="39"/>
  <c r="CB25" i="39"/>
  <c r="CA25" i="39"/>
  <c r="BX25" i="39"/>
  <c r="BW25" i="39"/>
  <c r="BT25" i="39"/>
  <c r="BS25" i="39"/>
  <c r="BP25" i="39"/>
  <c r="BN25" i="39"/>
  <c r="BJ25" i="39"/>
  <c r="BI25" i="39"/>
  <c r="BF25" i="39"/>
  <c r="BE25" i="39"/>
  <c r="AZ25" i="39"/>
  <c r="AV25" i="39"/>
  <c r="AT25" i="39"/>
  <c r="AN25" i="39"/>
  <c r="AM25" i="39"/>
  <c r="AJ25" i="39"/>
  <c r="AI25" i="39"/>
  <c r="AF25" i="39"/>
  <c r="AE25" i="39"/>
  <c r="AB25" i="39"/>
  <c r="AA25" i="39"/>
  <c r="W25" i="39"/>
  <c r="V25" i="39"/>
  <c r="S25" i="39"/>
  <c r="Q25" i="39"/>
  <c r="P25" i="39"/>
  <c r="M25" i="39"/>
  <c r="K25" i="39"/>
  <c r="J25" i="39"/>
  <c r="G25" i="39"/>
  <c r="F25" i="39"/>
  <c r="BC8" i="39"/>
  <c r="CP27" i="39"/>
  <c r="CO27" i="39"/>
  <c r="CN27" i="39"/>
  <c r="CM27" i="39"/>
  <c r="CL27" i="39"/>
  <c r="CK27" i="39"/>
  <c r="CI27" i="39"/>
  <c r="CG27" i="39"/>
  <c r="CD27" i="39"/>
  <c r="CC27" i="39"/>
  <c r="BZ27" i="39"/>
  <c r="BY27" i="39"/>
  <c r="BV27" i="39"/>
  <c r="BU27" i="39"/>
  <c r="BR27" i="39"/>
  <c r="BQ27" i="39"/>
  <c r="BO27" i="39"/>
  <c r="BM27" i="39"/>
  <c r="BL27" i="39"/>
  <c r="BK27" i="39"/>
  <c r="BH27" i="39"/>
  <c r="BG27" i="39"/>
  <c r="BB27" i="39"/>
  <c r="BA27" i="39"/>
  <c r="AY27" i="39"/>
  <c r="AX27" i="39"/>
  <c r="AW27" i="39"/>
  <c r="AU27" i="39"/>
  <c r="AS27" i="39"/>
  <c r="AQ27" i="39"/>
  <c r="AP27" i="39"/>
  <c r="AO27" i="39"/>
  <c r="AL27" i="39"/>
  <c r="AK27" i="39"/>
  <c r="AH27" i="39"/>
  <c r="AG27" i="39"/>
  <c r="AD27" i="39"/>
  <c r="AC27" i="39"/>
  <c r="Z27" i="39"/>
  <c r="Y27" i="39"/>
  <c r="X27" i="39"/>
  <c r="U27" i="39"/>
  <c r="T27" i="39"/>
  <c r="R27" i="39"/>
  <c r="O27" i="39"/>
  <c r="N27" i="39"/>
  <c r="L27" i="39"/>
  <c r="I27" i="39"/>
  <c r="H27" i="39"/>
  <c r="E27" i="39"/>
  <c r="D27" i="39"/>
  <c r="CH26" i="39"/>
  <c r="CF26" i="39"/>
  <c r="CE26" i="39"/>
  <c r="CB26" i="39"/>
  <c r="CA26" i="39"/>
  <c r="BX26" i="39"/>
  <c r="BW26" i="39"/>
  <c r="BT26" i="39"/>
  <c r="BS26" i="39"/>
  <c r="BP26" i="39"/>
  <c r="BN26" i="39"/>
  <c r="BJ26" i="39"/>
  <c r="BI26" i="39"/>
  <c r="BF26" i="39"/>
  <c r="BE26" i="39"/>
  <c r="AZ26" i="39"/>
  <c r="AV26" i="39"/>
  <c r="AT26" i="39"/>
  <c r="AN26" i="39"/>
  <c r="AM26" i="39"/>
  <c r="AJ26" i="39"/>
  <c r="AI26" i="39"/>
  <c r="AF26" i="39"/>
  <c r="AE26" i="39"/>
  <c r="AB26" i="39"/>
  <c r="AA26" i="39"/>
  <c r="W26" i="39"/>
  <c r="V26" i="39"/>
  <c r="S26" i="39"/>
  <c r="Q26" i="39"/>
  <c r="P26" i="39"/>
  <c r="M26" i="39"/>
  <c r="K26" i="39"/>
  <c r="J26" i="39"/>
  <c r="G26" i="39"/>
  <c r="CS26" i="39" s="1"/>
  <c r="F26" i="39"/>
  <c r="CH24" i="39"/>
  <c r="CF24" i="39"/>
  <c r="CE24" i="39"/>
  <c r="CB24" i="39"/>
  <c r="CA24" i="39"/>
  <c r="BX24" i="39"/>
  <c r="BW24" i="39"/>
  <c r="BT24" i="39"/>
  <c r="BS24" i="39"/>
  <c r="BP24" i="39"/>
  <c r="BN24" i="39"/>
  <c r="BJ24" i="39"/>
  <c r="BI24" i="39"/>
  <c r="BF24" i="39"/>
  <c r="BE24" i="39"/>
  <c r="AZ24" i="39"/>
  <c r="AV24" i="39"/>
  <c r="AT24" i="39"/>
  <c r="AN24" i="39"/>
  <c r="AM24" i="39"/>
  <c r="AJ24" i="39"/>
  <c r="AI24" i="39"/>
  <c r="AF24" i="39"/>
  <c r="AE24" i="39"/>
  <c r="AB24" i="39"/>
  <c r="AA24" i="39"/>
  <c r="W24" i="39"/>
  <c r="V24" i="39"/>
  <c r="S24" i="39"/>
  <c r="Q24" i="39"/>
  <c r="P24" i="39"/>
  <c r="M24" i="39"/>
  <c r="K24" i="39"/>
  <c r="J24" i="39"/>
  <c r="G24" i="39"/>
  <c r="F24" i="39"/>
  <c r="CH23" i="39"/>
  <c r="CF23" i="39"/>
  <c r="CE23" i="39"/>
  <c r="CB23" i="39"/>
  <c r="CA23" i="39"/>
  <c r="BX23" i="39"/>
  <c r="BW23" i="39"/>
  <c r="BT23" i="39"/>
  <c r="BS23" i="39"/>
  <c r="BP23" i="39"/>
  <c r="BN23" i="39"/>
  <c r="BJ23" i="39"/>
  <c r="BI23" i="39"/>
  <c r="BF23" i="39"/>
  <c r="BE23" i="39"/>
  <c r="AZ23" i="39"/>
  <c r="AV23" i="39"/>
  <c r="AT23" i="39"/>
  <c r="AN23" i="39"/>
  <c r="AM23" i="39"/>
  <c r="AJ23" i="39"/>
  <c r="AI23" i="39"/>
  <c r="AF23" i="39"/>
  <c r="AE23" i="39"/>
  <c r="AB23" i="39"/>
  <c r="AA23" i="39"/>
  <c r="W23" i="39"/>
  <c r="V23" i="39"/>
  <c r="S23" i="39"/>
  <c r="Q23" i="39"/>
  <c r="P23" i="39"/>
  <c r="M23" i="39"/>
  <c r="K23" i="39"/>
  <c r="J23" i="39"/>
  <c r="G23" i="39"/>
  <c r="F23" i="39"/>
  <c r="CH22" i="39"/>
  <c r="CF22" i="39"/>
  <c r="CE22" i="39"/>
  <c r="CB22" i="39"/>
  <c r="CA22" i="39"/>
  <c r="BX22" i="39"/>
  <c r="BW22" i="39"/>
  <c r="BT22" i="39"/>
  <c r="BS22" i="39"/>
  <c r="BP22" i="39"/>
  <c r="BN22" i="39"/>
  <c r="BJ22" i="39"/>
  <c r="BI22" i="39"/>
  <c r="BF22" i="39"/>
  <c r="BE22" i="39"/>
  <c r="AZ22" i="39"/>
  <c r="AV22" i="39"/>
  <c r="AT22" i="39"/>
  <c r="AN22" i="39"/>
  <c r="AM22" i="39"/>
  <c r="AJ22" i="39"/>
  <c r="AI22" i="39"/>
  <c r="AF22" i="39"/>
  <c r="AE22" i="39"/>
  <c r="AB22" i="39"/>
  <c r="AA22" i="39"/>
  <c r="W22" i="39"/>
  <c r="V22" i="39"/>
  <c r="S22" i="39"/>
  <c r="Q22" i="39"/>
  <c r="P22" i="39"/>
  <c r="M22" i="39"/>
  <c r="K22" i="39"/>
  <c r="J22" i="39"/>
  <c r="G22" i="39"/>
  <c r="F22" i="39"/>
  <c r="CH21" i="39"/>
  <c r="CF21" i="39"/>
  <c r="CE21" i="39"/>
  <c r="CB21" i="39"/>
  <c r="CA21" i="39"/>
  <c r="BX21" i="39"/>
  <c r="BW21" i="39"/>
  <c r="BT21" i="39"/>
  <c r="BS21" i="39"/>
  <c r="BP21" i="39"/>
  <c r="BN21" i="39"/>
  <c r="BJ21" i="39"/>
  <c r="BI21" i="39"/>
  <c r="BF21" i="39"/>
  <c r="BE21" i="39"/>
  <c r="AZ21" i="39"/>
  <c r="AV21" i="39"/>
  <c r="AT21" i="39"/>
  <c r="AN21" i="39"/>
  <c r="AM21" i="39"/>
  <c r="AJ21" i="39"/>
  <c r="AI21" i="39"/>
  <c r="AF21" i="39"/>
  <c r="AE21" i="39"/>
  <c r="AB21" i="39"/>
  <c r="AA21" i="39"/>
  <c r="W21" i="39"/>
  <c r="V21" i="39"/>
  <c r="S21" i="39"/>
  <c r="Q21" i="39"/>
  <c r="P21" i="39"/>
  <c r="M21" i="39"/>
  <c r="K21" i="39"/>
  <c r="J21" i="39"/>
  <c r="G21" i="39"/>
  <c r="F21" i="39"/>
  <c r="CH20" i="39"/>
  <c r="CF20" i="39"/>
  <c r="CE20" i="39"/>
  <c r="CB20" i="39"/>
  <c r="CA20" i="39"/>
  <c r="BX20" i="39"/>
  <c r="BW20" i="39"/>
  <c r="BT20" i="39"/>
  <c r="BS20" i="39"/>
  <c r="BP20" i="39"/>
  <c r="BN20" i="39"/>
  <c r="BJ20" i="39"/>
  <c r="BI20" i="39"/>
  <c r="BF20" i="39"/>
  <c r="BE20" i="39"/>
  <c r="AZ20" i="39"/>
  <c r="AV20" i="39"/>
  <c r="AT20" i="39"/>
  <c r="AN20" i="39"/>
  <c r="AM20" i="39"/>
  <c r="AJ20" i="39"/>
  <c r="AI20" i="39"/>
  <c r="AF20" i="39"/>
  <c r="AE20" i="39"/>
  <c r="AB20" i="39"/>
  <c r="AA20" i="39"/>
  <c r="W20" i="39"/>
  <c r="V20" i="39"/>
  <c r="S20" i="39"/>
  <c r="Q20" i="39"/>
  <c r="P20" i="39"/>
  <c r="M20" i="39"/>
  <c r="K20" i="39"/>
  <c r="J20" i="39"/>
  <c r="G20" i="39"/>
  <c r="F20" i="39"/>
  <c r="CH19" i="39"/>
  <c r="CF19" i="39"/>
  <c r="CE19" i="39"/>
  <c r="CB19" i="39"/>
  <c r="CA19" i="39"/>
  <c r="BX19" i="39"/>
  <c r="BW19" i="39"/>
  <c r="BT19" i="39"/>
  <c r="BS19" i="39"/>
  <c r="BP19" i="39"/>
  <c r="BN19" i="39"/>
  <c r="BJ19" i="39"/>
  <c r="BI19" i="39"/>
  <c r="BF19" i="39"/>
  <c r="BE19" i="39"/>
  <c r="AZ19" i="39"/>
  <c r="AV19" i="39"/>
  <c r="AT19" i="39"/>
  <c r="AN19" i="39"/>
  <c r="AM19" i="39"/>
  <c r="AJ19" i="39"/>
  <c r="AI19" i="39"/>
  <c r="AF19" i="39"/>
  <c r="AE19" i="39"/>
  <c r="AB19" i="39"/>
  <c r="AA19" i="39"/>
  <c r="W19" i="39"/>
  <c r="V19" i="39"/>
  <c r="S19" i="39"/>
  <c r="Q19" i="39"/>
  <c r="P19" i="39"/>
  <c r="M19" i="39"/>
  <c r="K19" i="39"/>
  <c r="J19" i="39"/>
  <c r="G19" i="39"/>
  <c r="F19" i="39"/>
  <c r="CJ27" i="39"/>
  <c r="CH18" i="39"/>
  <c r="CF18" i="39"/>
  <c r="CE18" i="39"/>
  <c r="CB18" i="39"/>
  <c r="CA18" i="39"/>
  <c r="BX18" i="39"/>
  <c r="BW18" i="39"/>
  <c r="BT18" i="39"/>
  <c r="BS18" i="39"/>
  <c r="BP18" i="39"/>
  <c r="BN18" i="39"/>
  <c r="BJ18" i="39"/>
  <c r="BI18" i="39"/>
  <c r="BF18" i="39"/>
  <c r="BE18" i="39"/>
  <c r="AZ18" i="39"/>
  <c r="AV18" i="39"/>
  <c r="AT18" i="39"/>
  <c r="AN18" i="39"/>
  <c r="AM18" i="39"/>
  <c r="AJ18" i="39"/>
  <c r="AI18" i="39"/>
  <c r="AF18" i="39"/>
  <c r="AE18" i="39"/>
  <c r="AB18" i="39"/>
  <c r="AA18" i="39"/>
  <c r="W18" i="39"/>
  <c r="V18" i="39"/>
  <c r="S18" i="39"/>
  <c r="Q18" i="39"/>
  <c r="P18" i="39"/>
  <c r="M18" i="39"/>
  <c r="K18" i="39"/>
  <c r="J18" i="39"/>
  <c r="G18" i="39"/>
  <c r="F18" i="39"/>
  <c r="CH17" i="39"/>
  <c r="CF17" i="39"/>
  <c r="CE17" i="39"/>
  <c r="CB17" i="39"/>
  <c r="CA17" i="39"/>
  <c r="BX17" i="39"/>
  <c r="BW17" i="39"/>
  <c r="BT17" i="39"/>
  <c r="BS17" i="39"/>
  <c r="BP17" i="39"/>
  <c r="BN17" i="39"/>
  <c r="BJ17" i="39"/>
  <c r="BI17" i="39"/>
  <c r="BF17" i="39"/>
  <c r="BE17" i="39"/>
  <c r="AZ17" i="39"/>
  <c r="AV17" i="39"/>
  <c r="AT17" i="39"/>
  <c r="AN17" i="39"/>
  <c r="AM17" i="39"/>
  <c r="AJ17" i="39"/>
  <c r="AI17" i="39"/>
  <c r="AF17" i="39"/>
  <c r="AE17" i="39"/>
  <c r="AB17" i="39"/>
  <c r="AA17" i="39"/>
  <c r="W17" i="39"/>
  <c r="V17" i="39"/>
  <c r="S17" i="39"/>
  <c r="Q17" i="39"/>
  <c r="P17" i="39"/>
  <c r="M17" i="39"/>
  <c r="K17" i="39"/>
  <c r="J17" i="39"/>
  <c r="G17" i="39"/>
  <c r="F17" i="39"/>
  <c r="CR17" i="39" s="1"/>
  <c r="CH16" i="39"/>
  <c r="CF16" i="39"/>
  <c r="CE16" i="39"/>
  <c r="CB16" i="39"/>
  <c r="CA16" i="39"/>
  <c r="BX16" i="39"/>
  <c r="BW16" i="39"/>
  <c r="BT16" i="39"/>
  <c r="BS16" i="39"/>
  <c r="BP16" i="39"/>
  <c r="BN16" i="39"/>
  <c r="BJ16" i="39"/>
  <c r="BI16" i="39"/>
  <c r="BF16" i="39"/>
  <c r="BE16" i="39"/>
  <c r="AZ16" i="39"/>
  <c r="AV16" i="39"/>
  <c r="AT16" i="39"/>
  <c r="AN16" i="39"/>
  <c r="AM16" i="39"/>
  <c r="AJ16" i="39"/>
  <c r="AI16" i="39"/>
  <c r="AF16" i="39"/>
  <c r="AE16" i="39"/>
  <c r="AB16" i="39"/>
  <c r="AA16" i="39"/>
  <c r="W16" i="39"/>
  <c r="V16" i="39"/>
  <c r="S16" i="39"/>
  <c r="Q16" i="39"/>
  <c r="P16" i="39"/>
  <c r="M16" i="39"/>
  <c r="K16" i="39"/>
  <c r="J16" i="39"/>
  <c r="G16" i="39"/>
  <c r="F16" i="39"/>
  <c r="CH15" i="39"/>
  <c r="CF15" i="39"/>
  <c r="CE15" i="39"/>
  <c r="CB15" i="39"/>
  <c r="CA15" i="39"/>
  <c r="BX15" i="39"/>
  <c r="BW15" i="39"/>
  <c r="BT15" i="39"/>
  <c r="BS15" i="39"/>
  <c r="BP15" i="39"/>
  <c r="BN15" i="39"/>
  <c r="BJ15" i="39"/>
  <c r="BI15" i="39"/>
  <c r="BF15" i="39"/>
  <c r="BE15" i="39"/>
  <c r="AZ15" i="39"/>
  <c r="AV15" i="39"/>
  <c r="AT15" i="39"/>
  <c r="AN15" i="39"/>
  <c r="AM15" i="39"/>
  <c r="AJ15" i="39"/>
  <c r="AI15" i="39"/>
  <c r="AF15" i="39"/>
  <c r="AE15" i="39"/>
  <c r="AB15" i="39"/>
  <c r="AA15" i="39"/>
  <c r="W15" i="39"/>
  <c r="V15" i="39"/>
  <c r="S15" i="39"/>
  <c r="Q15" i="39"/>
  <c r="P15" i="39"/>
  <c r="M15" i="39"/>
  <c r="K15" i="39"/>
  <c r="J15" i="39"/>
  <c r="G15" i="39"/>
  <c r="F15" i="39"/>
  <c r="CH14" i="39"/>
  <c r="CF14" i="39"/>
  <c r="CE14" i="39"/>
  <c r="CB14" i="39"/>
  <c r="CA14" i="39"/>
  <c r="BX14" i="39"/>
  <c r="BW14" i="39"/>
  <c r="BT14" i="39"/>
  <c r="BS14" i="39"/>
  <c r="BP14" i="39"/>
  <c r="BN14" i="39"/>
  <c r="BJ14" i="39"/>
  <c r="BI14" i="39"/>
  <c r="BF14" i="39"/>
  <c r="BE14" i="39"/>
  <c r="AZ14" i="39"/>
  <c r="AV14" i="39"/>
  <c r="AT14" i="39"/>
  <c r="AN14" i="39"/>
  <c r="AM14" i="39"/>
  <c r="AJ14" i="39"/>
  <c r="AI14" i="39"/>
  <c r="AF14" i="39"/>
  <c r="AE14" i="39"/>
  <c r="AB14" i="39"/>
  <c r="AA14" i="39"/>
  <c r="W14" i="39"/>
  <c r="V14" i="39"/>
  <c r="S14" i="39"/>
  <c r="Q14" i="39"/>
  <c r="P14" i="39"/>
  <c r="M14" i="39"/>
  <c r="K14" i="39"/>
  <c r="J14" i="39"/>
  <c r="G14" i="39"/>
  <c r="F14" i="39"/>
  <c r="CX27" i="39"/>
  <c r="CH13" i="39"/>
  <c r="CF13" i="39"/>
  <c r="CE13" i="39"/>
  <c r="CB13" i="39"/>
  <c r="CA13" i="39"/>
  <c r="BX13" i="39"/>
  <c r="BW13" i="39"/>
  <c r="BT13" i="39"/>
  <c r="BS13" i="39"/>
  <c r="BP13" i="39"/>
  <c r="BN13" i="39"/>
  <c r="BJ13" i="39"/>
  <c r="BI13" i="39"/>
  <c r="BF13" i="39"/>
  <c r="BE13" i="39"/>
  <c r="AZ13" i="39"/>
  <c r="AV13" i="39"/>
  <c r="AT13" i="39"/>
  <c r="AN13" i="39"/>
  <c r="AM13" i="39"/>
  <c r="AJ13" i="39"/>
  <c r="AI13" i="39"/>
  <c r="AF13" i="39"/>
  <c r="AE13" i="39"/>
  <c r="AB13" i="39"/>
  <c r="AA13" i="39"/>
  <c r="W13" i="39"/>
  <c r="V13" i="39"/>
  <c r="S13" i="39"/>
  <c r="Q13" i="39"/>
  <c r="P13" i="39"/>
  <c r="M13" i="39"/>
  <c r="K13" i="39"/>
  <c r="J13" i="39"/>
  <c r="G13" i="39"/>
  <c r="CS13" i="39" s="1"/>
  <c r="F13" i="39"/>
  <c r="CH12" i="39"/>
  <c r="CF12" i="39"/>
  <c r="CE12" i="39"/>
  <c r="CB12" i="39"/>
  <c r="CA12" i="39"/>
  <c r="BX12" i="39"/>
  <c r="BW12" i="39"/>
  <c r="BT12" i="39"/>
  <c r="BS12" i="39"/>
  <c r="BP12" i="39"/>
  <c r="BN12" i="39"/>
  <c r="BJ12" i="39"/>
  <c r="BI12" i="39"/>
  <c r="BF12" i="39"/>
  <c r="BE12" i="39"/>
  <c r="AZ12" i="39"/>
  <c r="AV12" i="39"/>
  <c r="AT12" i="39"/>
  <c r="AN12" i="39"/>
  <c r="AM12" i="39"/>
  <c r="AJ12" i="39"/>
  <c r="AI12" i="39"/>
  <c r="AF12" i="39"/>
  <c r="AE12" i="39"/>
  <c r="AB12" i="39"/>
  <c r="AA12" i="39"/>
  <c r="W12" i="39"/>
  <c r="V12" i="39"/>
  <c r="S12" i="39"/>
  <c r="Q12" i="39"/>
  <c r="P12" i="39"/>
  <c r="M12" i="39"/>
  <c r="K12" i="39"/>
  <c r="J12" i="39"/>
  <c r="G12" i="39"/>
  <c r="F12" i="39"/>
  <c r="CH11" i="39"/>
  <c r="CF11" i="39"/>
  <c r="CE11" i="39"/>
  <c r="CB11" i="39"/>
  <c r="CA11" i="39"/>
  <c r="BX11" i="39"/>
  <c r="BW11" i="39"/>
  <c r="BT11" i="39"/>
  <c r="BS11" i="39"/>
  <c r="BP11" i="39"/>
  <c r="BN11" i="39"/>
  <c r="BJ11" i="39"/>
  <c r="BI11" i="39"/>
  <c r="BF11" i="39"/>
  <c r="BE11" i="39"/>
  <c r="AZ11" i="39"/>
  <c r="AV11" i="39"/>
  <c r="AT11" i="39"/>
  <c r="AN11" i="39"/>
  <c r="AM11" i="39"/>
  <c r="AJ11" i="39"/>
  <c r="AI11" i="39"/>
  <c r="AF11" i="39"/>
  <c r="AE11" i="39"/>
  <c r="AB11" i="39"/>
  <c r="AA11" i="39"/>
  <c r="W11" i="39"/>
  <c r="V11" i="39"/>
  <c r="S11" i="39"/>
  <c r="Q11" i="39"/>
  <c r="P11" i="39"/>
  <c r="M11" i="39"/>
  <c r="K11" i="39"/>
  <c r="J11" i="39"/>
  <c r="G11" i="39"/>
  <c r="F11" i="39"/>
  <c r="CH10" i="39"/>
  <c r="CF10" i="39"/>
  <c r="CE10" i="39"/>
  <c r="CB10" i="39"/>
  <c r="CA10" i="39"/>
  <c r="BX10" i="39"/>
  <c r="BW10" i="39"/>
  <c r="BT10" i="39"/>
  <c r="BS10" i="39"/>
  <c r="BP10" i="39"/>
  <c r="BN10" i="39"/>
  <c r="BJ10" i="39"/>
  <c r="BI10" i="39"/>
  <c r="BF10" i="39"/>
  <c r="BE10" i="39"/>
  <c r="AZ10" i="39"/>
  <c r="AV10" i="39"/>
  <c r="AT10" i="39"/>
  <c r="AN10" i="39"/>
  <c r="AM10" i="39"/>
  <c r="AJ10" i="39"/>
  <c r="AI10" i="39"/>
  <c r="AF10" i="39"/>
  <c r="AE10" i="39"/>
  <c r="AB10" i="39"/>
  <c r="AA10" i="39"/>
  <c r="W10" i="39"/>
  <c r="V10" i="39"/>
  <c r="S10" i="39"/>
  <c r="Q10" i="39"/>
  <c r="P10" i="39"/>
  <c r="M10" i="39"/>
  <c r="K10" i="39"/>
  <c r="J10" i="39"/>
  <c r="G10" i="39"/>
  <c r="F10" i="39"/>
  <c r="CH9" i="39"/>
  <c r="CF9" i="39"/>
  <c r="CE9" i="39"/>
  <c r="CB9" i="39"/>
  <c r="CA9" i="39"/>
  <c r="BX9" i="39"/>
  <c r="BW9" i="39"/>
  <c r="BT9" i="39"/>
  <c r="BS9" i="39"/>
  <c r="BP9" i="39"/>
  <c r="BN9" i="39"/>
  <c r="BJ9" i="39"/>
  <c r="BI9" i="39"/>
  <c r="BF9" i="39"/>
  <c r="BE9" i="39"/>
  <c r="AZ9" i="39"/>
  <c r="AV9" i="39"/>
  <c r="AT9" i="39"/>
  <c r="AN9" i="39"/>
  <c r="AM9" i="39"/>
  <c r="AJ9" i="39"/>
  <c r="AI9" i="39"/>
  <c r="AF9" i="39"/>
  <c r="AE9" i="39"/>
  <c r="AB9" i="39"/>
  <c r="AA9" i="39"/>
  <c r="W9" i="39"/>
  <c r="V9" i="39"/>
  <c r="S9" i="39"/>
  <c r="Q9" i="39"/>
  <c r="P9" i="39"/>
  <c r="M9" i="39"/>
  <c r="K9" i="39"/>
  <c r="J9" i="39"/>
  <c r="G9" i="39"/>
  <c r="CS9" i="39" s="1"/>
  <c r="F9" i="39"/>
  <c r="CH8" i="39"/>
  <c r="CF8" i="39"/>
  <c r="CE8" i="39"/>
  <c r="CB8" i="39"/>
  <c r="CA8" i="39"/>
  <c r="BX8" i="39"/>
  <c r="BW8" i="39"/>
  <c r="BT8" i="39"/>
  <c r="BS8" i="39"/>
  <c r="BP8" i="39"/>
  <c r="BN8" i="39"/>
  <c r="BJ8" i="39"/>
  <c r="BI8" i="39"/>
  <c r="AZ8" i="39"/>
  <c r="AV8" i="39"/>
  <c r="AT8" i="39"/>
  <c r="AN8" i="39"/>
  <c r="AM8" i="39"/>
  <c r="AJ8" i="39"/>
  <c r="AI8" i="39"/>
  <c r="AF8" i="39"/>
  <c r="AE8" i="39"/>
  <c r="AB8" i="39"/>
  <c r="AA8" i="39"/>
  <c r="W8" i="39"/>
  <c r="V8" i="39"/>
  <c r="S8" i="39"/>
  <c r="Q8" i="39"/>
  <c r="P8" i="39"/>
  <c r="M8" i="39"/>
  <c r="K8" i="39"/>
  <c r="J8" i="39"/>
  <c r="G8" i="39"/>
  <c r="F8" i="39"/>
  <c r="CH7" i="39"/>
  <c r="CF7" i="39"/>
  <c r="CE7" i="39"/>
  <c r="CB7" i="39"/>
  <c r="CA7" i="39"/>
  <c r="BX7" i="39"/>
  <c r="BW7" i="39"/>
  <c r="BT7" i="39"/>
  <c r="BS7" i="39"/>
  <c r="BP7" i="39"/>
  <c r="BN7" i="39"/>
  <c r="BJ7" i="39"/>
  <c r="BI7" i="39"/>
  <c r="BF7" i="39"/>
  <c r="BE7" i="39"/>
  <c r="AZ7" i="39"/>
  <c r="AV7" i="39"/>
  <c r="AT7" i="39"/>
  <c r="AN7" i="39"/>
  <c r="AM7" i="39"/>
  <c r="AJ7" i="39"/>
  <c r="AI7" i="39"/>
  <c r="AF7" i="39"/>
  <c r="AE7" i="39"/>
  <c r="AB7" i="39"/>
  <c r="AA7" i="39"/>
  <c r="W7" i="39"/>
  <c r="V7" i="39"/>
  <c r="S7" i="39"/>
  <c r="S27" i="39" s="1"/>
  <c r="Q7" i="39"/>
  <c r="P7" i="39"/>
  <c r="M7" i="39"/>
  <c r="K7" i="39"/>
  <c r="J7" i="39"/>
  <c r="G7" i="39"/>
  <c r="F7" i="39"/>
  <c r="CH26" i="38"/>
  <c r="CF26" i="38"/>
  <c r="CE26" i="38"/>
  <c r="CB26" i="38"/>
  <c r="CA26" i="38"/>
  <c r="BX26" i="38"/>
  <c r="BW26" i="38"/>
  <c r="BT26" i="38"/>
  <c r="BS26" i="38"/>
  <c r="BP26" i="38"/>
  <c r="BN26" i="38"/>
  <c r="BJ26" i="38"/>
  <c r="BI26" i="38"/>
  <c r="BF26" i="38"/>
  <c r="BE26" i="38"/>
  <c r="AZ26" i="38"/>
  <c r="AV26" i="38"/>
  <c r="AT26" i="38"/>
  <c r="AN26" i="38"/>
  <c r="AM26" i="38"/>
  <c r="AJ26" i="38"/>
  <c r="AI26" i="38"/>
  <c r="AF26" i="38"/>
  <c r="AE26" i="38"/>
  <c r="AB26" i="38"/>
  <c r="AA26" i="38"/>
  <c r="W26" i="38"/>
  <c r="V26" i="38"/>
  <c r="S26" i="38"/>
  <c r="Q26" i="38"/>
  <c r="P26" i="38"/>
  <c r="M26" i="38"/>
  <c r="K26" i="38"/>
  <c r="J26" i="38"/>
  <c r="G26" i="38"/>
  <c r="CS26" i="38" s="1"/>
  <c r="F26" i="38"/>
  <c r="CR26" i="38" s="1"/>
  <c r="BD8" i="38"/>
  <c r="CJ19" i="38"/>
  <c r="BC8" i="38"/>
  <c r="CP28" i="38"/>
  <c r="CO28" i="38"/>
  <c r="CN28" i="38"/>
  <c r="CM28" i="38"/>
  <c r="CL28" i="38"/>
  <c r="CK28" i="38"/>
  <c r="CJ28" i="38"/>
  <c r="CI28" i="38"/>
  <c r="CG28" i="38"/>
  <c r="CD28" i="38"/>
  <c r="CC28" i="38"/>
  <c r="BZ28" i="38"/>
  <c r="BY28" i="38"/>
  <c r="BV28" i="38"/>
  <c r="BU28" i="38"/>
  <c r="BR28" i="38"/>
  <c r="BQ28" i="38"/>
  <c r="BO28" i="38"/>
  <c r="BM28" i="38"/>
  <c r="BL28" i="38"/>
  <c r="BK28" i="38"/>
  <c r="BH28" i="38"/>
  <c r="BG28" i="38"/>
  <c r="BB28" i="38"/>
  <c r="BA28" i="38"/>
  <c r="AY28" i="38"/>
  <c r="AX28" i="38"/>
  <c r="AW28" i="38"/>
  <c r="AU28" i="38"/>
  <c r="AS28" i="38"/>
  <c r="AR28" i="38"/>
  <c r="AQ28" i="38"/>
  <c r="AP28" i="38"/>
  <c r="AO28" i="38"/>
  <c r="AL28" i="38"/>
  <c r="AK28" i="38"/>
  <c r="AH28" i="38"/>
  <c r="AG28" i="38"/>
  <c r="AD28" i="38"/>
  <c r="AC28" i="38"/>
  <c r="Z28" i="38"/>
  <c r="Y28" i="38"/>
  <c r="X28" i="38"/>
  <c r="U28" i="38"/>
  <c r="T28" i="38"/>
  <c r="R28" i="38"/>
  <c r="O28" i="38"/>
  <c r="N28" i="38"/>
  <c r="L28" i="38"/>
  <c r="I28" i="38"/>
  <c r="H28" i="38"/>
  <c r="E28" i="38"/>
  <c r="D28" i="38"/>
  <c r="CH27" i="38"/>
  <c r="CF27" i="38"/>
  <c r="CE27" i="38"/>
  <c r="CB27" i="38"/>
  <c r="CA27" i="38"/>
  <c r="BX27" i="38"/>
  <c r="BW27" i="38"/>
  <c r="BT27" i="38"/>
  <c r="BS27" i="38"/>
  <c r="BP27" i="38"/>
  <c r="BN27" i="38"/>
  <c r="BJ27" i="38"/>
  <c r="BI27" i="38"/>
  <c r="BF27" i="38"/>
  <c r="BE27" i="38"/>
  <c r="AZ27" i="38"/>
  <c r="AV27" i="38"/>
  <c r="AT27" i="38"/>
  <c r="AN27" i="38"/>
  <c r="AM27" i="38"/>
  <c r="AJ27" i="38"/>
  <c r="AI27" i="38"/>
  <c r="AF27" i="38"/>
  <c r="AE27" i="38"/>
  <c r="AB27" i="38"/>
  <c r="AA27" i="38"/>
  <c r="W27" i="38"/>
  <c r="V27" i="38"/>
  <c r="S27" i="38"/>
  <c r="Q27" i="38"/>
  <c r="P27" i="38"/>
  <c r="M27" i="38"/>
  <c r="K27" i="38"/>
  <c r="J27" i="38"/>
  <c r="G27" i="38"/>
  <c r="CS27" i="38" s="1"/>
  <c r="F27" i="38"/>
  <c r="CR27" i="38" s="1"/>
  <c r="CH25" i="38"/>
  <c r="CF25" i="38"/>
  <c r="CE25" i="38"/>
  <c r="CB25" i="38"/>
  <c r="CA25" i="38"/>
  <c r="BX25" i="38"/>
  <c r="BW25" i="38"/>
  <c r="BT25" i="38"/>
  <c r="BS25" i="38"/>
  <c r="BP25" i="38"/>
  <c r="BN25" i="38"/>
  <c r="BJ25" i="38"/>
  <c r="BI25" i="38"/>
  <c r="BF25" i="38"/>
  <c r="BE25" i="38"/>
  <c r="AZ25" i="38"/>
  <c r="AV25" i="38"/>
  <c r="AT25" i="38"/>
  <c r="AN25" i="38"/>
  <c r="AM25" i="38"/>
  <c r="AJ25" i="38"/>
  <c r="AI25" i="38"/>
  <c r="AF25" i="38"/>
  <c r="AE25" i="38"/>
  <c r="AB25" i="38"/>
  <c r="AA25" i="38"/>
  <c r="W25" i="38"/>
  <c r="V25" i="38"/>
  <c r="S25" i="38"/>
  <c r="Q25" i="38"/>
  <c r="P25" i="38"/>
  <c r="M25" i="38"/>
  <c r="K25" i="38"/>
  <c r="J25" i="38"/>
  <c r="G25" i="38"/>
  <c r="CS25" i="38" s="1"/>
  <c r="F25" i="38"/>
  <c r="CR25" i="38" s="1"/>
  <c r="CH24" i="38"/>
  <c r="CF24" i="38"/>
  <c r="CE24" i="38"/>
  <c r="CB24" i="38"/>
  <c r="CA24" i="38"/>
  <c r="BX24" i="38"/>
  <c r="BW24" i="38"/>
  <c r="BT24" i="38"/>
  <c r="BS24" i="38"/>
  <c r="BP24" i="38"/>
  <c r="BN24" i="38"/>
  <c r="BJ24" i="38"/>
  <c r="BI24" i="38"/>
  <c r="BF24" i="38"/>
  <c r="BE24" i="38"/>
  <c r="AZ24" i="38"/>
  <c r="AV24" i="38"/>
  <c r="AT24" i="38"/>
  <c r="AN24" i="38"/>
  <c r="AM24" i="38"/>
  <c r="AJ24" i="38"/>
  <c r="AI24" i="38"/>
  <c r="AF24" i="38"/>
  <c r="AE24" i="38"/>
  <c r="AB24" i="38"/>
  <c r="AA24" i="38"/>
  <c r="W24" i="38"/>
  <c r="V24" i="38"/>
  <c r="S24" i="38"/>
  <c r="Q24" i="38"/>
  <c r="P24" i="38"/>
  <c r="M24" i="38"/>
  <c r="K24" i="38"/>
  <c r="J24" i="38"/>
  <c r="G24" i="38"/>
  <c r="CS24" i="38" s="1"/>
  <c r="F24" i="38"/>
  <c r="CR24" i="38" s="1"/>
  <c r="CH23" i="38"/>
  <c r="CF23" i="38"/>
  <c r="CE23" i="38"/>
  <c r="CB23" i="38"/>
  <c r="CA23" i="38"/>
  <c r="BX23" i="38"/>
  <c r="BW23" i="38"/>
  <c r="BT23" i="38"/>
  <c r="BS23" i="38"/>
  <c r="BP23" i="38"/>
  <c r="BN23" i="38"/>
  <c r="BJ23" i="38"/>
  <c r="BI23" i="38"/>
  <c r="BF23" i="38"/>
  <c r="BE23" i="38"/>
  <c r="AZ23" i="38"/>
  <c r="AV23" i="38"/>
  <c r="AT23" i="38"/>
  <c r="AN23" i="38"/>
  <c r="AM23" i="38"/>
  <c r="AJ23" i="38"/>
  <c r="AI23" i="38"/>
  <c r="AF23" i="38"/>
  <c r="AE23" i="38"/>
  <c r="AB23" i="38"/>
  <c r="AA23" i="38"/>
  <c r="W23" i="38"/>
  <c r="V23" i="38"/>
  <c r="S23" i="38"/>
  <c r="Q23" i="38"/>
  <c r="P23" i="38"/>
  <c r="M23" i="38"/>
  <c r="K23" i="38"/>
  <c r="J23" i="38"/>
  <c r="G23" i="38"/>
  <c r="CS23" i="38" s="1"/>
  <c r="F23" i="38"/>
  <c r="CR23" i="38" s="1"/>
  <c r="CH22" i="38"/>
  <c r="CF22" i="38"/>
  <c r="CE22" i="38"/>
  <c r="CB22" i="38"/>
  <c r="CA22" i="38"/>
  <c r="BX22" i="38"/>
  <c r="BW22" i="38"/>
  <c r="BT22" i="38"/>
  <c r="BS22" i="38"/>
  <c r="BP22" i="38"/>
  <c r="BN22" i="38"/>
  <c r="BJ22" i="38"/>
  <c r="BI22" i="38"/>
  <c r="BF22" i="38"/>
  <c r="BE22" i="38"/>
  <c r="AZ22" i="38"/>
  <c r="AV22" i="38"/>
  <c r="AT22" i="38"/>
  <c r="AN22" i="38"/>
  <c r="AM22" i="38"/>
  <c r="AJ22" i="38"/>
  <c r="AI22" i="38"/>
  <c r="AF22" i="38"/>
  <c r="AE22" i="38"/>
  <c r="AB22" i="38"/>
  <c r="AA22" i="38"/>
  <c r="W22" i="38"/>
  <c r="V22" i="38"/>
  <c r="S22" i="38"/>
  <c r="Q22" i="38"/>
  <c r="P22" i="38"/>
  <c r="M22" i="38"/>
  <c r="K22" i="38"/>
  <c r="J22" i="38"/>
  <c r="G22" i="38"/>
  <c r="CS22" i="38" s="1"/>
  <c r="F22" i="38"/>
  <c r="CR22" i="38" s="1"/>
  <c r="CH21" i="38"/>
  <c r="CF21" i="38"/>
  <c r="CE21" i="38"/>
  <c r="CB21" i="38"/>
  <c r="CA21" i="38"/>
  <c r="BX21" i="38"/>
  <c r="BW21" i="38"/>
  <c r="BT21" i="38"/>
  <c r="BS21" i="38"/>
  <c r="BP21" i="38"/>
  <c r="BN21" i="38"/>
  <c r="BJ21" i="38"/>
  <c r="BI21" i="38"/>
  <c r="BF21" i="38"/>
  <c r="BE21" i="38"/>
  <c r="AZ21" i="38"/>
  <c r="AV21" i="38"/>
  <c r="AT21" i="38"/>
  <c r="AN21" i="38"/>
  <c r="AM21" i="38"/>
  <c r="AJ21" i="38"/>
  <c r="AI21" i="38"/>
  <c r="AF21" i="38"/>
  <c r="AE21" i="38"/>
  <c r="AB21" i="38"/>
  <c r="AA21" i="38"/>
  <c r="W21" i="38"/>
  <c r="V21" i="38"/>
  <c r="S21" i="38"/>
  <c r="Q21" i="38"/>
  <c r="P21" i="38"/>
  <c r="M21" i="38"/>
  <c r="K21" i="38"/>
  <c r="J21" i="38"/>
  <c r="G21" i="38"/>
  <c r="CS21" i="38" s="1"/>
  <c r="F21" i="38"/>
  <c r="CR21" i="38" s="1"/>
  <c r="CH20" i="38"/>
  <c r="CF20" i="38"/>
  <c r="CE20" i="38"/>
  <c r="CB20" i="38"/>
  <c r="CA20" i="38"/>
  <c r="BX20" i="38"/>
  <c r="BW20" i="38"/>
  <c r="BT20" i="38"/>
  <c r="BS20" i="38"/>
  <c r="BP20" i="38"/>
  <c r="BN20" i="38"/>
  <c r="BJ20" i="38"/>
  <c r="BI20" i="38"/>
  <c r="BF20" i="38"/>
  <c r="BE20" i="38"/>
  <c r="AZ20" i="38"/>
  <c r="AV20" i="38"/>
  <c r="AT20" i="38"/>
  <c r="AN20" i="38"/>
  <c r="AM20" i="38"/>
  <c r="AJ20" i="38"/>
  <c r="AI20" i="38"/>
  <c r="AF20" i="38"/>
  <c r="AE20" i="38"/>
  <c r="AB20" i="38"/>
  <c r="AA20" i="38"/>
  <c r="W20" i="38"/>
  <c r="V20" i="38"/>
  <c r="S20" i="38"/>
  <c r="Q20" i="38"/>
  <c r="P20" i="38"/>
  <c r="M20" i="38"/>
  <c r="K20" i="38"/>
  <c r="J20" i="38"/>
  <c r="G20" i="38"/>
  <c r="CS20" i="38" s="1"/>
  <c r="F20" i="38"/>
  <c r="CR20" i="38" s="1"/>
  <c r="CH19" i="38"/>
  <c r="CF19" i="38"/>
  <c r="CE19" i="38"/>
  <c r="CB19" i="38"/>
  <c r="CA19" i="38"/>
  <c r="BX19" i="38"/>
  <c r="BW19" i="38"/>
  <c r="BT19" i="38"/>
  <c r="BS19" i="38"/>
  <c r="BP19" i="38"/>
  <c r="BN19" i="38"/>
  <c r="BJ19" i="38"/>
  <c r="BI19" i="38"/>
  <c r="BF19" i="38"/>
  <c r="BE19" i="38"/>
  <c r="AZ19" i="38"/>
  <c r="AV19" i="38"/>
  <c r="AT19" i="38"/>
  <c r="AN19" i="38"/>
  <c r="AM19" i="38"/>
  <c r="AJ19" i="38"/>
  <c r="AI19" i="38"/>
  <c r="AF19" i="38"/>
  <c r="AE19" i="38"/>
  <c r="AB19" i="38"/>
  <c r="AA19" i="38"/>
  <c r="W19" i="38"/>
  <c r="V19" i="38"/>
  <c r="S19" i="38"/>
  <c r="Q19" i="38"/>
  <c r="P19" i="38"/>
  <c r="M19" i="38"/>
  <c r="K19" i="38"/>
  <c r="J19" i="38"/>
  <c r="G19" i="38"/>
  <c r="CS19" i="38" s="1"/>
  <c r="F19" i="38"/>
  <c r="CR19" i="38" s="1"/>
  <c r="CH18" i="38"/>
  <c r="CF18" i="38"/>
  <c r="CE18" i="38"/>
  <c r="CB18" i="38"/>
  <c r="CA18" i="38"/>
  <c r="BX18" i="38"/>
  <c r="BW18" i="38"/>
  <c r="BT18" i="38"/>
  <c r="BS18" i="38"/>
  <c r="BP18" i="38"/>
  <c r="BN18" i="38"/>
  <c r="BJ18" i="38"/>
  <c r="BI18" i="38"/>
  <c r="BF18" i="38"/>
  <c r="BE18" i="38"/>
  <c r="AZ18" i="38"/>
  <c r="AV18" i="38"/>
  <c r="AT18" i="38"/>
  <c r="AN18" i="38"/>
  <c r="AM18" i="38"/>
  <c r="AJ18" i="38"/>
  <c r="AI18" i="38"/>
  <c r="AF18" i="38"/>
  <c r="AE18" i="38"/>
  <c r="AB18" i="38"/>
  <c r="AA18" i="38"/>
  <c r="W18" i="38"/>
  <c r="V18" i="38"/>
  <c r="S18" i="38"/>
  <c r="Q18" i="38"/>
  <c r="P18" i="38"/>
  <c r="M18" i="38"/>
  <c r="K18" i="38"/>
  <c r="J18" i="38"/>
  <c r="G18" i="38"/>
  <c r="CS18" i="38" s="1"/>
  <c r="F18" i="38"/>
  <c r="CR18" i="38" s="1"/>
  <c r="CH17" i="38"/>
  <c r="CF17" i="38"/>
  <c r="CE17" i="38"/>
  <c r="CB17" i="38"/>
  <c r="CA17" i="38"/>
  <c r="BX17" i="38"/>
  <c r="BW17" i="38"/>
  <c r="BT17" i="38"/>
  <c r="BS17" i="38"/>
  <c r="BP17" i="38"/>
  <c r="BN17" i="38"/>
  <c r="BJ17" i="38"/>
  <c r="BI17" i="38"/>
  <c r="BF17" i="38"/>
  <c r="BE17" i="38"/>
  <c r="AZ17" i="38"/>
  <c r="AV17" i="38"/>
  <c r="AT17" i="38"/>
  <c r="AN17" i="38"/>
  <c r="AM17" i="38"/>
  <c r="AJ17" i="38"/>
  <c r="AI17" i="38"/>
  <c r="AF17" i="38"/>
  <c r="AE17" i="38"/>
  <c r="AB17" i="38"/>
  <c r="AA17" i="38"/>
  <c r="W17" i="38"/>
  <c r="V17" i="38"/>
  <c r="S17" i="38"/>
  <c r="Q17" i="38"/>
  <c r="P17" i="38"/>
  <c r="M17" i="38"/>
  <c r="K17" i="38"/>
  <c r="J17" i="38"/>
  <c r="G17" i="38"/>
  <c r="CS17" i="38" s="1"/>
  <c r="F17" i="38"/>
  <c r="CR17" i="38" s="1"/>
  <c r="CH16" i="38"/>
  <c r="CF16" i="38"/>
  <c r="CE16" i="38"/>
  <c r="CB16" i="38"/>
  <c r="CA16" i="38"/>
  <c r="BX16" i="38"/>
  <c r="BW16" i="38"/>
  <c r="BT16" i="38"/>
  <c r="BS16" i="38"/>
  <c r="BP16" i="38"/>
  <c r="BN16" i="38"/>
  <c r="BJ16" i="38"/>
  <c r="BI16" i="38"/>
  <c r="BF16" i="38"/>
  <c r="BE16" i="38"/>
  <c r="AZ16" i="38"/>
  <c r="AV16" i="38"/>
  <c r="AT16" i="38"/>
  <c r="AN16" i="38"/>
  <c r="AM16" i="38"/>
  <c r="AJ16" i="38"/>
  <c r="AI16" i="38"/>
  <c r="AF16" i="38"/>
  <c r="AE16" i="38"/>
  <c r="AB16" i="38"/>
  <c r="AA16" i="38"/>
  <c r="W16" i="38"/>
  <c r="V16" i="38"/>
  <c r="S16" i="38"/>
  <c r="Q16" i="38"/>
  <c r="P16" i="38"/>
  <c r="M16" i="38"/>
  <c r="K16" i="38"/>
  <c r="J16" i="38"/>
  <c r="G16" i="38"/>
  <c r="CS16" i="38" s="1"/>
  <c r="F16" i="38"/>
  <c r="CH15" i="38"/>
  <c r="CF15" i="38"/>
  <c r="CE15" i="38"/>
  <c r="CB15" i="38"/>
  <c r="CA15" i="38"/>
  <c r="BX15" i="38"/>
  <c r="BW15" i="38"/>
  <c r="BT15" i="38"/>
  <c r="BS15" i="38"/>
  <c r="BP15" i="38"/>
  <c r="BN15" i="38"/>
  <c r="BJ15" i="38"/>
  <c r="BI15" i="38"/>
  <c r="BF15" i="38"/>
  <c r="BE15" i="38"/>
  <c r="AZ15" i="38"/>
  <c r="AV15" i="38"/>
  <c r="AT15" i="38"/>
  <c r="AN15" i="38"/>
  <c r="AM15" i="38"/>
  <c r="AJ15" i="38"/>
  <c r="AI15" i="38"/>
  <c r="AF15" i="38"/>
  <c r="AE15" i="38"/>
  <c r="AB15" i="38"/>
  <c r="AA15" i="38"/>
  <c r="W15" i="38"/>
  <c r="V15" i="38"/>
  <c r="S15" i="38"/>
  <c r="Q15" i="38"/>
  <c r="P15" i="38"/>
  <c r="M15" i="38"/>
  <c r="K15" i="38"/>
  <c r="J15" i="38"/>
  <c r="G15" i="38"/>
  <c r="CS15" i="38" s="1"/>
  <c r="F15" i="38"/>
  <c r="CR15" i="38" s="1"/>
  <c r="CH14" i="38"/>
  <c r="CF14" i="38"/>
  <c r="CE14" i="38"/>
  <c r="CB14" i="38"/>
  <c r="CA14" i="38"/>
  <c r="BX14" i="38"/>
  <c r="BW14" i="38"/>
  <c r="BT14" i="38"/>
  <c r="BS14" i="38"/>
  <c r="BP14" i="38"/>
  <c r="BN14" i="38"/>
  <c r="BJ14" i="38"/>
  <c r="BI14" i="38"/>
  <c r="BF14" i="38"/>
  <c r="BE14" i="38"/>
  <c r="AZ14" i="38"/>
  <c r="AV14" i="38"/>
  <c r="AT14" i="38"/>
  <c r="AN14" i="38"/>
  <c r="AM14" i="38"/>
  <c r="AJ14" i="38"/>
  <c r="AI14" i="38"/>
  <c r="AF14" i="38"/>
  <c r="AE14" i="38"/>
  <c r="AB14" i="38"/>
  <c r="AA14" i="38"/>
  <c r="W14" i="38"/>
  <c r="V14" i="38"/>
  <c r="S14" i="38"/>
  <c r="Q14" i="38"/>
  <c r="P14" i="38"/>
  <c r="M14" i="38"/>
  <c r="K14" i="38"/>
  <c r="J14" i="38"/>
  <c r="G14" i="38"/>
  <c r="CS14" i="38" s="1"/>
  <c r="F14" i="38"/>
  <c r="CR14" i="38" s="1"/>
  <c r="CX28" i="38"/>
  <c r="CH13" i="38"/>
  <c r="CF13" i="38"/>
  <c r="CE13" i="38"/>
  <c r="CB13" i="38"/>
  <c r="CA13" i="38"/>
  <c r="BX13" i="38"/>
  <c r="BW13" i="38"/>
  <c r="BT13" i="38"/>
  <c r="BS13" i="38"/>
  <c r="BP13" i="38"/>
  <c r="BN13" i="38"/>
  <c r="BJ13" i="38"/>
  <c r="BI13" i="38"/>
  <c r="BF13" i="38"/>
  <c r="BE13" i="38"/>
  <c r="AZ13" i="38"/>
  <c r="AV13" i="38"/>
  <c r="AT13" i="38"/>
  <c r="AN13" i="38"/>
  <c r="AM13" i="38"/>
  <c r="AJ13" i="38"/>
  <c r="AI13" i="38"/>
  <c r="AF13" i="38"/>
  <c r="AE13" i="38"/>
  <c r="AB13" i="38"/>
  <c r="AA13" i="38"/>
  <c r="W13" i="38"/>
  <c r="V13" i="38"/>
  <c r="S13" i="38"/>
  <c r="Q13" i="38"/>
  <c r="P13" i="38"/>
  <c r="M13" i="38"/>
  <c r="K13" i="38"/>
  <c r="J13" i="38"/>
  <c r="G13" i="38"/>
  <c r="CS13" i="38" s="1"/>
  <c r="F13" i="38"/>
  <c r="CR13" i="38" s="1"/>
  <c r="CU13" i="38" s="1"/>
  <c r="CH12" i="38"/>
  <c r="CF12" i="38"/>
  <c r="CE12" i="38"/>
  <c r="CB12" i="38"/>
  <c r="CA12" i="38"/>
  <c r="BX12" i="38"/>
  <c r="BW12" i="38"/>
  <c r="BT12" i="38"/>
  <c r="BS12" i="38"/>
  <c r="BP12" i="38"/>
  <c r="BN12" i="38"/>
  <c r="BJ12" i="38"/>
  <c r="BI12" i="38"/>
  <c r="BF12" i="38"/>
  <c r="BE12" i="38"/>
  <c r="AZ12" i="38"/>
  <c r="AV12" i="38"/>
  <c r="AT12" i="38"/>
  <c r="AN12" i="38"/>
  <c r="AM12" i="38"/>
  <c r="AJ12" i="38"/>
  <c r="AI12" i="38"/>
  <c r="AF12" i="38"/>
  <c r="AE12" i="38"/>
  <c r="AB12" i="38"/>
  <c r="AA12" i="38"/>
  <c r="W12" i="38"/>
  <c r="V12" i="38"/>
  <c r="S12" i="38"/>
  <c r="Q12" i="38"/>
  <c r="P12" i="38"/>
  <c r="M12" i="38"/>
  <c r="K12" i="38"/>
  <c r="J12" i="38"/>
  <c r="G12" i="38"/>
  <c r="CS12" i="38" s="1"/>
  <c r="F12" i="38"/>
  <c r="CR12" i="38" s="1"/>
  <c r="CH11" i="38"/>
  <c r="CF11" i="38"/>
  <c r="CE11" i="38"/>
  <c r="CB11" i="38"/>
  <c r="CA11" i="38"/>
  <c r="BX11" i="38"/>
  <c r="BW11" i="38"/>
  <c r="BT11" i="38"/>
  <c r="BS11" i="38"/>
  <c r="BP11" i="38"/>
  <c r="BN11" i="38"/>
  <c r="BJ11" i="38"/>
  <c r="BI11" i="38"/>
  <c r="BF11" i="38"/>
  <c r="BE11" i="38"/>
  <c r="AZ11" i="38"/>
  <c r="AV11" i="38"/>
  <c r="AT11" i="38"/>
  <c r="AN11" i="38"/>
  <c r="AM11" i="38"/>
  <c r="AJ11" i="38"/>
  <c r="AI11" i="38"/>
  <c r="AF11" i="38"/>
  <c r="AE11" i="38"/>
  <c r="AB11" i="38"/>
  <c r="AA11" i="38"/>
  <c r="W11" i="38"/>
  <c r="V11" i="38"/>
  <c r="S11" i="38"/>
  <c r="Q11" i="38"/>
  <c r="P11" i="38"/>
  <c r="M11" i="38"/>
  <c r="K11" i="38"/>
  <c r="J11" i="38"/>
  <c r="G11" i="38"/>
  <c r="CS11" i="38" s="1"/>
  <c r="F11" i="38"/>
  <c r="CH10" i="38"/>
  <c r="CF10" i="38"/>
  <c r="CE10" i="38"/>
  <c r="CB10" i="38"/>
  <c r="CA10" i="38"/>
  <c r="BX10" i="38"/>
  <c r="BW10" i="38"/>
  <c r="BT10" i="38"/>
  <c r="BS10" i="38"/>
  <c r="BP10" i="38"/>
  <c r="BN10" i="38"/>
  <c r="BJ10" i="38"/>
  <c r="BI10" i="38"/>
  <c r="BF10" i="38"/>
  <c r="BE10" i="38"/>
  <c r="AZ10" i="38"/>
  <c r="AV10" i="38"/>
  <c r="AT10" i="38"/>
  <c r="AN10" i="38"/>
  <c r="AM10" i="38"/>
  <c r="AJ10" i="38"/>
  <c r="AI10" i="38"/>
  <c r="AF10" i="38"/>
  <c r="AE10" i="38"/>
  <c r="AB10" i="38"/>
  <c r="AA10" i="38"/>
  <c r="W10" i="38"/>
  <c r="V10" i="38"/>
  <c r="S10" i="38"/>
  <c r="Q10" i="38"/>
  <c r="P10" i="38"/>
  <c r="M10" i="38"/>
  <c r="K10" i="38"/>
  <c r="J10" i="38"/>
  <c r="G10" i="38"/>
  <c r="CS10" i="38" s="1"/>
  <c r="F10" i="38"/>
  <c r="CR10" i="38" s="1"/>
  <c r="CH9" i="38"/>
  <c r="CF9" i="38"/>
  <c r="CE9" i="38"/>
  <c r="CB9" i="38"/>
  <c r="CA9" i="38"/>
  <c r="BX9" i="38"/>
  <c r="BW9" i="38"/>
  <c r="BT9" i="38"/>
  <c r="BS9" i="38"/>
  <c r="BP9" i="38"/>
  <c r="BN9" i="38"/>
  <c r="BJ9" i="38"/>
  <c r="BI9" i="38"/>
  <c r="BF9" i="38"/>
  <c r="BE9" i="38"/>
  <c r="AZ9" i="38"/>
  <c r="AV9" i="38"/>
  <c r="AT9" i="38"/>
  <c r="AN9" i="38"/>
  <c r="AM9" i="38"/>
  <c r="AJ9" i="38"/>
  <c r="AI9" i="38"/>
  <c r="AF9" i="38"/>
  <c r="AE9" i="38"/>
  <c r="AB9" i="38"/>
  <c r="AA9" i="38"/>
  <c r="W9" i="38"/>
  <c r="V9" i="38"/>
  <c r="S9" i="38"/>
  <c r="Q9" i="38"/>
  <c r="P9" i="38"/>
  <c r="M9" i="38"/>
  <c r="K9" i="38"/>
  <c r="J9" i="38"/>
  <c r="G9" i="38"/>
  <c r="CS9" i="38" s="1"/>
  <c r="F9" i="38"/>
  <c r="CR9" i="38" s="1"/>
  <c r="CH8" i="38"/>
  <c r="CF8" i="38"/>
  <c r="CE8" i="38"/>
  <c r="CB8" i="38"/>
  <c r="CA8" i="38"/>
  <c r="BX8" i="38"/>
  <c r="BW8" i="38"/>
  <c r="BT8" i="38"/>
  <c r="BS8" i="38"/>
  <c r="BP8" i="38"/>
  <c r="BN8" i="38"/>
  <c r="BJ8" i="38"/>
  <c r="BI8" i="38"/>
  <c r="AZ8" i="38"/>
  <c r="AV8" i="38"/>
  <c r="AT8" i="38"/>
  <c r="AN8" i="38"/>
  <c r="AM8" i="38"/>
  <c r="AJ8" i="38"/>
  <c r="AI8" i="38"/>
  <c r="AF8" i="38"/>
  <c r="AE8" i="38"/>
  <c r="AB8" i="38"/>
  <c r="AA8" i="38"/>
  <c r="W8" i="38"/>
  <c r="V8" i="38"/>
  <c r="S8" i="38"/>
  <c r="Q8" i="38"/>
  <c r="P8" i="38"/>
  <c r="M8" i="38"/>
  <c r="K8" i="38"/>
  <c r="J8" i="38"/>
  <c r="G8" i="38"/>
  <c r="F8" i="38"/>
  <c r="CH7" i="38"/>
  <c r="CF7" i="38"/>
  <c r="CF28" i="38" s="1"/>
  <c r="CE7" i="38"/>
  <c r="CE28" i="38" s="1"/>
  <c r="CB7" i="38"/>
  <c r="CB28" i="38" s="1"/>
  <c r="CA7" i="38"/>
  <c r="CA28" i="38" s="1"/>
  <c r="BX7" i="38"/>
  <c r="BX28" i="38" s="1"/>
  <c r="BW7" i="38"/>
  <c r="BT7" i="38"/>
  <c r="BT28" i="38" s="1"/>
  <c r="BS7" i="38"/>
  <c r="BS28" i="38" s="1"/>
  <c r="BP7" i="38"/>
  <c r="BP28" i="38" s="1"/>
  <c r="BN7" i="38"/>
  <c r="BN28" i="38" s="1"/>
  <c r="BJ7" i="38"/>
  <c r="BJ28" i="38" s="1"/>
  <c r="BI7" i="38"/>
  <c r="BI28" i="38" s="1"/>
  <c r="BF7" i="38"/>
  <c r="BE7" i="38"/>
  <c r="AZ7" i="38"/>
  <c r="AZ28" i="38" s="1"/>
  <c r="AV7" i="38"/>
  <c r="AV28" i="38" s="1"/>
  <c r="AT7" i="38"/>
  <c r="AT28" i="38" s="1"/>
  <c r="AN7" i="38"/>
  <c r="AN28" i="38" s="1"/>
  <c r="AM7" i="38"/>
  <c r="AM28" i="38" s="1"/>
  <c r="AJ7" i="38"/>
  <c r="AJ28" i="38" s="1"/>
  <c r="AI7" i="38"/>
  <c r="AI28" i="38" s="1"/>
  <c r="AF7" i="38"/>
  <c r="AF28" i="38" s="1"/>
  <c r="AE7" i="38"/>
  <c r="AE28" i="38" s="1"/>
  <c r="AB7" i="38"/>
  <c r="AB28" i="38" s="1"/>
  <c r="AA7" i="38"/>
  <c r="AA28" i="38" s="1"/>
  <c r="W7" i="38"/>
  <c r="W28" i="38" s="1"/>
  <c r="V7" i="38"/>
  <c r="V28" i="38" s="1"/>
  <c r="S7" i="38"/>
  <c r="S28" i="38" s="1"/>
  <c r="Q7" i="38"/>
  <c r="Q28" i="38" s="1"/>
  <c r="P7" i="38"/>
  <c r="P28" i="38" s="1"/>
  <c r="M7" i="38"/>
  <c r="M28" i="38" s="1"/>
  <c r="K7" i="38"/>
  <c r="K28" i="38" s="1"/>
  <c r="J7" i="38"/>
  <c r="J28" i="38" s="1"/>
  <c r="G7" i="38"/>
  <c r="F7" i="38"/>
  <c r="CX13" i="37"/>
  <c r="BD23" i="37"/>
  <c r="BD18" i="37"/>
  <c r="BD8" i="37"/>
  <c r="BC23" i="37"/>
  <c r="BC24" i="37"/>
  <c r="BC18" i="37"/>
  <c r="BC8" i="37"/>
  <c r="CP27" i="37"/>
  <c r="CO27" i="37"/>
  <c r="CN27" i="37"/>
  <c r="CM27" i="37"/>
  <c r="CL27" i="37"/>
  <c r="CK27" i="37"/>
  <c r="CJ27" i="37"/>
  <c r="CI27" i="37"/>
  <c r="CG27" i="37"/>
  <c r="CD27" i="37"/>
  <c r="CC27" i="37"/>
  <c r="BZ27" i="37"/>
  <c r="BY27" i="37"/>
  <c r="BV27" i="37"/>
  <c r="BU27" i="37"/>
  <c r="BR27" i="37"/>
  <c r="BQ27" i="37"/>
  <c r="BO27" i="37"/>
  <c r="BM27" i="37"/>
  <c r="BL27" i="37"/>
  <c r="BK27" i="37"/>
  <c r="BH27" i="37"/>
  <c r="BG27" i="37"/>
  <c r="BB27" i="37"/>
  <c r="BA27" i="37"/>
  <c r="AY27" i="37"/>
  <c r="AX27" i="37"/>
  <c r="AW27" i="37"/>
  <c r="AU27" i="37"/>
  <c r="AS27" i="37"/>
  <c r="AR27" i="37"/>
  <c r="AQ27" i="37"/>
  <c r="AP27" i="37"/>
  <c r="AO27" i="37"/>
  <c r="AL27" i="37"/>
  <c r="AK27" i="37"/>
  <c r="AH27" i="37"/>
  <c r="AG27" i="37"/>
  <c r="AD27" i="37"/>
  <c r="AC27" i="37"/>
  <c r="Z27" i="37"/>
  <c r="Y27" i="37"/>
  <c r="X27" i="37"/>
  <c r="U27" i="37"/>
  <c r="T27" i="37"/>
  <c r="R27" i="37"/>
  <c r="O27" i="37"/>
  <c r="N27" i="37"/>
  <c r="L27" i="37"/>
  <c r="I27" i="37"/>
  <c r="H27" i="37"/>
  <c r="E27" i="37"/>
  <c r="D27" i="37"/>
  <c r="CH26" i="37"/>
  <c r="CF26" i="37"/>
  <c r="CE26" i="37"/>
  <c r="CB26" i="37"/>
  <c r="CA26" i="37"/>
  <c r="BX26" i="37"/>
  <c r="BW26" i="37"/>
  <c r="BT26" i="37"/>
  <c r="BS26" i="37"/>
  <c r="BP26" i="37"/>
  <c r="BN26" i="37"/>
  <c r="BJ26" i="37"/>
  <c r="BI26" i="37"/>
  <c r="BF26" i="37"/>
  <c r="BE26" i="37"/>
  <c r="AZ26" i="37"/>
  <c r="AV26" i="37"/>
  <c r="AT26" i="37"/>
  <c r="AN26" i="37"/>
  <c r="AM26" i="37"/>
  <c r="AJ26" i="37"/>
  <c r="AI26" i="37"/>
  <c r="AF26" i="37"/>
  <c r="AE26" i="37"/>
  <c r="AB26" i="37"/>
  <c r="AA26" i="37"/>
  <c r="W26" i="37"/>
  <c r="V26" i="37"/>
  <c r="S26" i="37"/>
  <c r="Q26" i="37"/>
  <c r="P26" i="37"/>
  <c r="M26" i="37"/>
  <c r="K26" i="37"/>
  <c r="J26" i="37"/>
  <c r="G26" i="37"/>
  <c r="F26" i="37"/>
  <c r="CH25" i="37"/>
  <c r="CF25" i="37"/>
  <c r="CE25" i="37"/>
  <c r="CB25" i="37"/>
  <c r="CA25" i="37"/>
  <c r="BX25" i="37"/>
  <c r="BW25" i="37"/>
  <c r="BT25" i="37"/>
  <c r="BS25" i="37"/>
  <c r="BP25" i="37"/>
  <c r="BN25" i="37"/>
  <c r="BJ25" i="37"/>
  <c r="BI25" i="37"/>
  <c r="BF25" i="37"/>
  <c r="BE25" i="37"/>
  <c r="AZ25" i="37"/>
  <c r="AV25" i="37"/>
  <c r="AT25" i="37"/>
  <c r="AN25" i="37"/>
  <c r="AM25" i="37"/>
  <c r="AJ25" i="37"/>
  <c r="AI25" i="37"/>
  <c r="AF25" i="37"/>
  <c r="AE25" i="37"/>
  <c r="AB25" i="37"/>
  <c r="AA25" i="37"/>
  <c r="W25" i="37"/>
  <c r="V25" i="37"/>
  <c r="S25" i="37"/>
  <c r="Q25" i="37"/>
  <c r="P25" i="37"/>
  <c r="M25" i="37"/>
  <c r="K25" i="37"/>
  <c r="J25" i="37"/>
  <c r="G25" i="37"/>
  <c r="F25" i="37"/>
  <c r="CH24" i="37"/>
  <c r="CF24" i="37"/>
  <c r="CE24" i="37"/>
  <c r="CB24" i="37"/>
  <c r="CA24" i="37"/>
  <c r="BX24" i="37"/>
  <c r="BW24" i="37"/>
  <c r="BT24" i="37"/>
  <c r="BS24" i="37"/>
  <c r="BP24" i="37"/>
  <c r="BN24" i="37"/>
  <c r="BJ24" i="37"/>
  <c r="BI24" i="37"/>
  <c r="BF24" i="37"/>
  <c r="BE24" i="37"/>
  <c r="AZ24" i="37"/>
  <c r="AV24" i="37"/>
  <c r="AT24" i="37"/>
  <c r="AN24" i="37"/>
  <c r="AM24" i="37"/>
  <c r="AJ24" i="37"/>
  <c r="AI24" i="37"/>
  <c r="AF24" i="37"/>
  <c r="AE24" i="37"/>
  <c r="AB24" i="37"/>
  <c r="AA24" i="37"/>
  <c r="W24" i="37"/>
  <c r="V24" i="37"/>
  <c r="S24" i="37"/>
  <c r="Q24" i="37"/>
  <c r="P24" i="37"/>
  <c r="M24" i="37"/>
  <c r="K24" i="37"/>
  <c r="J24" i="37"/>
  <c r="G24" i="37"/>
  <c r="F24" i="37"/>
  <c r="CH23" i="37"/>
  <c r="CF23" i="37"/>
  <c r="CE23" i="37"/>
  <c r="CB23" i="37"/>
  <c r="CA23" i="37"/>
  <c r="BX23" i="37"/>
  <c r="BW23" i="37"/>
  <c r="BT23" i="37"/>
  <c r="BS23" i="37"/>
  <c r="BP23" i="37"/>
  <c r="BN23" i="37"/>
  <c r="BJ23" i="37"/>
  <c r="BI23" i="37"/>
  <c r="BF23" i="37"/>
  <c r="BE23" i="37"/>
  <c r="AZ23" i="37"/>
  <c r="AV23" i="37"/>
  <c r="AT23" i="37"/>
  <c r="AN23" i="37"/>
  <c r="AM23" i="37"/>
  <c r="AJ23" i="37"/>
  <c r="AI23" i="37"/>
  <c r="AF23" i="37"/>
  <c r="AE23" i="37"/>
  <c r="AB23" i="37"/>
  <c r="AA23" i="37"/>
  <c r="W23" i="37"/>
  <c r="V23" i="37"/>
  <c r="S23" i="37"/>
  <c r="Q23" i="37"/>
  <c r="P23" i="37"/>
  <c r="M23" i="37"/>
  <c r="K23" i="37"/>
  <c r="J23" i="37"/>
  <c r="G23" i="37"/>
  <c r="F23" i="37"/>
  <c r="CH22" i="37"/>
  <c r="CF22" i="37"/>
  <c r="CE22" i="37"/>
  <c r="CB22" i="37"/>
  <c r="CA22" i="37"/>
  <c r="BX22" i="37"/>
  <c r="BW22" i="37"/>
  <c r="BT22" i="37"/>
  <c r="BS22" i="37"/>
  <c r="BP22" i="37"/>
  <c r="BN22" i="37"/>
  <c r="BJ22" i="37"/>
  <c r="BI22" i="37"/>
  <c r="BF22" i="37"/>
  <c r="BE22" i="37"/>
  <c r="AZ22" i="37"/>
  <c r="AV22" i="37"/>
  <c r="AT22" i="37"/>
  <c r="AN22" i="37"/>
  <c r="AM22" i="37"/>
  <c r="AJ22" i="37"/>
  <c r="AI22" i="37"/>
  <c r="AF22" i="37"/>
  <c r="AE22" i="37"/>
  <c r="AB22" i="37"/>
  <c r="AA22" i="37"/>
  <c r="W22" i="37"/>
  <c r="V22" i="37"/>
  <c r="S22" i="37"/>
  <c r="Q22" i="37"/>
  <c r="P22" i="37"/>
  <c r="M22" i="37"/>
  <c r="K22" i="37"/>
  <c r="J22" i="37"/>
  <c r="G22" i="37"/>
  <c r="F22" i="37"/>
  <c r="CH21" i="37"/>
  <c r="CF21" i="37"/>
  <c r="CE21" i="37"/>
  <c r="CB21" i="37"/>
  <c r="CA21" i="37"/>
  <c r="BX21" i="37"/>
  <c r="BW21" i="37"/>
  <c r="BT21" i="37"/>
  <c r="BS21" i="37"/>
  <c r="BP21" i="37"/>
  <c r="BN21" i="37"/>
  <c r="BJ21" i="37"/>
  <c r="BI21" i="37"/>
  <c r="BF21" i="37"/>
  <c r="BE21" i="37"/>
  <c r="AZ21" i="37"/>
  <c r="AV21" i="37"/>
  <c r="AT21" i="37"/>
  <c r="AN21" i="37"/>
  <c r="AM21" i="37"/>
  <c r="AJ21" i="37"/>
  <c r="AI21" i="37"/>
  <c r="AF21" i="37"/>
  <c r="AE21" i="37"/>
  <c r="AB21" i="37"/>
  <c r="AA21" i="37"/>
  <c r="W21" i="37"/>
  <c r="V21" i="37"/>
  <c r="S21" i="37"/>
  <c r="Q21" i="37"/>
  <c r="P21" i="37"/>
  <c r="M21" i="37"/>
  <c r="K21" i="37"/>
  <c r="J21" i="37"/>
  <c r="G21" i="37"/>
  <c r="F21" i="37"/>
  <c r="CH20" i="37"/>
  <c r="CF20" i="37"/>
  <c r="CE20" i="37"/>
  <c r="CB20" i="37"/>
  <c r="CA20" i="37"/>
  <c r="BX20" i="37"/>
  <c r="BW20" i="37"/>
  <c r="BT20" i="37"/>
  <c r="BS20" i="37"/>
  <c r="BP20" i="37"/>
  <c r="BN20" i="37"/>
  <c r="BJ20" i="37"/>
  <c r="BI20" i="37"/>
  <c r="BF20" i="37"/>
  <c r="BE20" i="37"/>
  <c r="AZ20" i="37"/>
  <c r="AV20" i="37"/>
  <c r="AT20" i="37"/>
  <c r="AN20" i="37"/>
  <c r="AM20" i="37"/>
  <c r="AJ20" i="37"/>
  <c r="AI20" i="37"/>
  <c r="AF20" i="37"/>
  <c r="AE20" i="37"/>
  <c r="AB20" i="37"/>
  <c r="AA20" i="37"/>
  <c r="W20" i="37"/>
  <c r="V20" i="37"/>
  <c r="S20" i="37"/>
  <c r="Q20" i="37"/>
  <c r="P20" i="37"/>
  <c r="M20" i="37"/>
  <c r="K20" i="37"/>
  <c r="J20" i="37"/>
  <c r="G20" i="37"/>
  <c r="F20" i="37"/>
  <c r="CH19" i="37"/>
  <c r="CF19" i="37"/>
  <c r="CE19" i="37"/>
  <c r="CB19" i="37"/>
  <c r="CA19" i="37"/>
  <c r="BX19" i="37"/>
  <c r="BW19" i="37"/>
  <c r="BT19" i="37"/>
  <c r="BS19" i="37"/>
  <c r="BP19" i="37"/>
  <c r="BN19" i="37"/>
  <c r="BJ19" i="37"/>
  <c r="BI19" i="37"/>
  <c r="BF19" i="37"/>
  <c r="BE19" i="37"/>
  <c r="AZ19" i="37"/>
  <c r="AV19" i="37"/>
  <c r="AT19" i="37"/>
  <c r="AN19" i="37"/>
  <c r="AM19" i="37"/>
  <c r="AJ19" i="37"/>
  <c r="AI19" i="37"/>
  <c r="AF19" i="37"/>
  <c r="AE19" i="37"/>
  <c r="AB19" i="37"/>
  <c r="AA19" i="37"/>
  <c r="W19" i="37"/>
  <c r="V19" i="37"/>
  <c r="S19" i="37"/>
  <c r="Q19" i="37"/>
  <c r="P19" i="37"/>
  <c r="M19" i="37"/>
  <c r="K19" i="37"/>
  <c r="J19" i="37"/>
  <c r="G19" i="37"/>
  <c r="F19" i="37"/>
  <c r="CH18" i="37"/>
  <c r="CF18" i="37"/>
  <c r="CE18" i="37"/>
  <c r="CB18" i="37"/>
  <c r="CA18" i="37"/>
  <c r="BX18" i="37"/>
  <c r="BW18" i="37"/>
  <c r="BT18" i="37"/>
  <c r="BS18" i="37"/>
  <c r="BP18" i="37"/>
  <c r="BN18" i="37"/>
  <c r="BJ18" i="37"/>
  <c r="BI18" i="37"/>
  <c r="BF18" i="37"/>
  <c r="BE18" i="37"/>
  <c r="AZ18" i="37"/>
  <c r="AV18" i="37"/>
  <c r="AT18" i="37"/>
  <c r="AN18" i="37"/>
  <c r="AM18" i="37"/>
  <c r="AJ18" i="37"/>
  <c r="AI18" i="37"/>
  <c r="AF18" i="37"/>
  <c r="AE18" i="37"/>
  <c r="AB18" i="37"/>
  <c r="AA18" i="37"/>
  <c r="W18" i="37"/>
  <c r="V18" i="37"/>
  <c r="S18" i="37"/>
  <c r="Q18" i="37"/>
  <c r="P18" i="37"/>
  <c r="M18" i="37"/>
  <c r="K18" i="37"/>
  <c r="J18" i="37"/>
  <c r="G18" i="37"/>
  <c r="F18" i="37"/>
  <c r="CH17" i="37"/>
  <c r="CF17" i="37"/>
  <c r="CE17" i="37"/>
  <c r="CB17" i="37"/>
  <c r="CA17" i="37"/>
  <c r="BX17" i="37"/>
  <c r="BW17" i="37"/>
  <c r="BT17" i="37"/>
  <c r="BS17" i="37"/>
  <c r="BP17" i="37"/>
  <c r="BN17" i="37"/>
  <c r="BJ17" i="37"/>
  <c r="BI17" i="37"/>
  <c r="BF17" i="37"/>
  <c r="BE17" i="37"/>
  <c r="AZ17" i="37"/>
  <c r="AV17" i="37"/>
  <c r="AT17" i="37"/>
  <c r="AN17" i="37"/>
  <c r="AM17" i="37"/>
  <c r="AJ17" i="37"/>
  <c r="AI17" i="37"/>
  <c r="AF17" i="37"/>
  <c r="AE17" i="37"/>
  <c r="AB17" i="37"/>
  <c r="AA17" i="37"/>
  <c r="W17" i="37"/>
  <c r="V17" i="37"/>
  <c r="S17" i="37"/>
  <c r="Q17" i="37"/>
  <c r="P17" i="37"/>
  <c r="M17" i="37"/>
  <c r="K17" i="37"/>
  <c r="J17" i="37"/>
  <c r="G17" i="37"/>
  <c r="F17" i="37"/>
  <c r="CH16" i="37"/>
  <c r="CF16" i="37"/>
  <c r="CE16" i="37"/>
  <c r="CB16" i="37"/>
  <c r="CA16" i="37"/>
  <c r="BX16" i="37"/>
  <c r="BW16" i="37"/>
  <c r="BT16" i="37"/>
  <c r="BS16" i="37"/>
  <c r="BP16" i="37"/>
  <c r="BN16" i="37"/>
  <c r="BJ16" i="37"/>
  <c r="BI16" i="37"/>
  <c r="BF16" i="37"/>
  <c r="BE16" i="37"/>
  <c r="AZ16" i="37"/>
  <c r="AV16" i="37"/>
  <c r="AT16" i="37"/>
  <c r="AN16" i="37"/>
  <c r="AM16" i="37"/>
  <c r="AJ16" i="37"/>
  <c r="AI16" i="37"/>
  <c r="AF16" i="37"/>
  <c r="AE16" i="37"/>
  <c r="AB16" i="37"/>
  <c r="AA16" i="37"/>
  <c r="W16" i="37"/>
  <c r="V16" i="37"/>
  <c r="S16" i="37"/>
  <c r="Q16" i="37"/>
  <c r="P16" i="37"/>
  <c r="M16" i="37"/>
  <c r="K16" i="37"/>
  <c r="J16" i="37"/>
  <c r="G16" i="37"/>
  <c r="F16" i="37"/>
  <c r="CH15" i="37"/>
  <c r="CF15" i="37"/>
  <c r="CE15" i="37"/>
  <c r="CB15" i="37"/>
  <c r="CA15" i="37"/>
  <c r="BX15" i="37"/>
  <c r="BW15" i="37"/>
  <c r="BT15" i="37"/>
  <c r="BS15" i="37"/>
  <c r="BP15" i="37"/>
  <c r="BN15" i="37"/>
  <c r="BJ15" i="37"/>
  <c r="BI15" i="37"/>
  <c r="BF15" i="37"/>
  <c r="BE15" i="37"/>
  <c r="AZ15" i="37"/>
  <c r="AV15" i="37"/>
  <c r="AT15" i="37"/>
  <c r="AN15" i="37"/>
  <c r="AM15" i="37"/>
  <c r="AJ15" i="37"/>
  <c r="AI15" i="37"/>
  <c r="AF15" i="37"/>
  <c r="AE15" i="37"/>
  <c r="AB15" i="37"/>
  <c r="AA15" i="37"/>
  <c r="W15" i="37"/>
  <c r="V15" i="37"/>
  <c r="S15" i="37"/>
  <c r="Q15" i="37"/>
  <c r="P15" i="37"/>
  <c r="M15" i="37"/>
  <c r="K15" i="37"/>
  <c r="J15" i="37"/>
  <c r="G15" i="37"/>
  <c r="F15" i="37"/>
  <c r="CH14" i="37"/>
  <c r="CF14" i="37"/>
  <c r="CE14" i="37"/>
  <c r="CB14" i="37"/>
  <c r="CA14" i="37"/>
  <c r="BX14" i="37"/>
  <c r="BW14" i="37"/>
  <c r="BT14" i="37"/>
  <c r="BS14" i="37"/>
  <c r="BP14" i="37"/>
  <c r="BN14" i="37"/>
  <c r="BJ14" i="37"/>
  <c r="BI14" i="37"/>
  <c r="BF14" i="37"/>
  <c r="BE14" i="37"/>
  <c r="AZ14" i="37"/>
  <c r="AV14" i="37"/>
  <c r="AT14" i="37"/>
  <c r="AN14" i="37"/>
  <c r="AM14" i="37"/>
  <c r="AJ14" i="37"/>
  <c r="AI14" i="37"/>
  <c r="AF14" i="37"/>
  <c r="AE14" i="37"/>
  <c r="AB14" i="37"/>
  <c r="AA14" i="37"/>
  <c r="W14" i="37"/>
  <c r="V14" i="37"/>
  <c r="S14" i="37"/>
  <c r="Q14" i="37"/>
  <c r="P14" i="37"/>
  <c r="M14" i="37"/>
  <c r="K14" i="37"/>
  <c r="J14" i="37"/>
  <c r="G14" i="37"/>
  <c r="F14" i="37"/>
  <c r="CX27" i="37"/>
  <c r="CH13" i="37"/>
  <c r="CF13" i="37"/>
  <c r="CE13" i="37"/>
  <c r="CB13" i="37"/>
  <c r="CA13" i="37"/>
  <c r="BX13" i="37"/>
  <c r="BW13" i="37"/>
  <c r="BT13" i="37"/>
  <c r="BS13" i="37"/>
  <c r="BP13" i="37"/>
  <c r="BN13" i="37"/>
  <c r="BJ13" i="37"/>
  <c r="BI13" i="37"/>
  <c r="BF13" i="37"/>
  <c r="BE13" i="37"/>
  <c r="AZ13" i="37"/>
  <c r="AV13" i="37"/>
  <c r="AT13" i="37"/>
  <c r="AN13" i="37"/>
  <c r="AM13" i="37"/>
  <c r="AJ13" i="37"/>
  <c r="AI13" i="37"/>
  <c r="AF13" i="37"/>
  <c r="AE13" i="37"/>
  <c r="AB13" i="37"/>
  <c r="AA13" i="37"/>
  <c r="W13" i="37"/>
  <c r="V13" i="37"/>
  <c r="S13" i="37"/>
  <c r="Q13" i="37"/>
  <c r="P13" i="37"/>
  <c r="M13" i="37"/>
  <c r="K13" i="37"/>
  <c r="J13" i="37"/>
  <c r="G13" i="37"/>
  <c r="F13" i="37"/>
  <c r="CH12" i="37"/>
  <c r="CF12" i="37"/>
  <c r="CE12" i="37"/>
  <c r="CB12" i="37"/>
  <c r="CA12" i="37"/>
  <c r="BX12" i="37"/>
  <c r="BW12" i="37"/>
  <c r="BT12" i="37"/>
  <c r="BS12" i="37"/>
  <c r="BP12" i="37"/>
  <c r="BN12" i="37"/>
  <c r="BJ12" i="37"/>
  <c r="BI12" i="37"/>
  <c r="BF12" i="37"/>
  <c r="BE12" i="37"/>
  <c r="AZ12" i="37"/>
  <c r="AV12" i="37"/>
  <c r="AT12" i="37"/>
  <c r="AN12" i="37"/>
  <c r="AM12" i="37"/>
  <c r="AJ12" i="37"/>
  <c r="AI12" i="37"/>
  <c r="AF12" i="37"/>
  <c r="AE12" i="37"/>
  <c r="AB12" i="37"/>
  <c r="AA12" i="37"/>
  <c r="W12" i="37"/>
  <c r="V12" i="37"/>
  <c r="S12" i="37"/>
  <c r="Q12" i="37"/>
  <c r="P12" i="37"/>
  <c r="M12" i="37"/>
  <c r="K12" i="37"/>
  <c r="J12" i="37"/>
  <c r="G12" i="37"/>
  <c r="F12" i="37"/>
  <c r="CH11" i="37"/>
  <c r="CF11" i="37"/>
  <c r="CE11" i="37"/>
  <c r="CB11" i="37"/>
  <c r="CA11" i="37"/>
  <c r="BX11" i="37"/>
  <c r="BW11" i="37"/>
  <c r="BT11" i="37"/>
  <c r="BS11" i="37"/>
  <c r="BP11" i="37"/>
  <c r="BN11" i="37"/>
  <c r="BJ11" i="37"/>
  <c r="BI11" i="37"/>
  <c r="BF11" i="37"/>
  <c r="BE11" i="37"/>
  <c r="AZ11" i="37"/>
  <c r="AV11" i="37"/>
  <c r="AT11" i="37"/>
  <c r="AN11" i="37"/>
  <c r="AM11" i="37"/>
  <c r="AJ11" i="37"/>
  <c r="AI11" i="37"/>
  <c r="AF11" i="37"/>
  <c r="AE11" i="37"/>
  <c r="AB11" i="37"/>
  <c r="AA11" i="37"/>
  <c r="W11" i="37"/>
  <c r="V11" i="37"/>
  <c r="S11" i="37"/>
  <c r="Q11" i="37"/>
  <c r="P11" i="37"/>
  <c r="M11" i="37"/>
  <c r="K11" i="37"/>
  <c r="J11" i="37"/>
  <c r="G11" i="37"/>
  <c r="F11" i="37"/>
  <c r="CH10" i="37"/>
  <c r="CF10" i="37"/>
  <c r="CE10" i="37"/>
  <c r="CB10" i="37"/>
  <c r="CA10" i="37"/>
  <c r="BX10" i="37"/>
  <c r="BW10" i="37"/>
  <c r="BT10" i="37"/>
  <c r="BS10" i="37"/>
  <c r="BP10" i="37"/>
  <c r="BN10" i="37"/>
  <c r="BJ10" i="37"/>
  <c r="BI10" i="37"/>
  <c r="BF10" i="37"/>
  <c r="BE10" i="37"/>
  <c r="AZ10" i="37"/>
  <c r="AV10" i="37"/>
  <c r="AT10" i="37"/>
  <c r="AN10" i="37"/>
  <c r="AM10" i="37"/>
  <c r="AJ10" i="37"/>
  <c r="AI10" i="37"/>
  <c r="AF10" i="37"/>
  <c r="AE10" i="37"/>
  <c r="AB10" i="37"/>
  <c r="AA10" i="37"/>
  <c r="W10" i="37"/>
  <c r="V10" i="37"/>
  <c r="S10" i="37"/>
  <c r="Q10" i="37"/>
  <c r="P10" i="37"/>
  <c r="M10" i="37"/>
  <c r="K10" i="37"/>
  <c r="J10" i="37"/>
  <c r="G10" i="37"/>
  <c r="F10" i="37"/>
  <c r="CH9" i="37"/>
  <c r="CF9" i="37"/>
  <c r="CE9" i="37"/>
  <c r="CB9" i="37"/>
  <c r="CA9" i="37"/>
  <c r="BX9" i="37"/>
  <c r="BW9" i="37"/>
  <c r="BT9" i="37"/>
  <c r="BS9" i="37"/>
  <c r="BP9" i="37"/>
  <c r="BN9" i="37"/>
  <c r="BJ9" i="37"/>
  <c r="BI9" i="37"/>
  <c r="BF9" i="37"/>
  <c r="BE9" i="37"/>
  <c r="AZ9" i="37"/>
  <c r="AV9" i="37"/>
  <c r="AT9" i="37"/>
  <c r="AN9" i="37"/>
  <c r="AM9" i="37"/>
  <c r="AJ9" i="37"/>
  <c r="AI9" i="37"/>
  <c r="AF9" i="37"/>
  <c r="AE9" i="37"/>
  <c r="AB9" i="37"/>
  <c r="AA9" i="37"/>
  <c r="W9" i="37"/>
  <c r="V9" i="37"/>
  <c r="S9" i="37"/>
  <c r="Q9" i="37"/>
  <c r="P9" i="37"/>
  <c r="M9" i="37"/>
  <c r="K9" i="37"/>
  <c r="J9" i="37"/>
  <c r="G9" i="37"/>
  <c r="F9" i="37"/>
  <c r="CH8" i="37"/>
  <c r="CF8" i="37"/>
  <c r="CE8" i="37"/>
  <c r="CB8" i="37"/>
  <c r="CA8" i="37"/>
  <c r="BX8" i="37"/>
  <c r="BW8" i="37"/>
  <c r="BT8" i="37"/>
  <c r="BS8" i="37"/>
  <c r="BP8" i="37"/>
  <c r="BN8" i="37"/>
  <c r="BJ8" i="37"/>
  <c r="BI8" i="37"/>
  <c r="BD27" i="37"/>
  <c r="BE8" i="37"/>
  <c r="AZ8" i="37"/>
  <c r="AV8" i="37"/>
  <c r="AT8" i="37"/>
  <c r="AN8" i="37"/>
  <c r="AM8" i="37"/>
  <c r="AJ8" i="37"/>
  <c r="AI8" i="37"/>
  <c r="AF8" i="37"/>
  <c r="AE8" i="37"/>
  <c r="AB8" i="37"/>
  <c r="AA8" i="37"/>
  <c r="W8" i="37"/>
  <c r="V8" i="37"/>
  <c r="S8" i="37"/>
  <c r="Q8" i="37"/>
  <c r="P8" i="37"/>
  <c r="M8" i="37"/>
  <c r="K8" i="37"/>
  <c r="J8" i="37"/>
  <c r="G8" i="37"/>
  <c r="F8" i="37"/>
  <c r="CH7" i="37"/>
  <c r="CF7" i="37"/>
  <c r="CE7" i="37"/>
  <c r="CB7" i="37"/>
  <c r="CA7" i="37"/>
  <c r="BX7" i="37"/>
  <c r="BW7" i="37"/>
  <c r="BT7" i="37"/>
  <c r="BS7" i="37"/>
  <c r="BP7" i="37"/>
  <c r="BN7" i="37"/>
  <c r="BJ7" i="37"/>
  <c r="BI7" i="37"/>
  <c r="BF7" i="37"/>
  <c r="BE7" i="37"/>
  <c r="AZ7" i="37"/>
  <c r="AV7" i="37"/>
  <c r="AT7" i="37"/>
  <c r="AN7" i="37"/>
  <c r="AM7" i="37"/>
  <c r="AJ7" i="37"/>
  <c r="AI7" i="37"/>
  <c r="AF7" i="37"/>
  <c r="AE7" i="37"/>
  <c r="AB7" i="37"/>
  <c r="AA7" i="37"/>
  <c r="W7" i="37"/>
  <c r="V7" i="37"/>
  <c r="S7" i="37"/>
  <c r="Q7" i="37"/>
  <c r="P7" i="37"/>
  <c r="M7" i="37"/>
  <c r="K7" i="37"/>
  <c r="J7" i="37"/>
  <c r="G7" i="37"/>
  <c r="F7" i="37"/>
  <c r="CU26" i="44" l="1"/>
  <c r="CT26" i="44"/>
  <c r="CV26" i="44" s="1"/>
  <c r="CU24" i="44"/>
  <c r="CT24" i="44"/>
  <c r="CV24" i="44" s="1"/>
  <c r="CU25" i="44"/>
  <c r="CT25" i="44"/>
  <c r="CV25" i="44" s="1"/>
  <c r="CH29" i="44"/>
  <c r="F29" i="44"/>
  <c r="CR7" i="44"/>
  <c r="G29" i="44"/>
  <c r="CS7" i="44"/>
  <c r="BC29" i="44"/>
  <c r="BE8" i="44"/>
  <c r="CU9" i="44"/>
  <c r="CT9" i="44"/>
  <c r="CV9" i="44" s="1"/>
  <c r="CU10" i="44"/>
  <c r="CT10" i="44"/>
  <c r="CV10" i="44" s="1"/>
  <c r="CU11" i="44"/>
  <c r="CT11" i="44"/>
  <c r="CV11" i="44" s="1"/>
  <c r="CU12" i="44"/>
  <c r="CT12" i="44"/>
  <c r="CV12" i="44" s="1"/>
  <c r="CU13" i="44"/>
  <c r="CT13" i="44"/>
  <c r="CV13" i="44" s="1"/>
  <c r="CU14" i="44"/>
  <c r="CT14" i="44"/>
  <c r="CV14" i="44" s="1"/>
  <c r="CC29" i="44"/>
  <c r="CE15" i="44"/>
  <c r="CD29" i="44"/>
  <c r="CF15" i="44"/>
  <c r="CU16" i="44"/>
  <c r="CT16" i="44"/>
  <c r="CV16" i="44" s="1"/>
  <c r="CU17" i="44"/>
  <c r="CT17" i="44"/>
  <c r="CV17" i="44" s="1"/>
  <c r="CU18" i="44"/>
  <c r="CT18" i="44"/>
  <c r="CV18" i="44" s="1"/>
  <c r="CU19" i="44"/>
  <c r="CT19" i="44"/>
  <c r="CV19" i="44" s="1"/>
  <c r="CU20" i="44"/>
  <c r="CT20" i="44"/>
  <c r="CV20" i="44" s="1"/>
  <c r="CU21" i="44"/>
  <c r="CT21" i="44"/>
  <c r="CV21" i="44" s="1"/>
  <c r="CU22" i="44"/>
  <c r="CT22" i="44"/>
  <c r="CV22" i="44" s="1"/>
  <c r="CU23" i="44"/>
  <c r="CT23" i="44"/>
  <c r="CV23" i="44" s="1"/>
  <c r="CU27" i="44"/>
  <c r="CT27" i="44"/>
  <c r="CV27" i="44" s="1"/>
  <c r="CU28" i="44"/>
  <c r="CT28" i="44"/>
  <c r="CV28" i="44" s="1"/>
  <c r="CH26" i="43"/>
  <c r="F26" i="43"/>
  <c r="CR7" i="43"/>
  <c r="G26" i="43"/>
  <c r="CS7" i="43"/>
  <c r="BD26" i="43"/>
  <c r="BF8" i="43"/>
  <c r="CU9" i="43"/>
  <c r="CT9" i="43"/>
  <c r="CV9" i="43" s="1"/>
  <c r="CU10" i="43"/>
  <c r="CT10" i="43"/>
  <c r="CV10" i="43" s="1"/>
  <c r="CU11" i="43"/>
  <c r="CT11" i="43"/>
  <c r="CV11" i="43" s="1"/>
  <c r="CU12" i="43"/>
  <c r="CT12" i="43"/>
  <c r="CV12" i="43" s="1"/>
  <c r="CU13" i="43"/>
  <c r="CT13" i="43"/>
  <c r="CV13" i="43" s="1"/>
  <c r="CU14" i="43"/>
  <c r="CT14" i="43"/>
  <c r="CV14" i="43" s="1"/>
  <c r="CC26" i="43"/>
  <c r="CE15" i="43"/>
  <c r="CD26" i="43"/>
  <c r="CF15" i="43"/>
  <c r="CU16" i="43"/>
  <c r="CT16" i="43"/>
  <c r="CV16" i="43" s="1"/>
  <c r="CU17" i="43"/>
  <c r="CT17" i="43"/>
  <c r="CV17" i="43" s="1"/>
  <c r="CU18" i="43"/>
  <c r="CT18" i="43"/>
  <c r="CV18" i="43" s="1"/>
  <c r="CU19" i="43"/>
  <c r="CT19" i="43"/>
  <c r="CV19" i="43" s="1"/>
  <c r="CU20" i="43"/>
  <c r="CT20" i="43"/>
  <c r="CV20" i="43" s="1"/>
  <c r="CU21" i="43"/>
  <c r="CT21" i="43"/>
  <c r="CV21" i="43" s="1"/>
  <c r="CU22" i="43"/>
  <c r="CT22" i="43"/>
  <c r="CV22" i="43" s="1"/>
  <c r="CU23" i="43"/>
  <c r="CT23" i="43"/>
  <c r="CV23" i="43" s="1"/>
  <c r="CU24" i="43"/>
  <c r="CT24" i="43"/>
  <c r="CV24" i="43" s="1"/>
  <c r="CU25" i="43"/>
  <c r="CT25" i="43"/>
  <c r="CV25" i="43" s="1"/>
  <c r="CU24" i="42"/>
  <c r="CT24" i="42"/>
  <c r="CV24" i="42" s="1"/>
  <c r="CH26" i="42"/>
  <c r="F26" i="42"/>
  <c r="CR7" i="42"/>
  <c r="G26" i="42"/>
  <c r="CS7" i="42"/>
  <c r="CU8" i="42"/>
  <c r="CT8" i="42"/>
  <c r="CV8" i="42" s="1"/>
  <c r="CU9" i="42"/>
  <c r="CT9" i="42"/>
  <c r="CV9" i="42" s="1"/>
  <c r="CU10" i="42"/>
  <c r="CT10" i="42"/>
  <c r="CV10" i="42" s="1"/>
  <c r="CU11" i="42"/>
  <c r="CT11" i="42"/>
  <c r="CV11" i="42" s="1"/>
  <c r="CU12" i="42"/>
  <c r="CT12" i="42"/>
  <c r="CV12" i="42" s="1"/>
  <c r="CU13" i="42"/>
  <c r="CT13" i="42"/>
  <c r="CV13" i="42" s="1"/>
  <c r="CU14" i="42"/>
  <c r="CT14" i="42"/>
  <c r="CV14" i="42" s="1"/>
  <c r="CC26" i="42"/>
  <c r="CE15" i="42"/>
  <c r="CD26" i="42"/>
  <c r="CF15" i="42"/>
  <c r="CU16" i="42"/>
  <c r="CT16" i="42"/>
  <c r="CV16" i="42" s="1"/>
  <c r="CU17" i="42"/>
  <c r="CT17" i="42"/>
  <c r="CV17" i="42" s="1"/>
  <c r="CU18" i="42"/>
  <c r="CT18" i="42"/>
  <c r="CV18" i="42" s="1"/>
  <c r="CU19" i="42"/>
  <c r="CT19" i="42"/>
  <c r="CV19" i="42" s="1"/>
  <c r="BD26" i="42"/>
  <c r="BF20" i="42"/>
  <c r="CU21" i="42"/>
  <c r="CT21" i="42"/>
  <c r="CV21" i="42" s="1"/>
  <c r="CU22" i="42"/>
  <c r="CT22" i="42"/>
  <c r="CV22" i="42" s="1"/>
  <c r="CU23" i="42"/>
  <c r="CT23" i="42"/>
  <c r="CV23" i="42" s="1"/>
  <c r="CU25" i="42"/>
  <c r="CT25" i="42"/>
  <c r="CV25" i="42" s="1"/>
  <c r="CT23" i="41"/>
  <c r="CV23" i="41" s="1"/>
  <c r="CU23" i="41"/>
  <c r="CS11" i="41"/>
  <c r="AT25" i="41"/>
  <c r="K25" i="41"/>
  <c r="AV25" i="41"/>
  <c r="CS20" i="41"/>
  <c r="CU20" i="41" s="1"/>
  <c r="Q25" i="41"/>
  <c r="S25" i="41"/>
  <c r="BI25" i="41"/>
  <c r="BJ25" i="41"/>
  <c r="W25" i="41"/>
  <c r="BN25" i="41"/>
  <c r="BP25" i="41"/>
  <c r="BT25" i="41"/>
  <c r="CS14" i="41"/>
  <c r="CU14" i="41" s="1"/>
  <c r="CS18" i="41"/>
  <c r="CU18" i="41" s="1"/>
  <c r="CS12" i="41"/>
  <c r="CT12" i="41" s="1"/>
  <c r="CV12" i="41" s="1"/>
  <c r="CS16" i="41"/>
  <c r="CT16" i="41" s="1"/>
  <c r="CV16" i="41" s="1"/>
  <c r="CS8" i="41"/>
  <c r="BF25" i="41"/>
  <c r="CS9" i="41"/>
  <c r="CU9" i="41" s="1"/>
  <c r="CS13" i="41"/>
  <c r="CS17" i="41"/>
  <c r="CT17" i="41" s="1"/>
  <c r="CV17" i="41" s="1"/>
  <c r="CS21" i="41"/>
  <c r="CU21" i="41" s="1"/>
  <c r="CS10" i="41"/>
  <c r="CU10" i="41" s="1"/>
  <c r="CS22" i="41"/>
  <c r="CU22" i="41" s="1"/>
  <c r="CH25" i="41"/>
  <c r="F25" i="41"/>
  <c r="CR7" i="41"/>
  <c r="G25" i="41"/>
  <c r="CS7" i="41"/>
  <c r="BC25" i="41"/>
  <c r="BE8" i="41"/>
  <c r="CU11" i="41"/>
  <c r="CT11" i="41"/>
  <c r="CV11" i="41" s="1"/>
  <c r="CU13" i="41"/>
  <c r="CT13" i="41"/>
  <c r="CV13" i="41" s="1"/>
  <c r="CD25" i="41"/>
  <c r="CF15" i="41"/>
  <c r="CU16" i="41"/>
  <c r="CU19" i="41"/>
  <c r="CT19" i="41"/>
  <c r="CV19" i="41" s="1"/>
  <c r="CT22" i="41"/>
  <c r="CV22" i="41" s="1"/>
  <c r="CU24" i="41"/>
  <c r="CT24" i="41"/>
  <c r="CV24" i="41" s="1"/>
  <c r="W25" i="40"/>
  <c r="BP25" i="40"/>
  <c r="CS10" i="40"/>
  <c r="CS14" i="40"/>
  <c r="CS18" i="40"/>
  <c r="CS24" i="40"/>
  <c r="CU24" i="40" s="1"/>
  <c r="CS23" i="40"/>
  <c r="BN25" i="40"/>
  <c r="BX25" i="40"/>
  <c r="CU23" i="40"/>
  <c r="CT23" i="40"/>
  <c r="CV23" i="40" s="1"/>
  <c r="BT25" i="40"/>
  <c r="CS11" i="40"/>
  <c r="CS15" i="40"/>
  <c r="CU15" i="40" s="1"/>
  <c r="CS19" i="40"/>
  <c r="CU19" i="40" s="1"/>
  <c r="AN25" i="40"/>
  <c r="AT25" i="40"/>
  <c r="AV25" i="40"/>
  <c r="CS12" i="40"/>
  <c r="CS16" i="40"/>
  <c r="K25" i="40"/>
  <c r="Q25" i="40"/>
  <c r="S25" i="40"/>
  <c r="BI25" i="40"/>
  <c r="BJ25" i="40"/>
  <c r="BS25" i="40"/>
  <c r="CR19" i="40"/>
  <c r="AM25" i="40"/>
  <c r="CR12" i="40"/>
  <c r="CR16" i="40"/>
  <c r="CR20" i="40"/>
  <c r="P25" i="40"/>
  <c r="V25" i="40"/>
  <c r="CS20" i="40"/>
  <c r="CT20" i="40" s="1"/>
  <c r="CV20" i="40" s="1"/>
  <c r="CS22" i="40"/>
  <c r="CS9" i="40"/>
  <c r="CS13" i="40"/>
  <c r="CS17" i="40"/>
  <c r="CS21" i="40"/>
  <c r="CU21" i="40" s="1"/>
  <c r="CR22" i="40"/>
  <c r="CR13" i="40"/>
  <c r="CR17" i="40"/>
  <c r="CR21" i="40"/>
  <c r="CE25" i="40"/>
  <c r="CR11" i="40"/>
  <c r="CR9" i="40"/>
  <c r="BW25" i="40"/>
  <c r="CR15" i="40"/>
  <c r="CH25" i="40"/>
  <c r="F25" i="40"/>
  <c r="CR7" i="40"/>
  <c r="G25" i="40"/>
  <c r="CS7" i="40"/>
  <c r="BC25" i="40"/>
  <c r="BE8" i="40"/>
  <c r="BD25" i="40"/>
  <c r="BF8" i="40"/>
  <c r="CU10" i="40"/>
  <c r="CT10" i="40"/>
  <c r="CV10" i="40" s="1"/>
  <c r="CU14" i="40"/>
  <c r="CT14" i="40"/>
  <c r="CV14" i="40" s="1"/>
  <c r="CU18" i="40"/>
  <c r="CT18" i="40"/>
  <c r="CV18" i="40" s="1"/>
  <c r="CT24" i="40"/>
  <c r="CV24" i="40" s="1"/>
  <c r="BI27" i="39"/>
  <c r="Q27" i="39"/>
  <c r="CR9" i="39"/>
  <c r="CR13" i="39"/>
  <c r="V27" i="39"/>
  <c r="W27" i="39"/>
  <c r="BN27" i="39"/>
  <c r="CS21" i="39"/>
  <c r="AA27" i="39"/>
  <c r="CR10" i="39"/>
  <c r="CS10" i="39"/>
  <c r="CR14" i="39"/>
  <c r="CR18" i="39"/>
  <c r="AE27" i="39"/>
  <c r="BT27" i="39"/>
  <c r="CS14" i="39"/>
  <c r="CT14" i="39" s="1"/>
  <c r="CV14" i="39" s="1"/>
  <c r="CS18" i="39"/>
  <c r="CR22" i="39"/>
  <c r="CR26" i="39"/>
  <c r="AF27" i="39"/>
  <c r="CS22" i="39"/>
  <c r="BS27" i="39"/>
  <c r="AI27" i="39"/>
  <c r="BX27" i="39"/>
  <c r="BJ27" i="39"/>
  <c r="AJ27" i="39"/>
  <c r="CA27" i="39"/>
  <c r="CS11" i="39"/>
  <c r="AB27" i="39"/>
  <c r="AM27" i="39"/>
  <c r="CB27" i="39"/>
  <c r="CS15" i="39"/>
  <c r="CR19" i="39"/>
  <c r="CR23" i="39"/>
  <c r="CR21" i="39"/>
  <c r="AN27" i="39"/>
  <c r="CE27" i="39"/>
  <c r="CS19" i="39"/>
  <c r="CS23" i="39"/>
  <c r="CT23" i="39" s="1"/>
  <c r="CV23" i="39" s="1"/>
  <c r="J27" i="39"/>
  <c r="AT27" i="39"/>
  <c r="CF27" i="39"/>
  <c r="K27" i="39"/>
  <c r="AV27" i="39"/>
  <c r="CS12" i="39"/>
  <c r="CR16" i="39"/>
  <c r="CS17" i="39"/>
  <c r="CU17" i="39" s="1"/>
  <c r="M27" i="39"/>
  <c r="AZ27" i="39"/>
  <c r="CR20" i="39"/>
  <c r="CR24" i="39"/>
  <c r="P27" i="39"/>
  <c r="CS20" i="39"/>
  <c r="CU20" i="39" s="1"/>
  <c r="CS24" i="39"/>
  <c r="CU24" i="39" s="1"/>
  <c r="CR25" i="39"/>
  <c r="CS16" i="39"/>
  <c r="BP27" i="39"/>
  <c r="CS25" i="39"/>
  <c r="CU25" i="39" s="1"/>
  <c r="CR12" i="39"/>
  <c r="CU12" i="39" s="1"/>
  <c r="CR15" i="39"/>
  <c r="BW27" i="39"/>
  <c r="CR11" i="39"/>
  <c r="CH27" i="39"/>
  <c r="F27" i="39"/>
  <c r="CR7" i="39"/>
  <c r="G27" i="39"/>
  <c r="CS7" i="39"/>
  <c r="BC27" i="39"/>
  <c r="BE8" i="39"/>
  <c r="BD27" i="39"/>
  <c r="BF8" i="39"/>
  <c r="CU9" i="39"/>
  <c r="CT9" i="39"/>
  <c r="CV9" i="39" s="1"/>
  <c r="CU10" i="39"/>
  <c r="CT10" i="39"/>
  <c r="CV10" i="39" s="1"/>
  <c r="CU13" i="39"/>
  <c r="CT13" i="39"/>
  <c r="CV13" i="39" s="1"/>
  <c r="CU21" i="39"/>
  <c r="CT21" i="39"/>
  <c r="CV21" i="39" s="1"/>
  <c r="CU22" i="39"/>
  <c r="CT22" i="39"/>
  <c r="CV22" i="39" s="1"/>
  <c r="CU23" i="39"/>
  <c r="CU26" i="39"/>
  <c r="CT26" i="39"/>
  <c r="CV26" i="39" s="1"/>
  <c r="CU26" i="38"/>
  <c r="CT26" i="38"/>
  <c r="CV26" i="38" s="1"/>
  <c r="CT13" i="38"/>
  <c r="CH28" i="38"/>
  <c r="CR11" i="38"/>
  <c r="CT11" i="38" s="1"/>
  <c r="CV11" i="38" s="1"/>
  <c r="BW28" i="38"/>
  <c r="CR16" i="38"/>
  <c r="F28" i="38"/>
  <c r="CR7" i="38"/>
  <c r="G28" i="38"/>
  <c r="CS7" i="38"/>
  <c r="BC28" i="38"/>
  <c r="BE8" i="38"/>
  <c r="BD28" i="38"/>
  <c r="BF8" i="38"/>
  <c r="CU9" i="38"/>
  <c r="CT9" i="38"/>
  <c r="CV9" i="38" s="1"/>
  <c r="CU10" i="38"/>
  <c r="CT10" i="38"/>
  <c r="CV10" i="38" s="1"/>
  <c r="CU12" i="38"/>
  <c r="CT12" i="38"/>
  <c r="CV12" i="38" s="1"/>
  <c r="CV13" i="38"/>
  <c r="CU14" i="38"/>
  <c r="CT14" i="38"/>
  <c r="CV14" i="38" s="1"/>
  <c r="CU15" i="38"/>
  <c r="CT15" i="38"/>
  <c r="CV15" i="38" s="1"/>
  <c r="CU16" i="38"/>
  <c r="CT16" i="38"/>
  <c r="CV16" i="38" s="1"/>
  <c r="CU17" i="38"/>
  <c r="CT17" i="38"/>
  <c r="CV17" i="38" s="1"/>
  <c r="CU18" i="38"/>
  <c r="CT18" i="38"/>
  <c r="CV18" i="38" s="1"/>
  <c r="CU19" i="38"/>
  <c r="CT19" i="38"/>
  <c r="CV19" i="38" s="1"/>
  <c r="CU20" i="38"/>
  <c r="CT20" i="38"/>
  <c r="CV20" i="38" s="1"/>
  <c r="CU21" i="38"/>
  <c r="CT21" i="38"/>
  <c r="CV21" i="38" s="1"/>
  <c r="CU22" i="38"/>
  <c r="CT22" i="38"/>
  <c r="CV22" i="38" s="1"/>
  <c r="CU23" i="38"/>
  <c r="CT23" i="38"/>
  <c r="CV23" i="38" s="1"/>
  <c r="CU24" i="38"/>
  <c r="CT24" i="38"/>
  <c r="CV24" i="38" s="1"/>
  <c r="CU25" i="38"/>
  <c r="CT25" i="38"/>
  <c r="CV25" i="38" s="1"/>
  <c r="CU27" i="38"/>
  <c r="CT27" i="38"/>
  <c r="CV27" i="38" s="1"/>
  <c r="CS21" i="37"/>
  <c r="BT27" i="37"/>
  <c r="CS17" i="37"/>
  <c r="AI27" i="37"/>
  <c r="CR20" i="37"/>
  <c r="BN27" i="37"/>
  <c r="CR14" i="37"/>
  <c r="CR17" i="37"/>
  <c r="CS20" i="37"/>
  <c r="CR21" i="37"/>
  <c r="CR25" i="37"/>
  <c r="CS25" i="37"/>
  <c r="AJ27" i="37"/>
  <c r="CR15" i="37"/>
  <c r="CS15" i="37"/>
  <c r="CR26" i="37"/>
  <c r="G27" i="37"/>
  <c r="AA27" i="37"/>
  <c r="CH27" i="37"/>
  <c r="AB27" i="37"/>
  <c r="CS26" i="37"/>
  <c r="CE27" i="37"/>
  <c r="CR18" i="37"/>
  <c r="CF27" i="37"/>
  <c r="AZ27" i="37"/>
  <c r="AE27" i="37"/>
  <c r="CR12" i="37"/>
  <c r="M27" i="37"/>
  <c r="CS11" i="37"/>
  <c r="AT27" i="37"/>
  <c r="AF27" i="37"/>
  <c r="CR19" i="37"/>
  <c r="CR23" i="37"/>
  <c r="CR24" i="37"/>
  <c r="BS27" i="37"/>
  <c r="CB27" i="37"/>
  <c r="CA27" i="37"/>
  <c r="BX27" i="37"/>
  <c r="BW27" i="37"/>
  <c r="BP27" i="37"/>
  <c r="BJ27" i="37"/>
  <c r="BI27" i="37"/>
  <c r="CS18" i="37"/>
  <c r="CU18" i="37" s="1"/>
  <c r="BE27" i="37"/>
  <c r="AV27" i="37"/>
  <c r="CS22" i="37"/>
  <c r="AN27" i="37"/>
  <c r="AM27" i="37"/>
  <c r="CR13" i="37"/>
  <c r="CS9" i="37"/>
  <c r="CR9" i="37"/>
  <c r="W27" i="37"/>
  <c r="V27" i="37"/>
  <c r="CS12" i="37"/>
  <c r="CS19" i="37"/>
  <c r="CS23" i="37"/>
  <c r="CS24" i="37"/>
  <c r="S27" i="37"/>
  <c r="Q27" i="37"/>
  <c r="CS16" i="37"/>
  <c r="CR16" i="37"/>
  <c r="P27" i="37"/>
  <c r="CS10" i="37"/>
  <c r="CS13" i="37"/>
  <c r="CR11" i="37"/>
  <c r="K27" i="37"/>
  <c r="J27" i="37"/>
  <c r="CS14" i="37"/>
  <c r="CR22" i="37"/>
  <c r="F27" i="37"/>
  <c r="CU17" i="37"/>
  <c r="CT17" i="37"/>
  <c r="CV17" i="37" s="1"/>
  <c r="CU21" i="37"/>
  <c r="CT21" i="37"/>
  <c r="CV21" i="37" s="1"/>
  <c r="CT18" i="37"/>
  <c r="CV18" i="37" s="1"/>
  <c r="CT15" i="37"/>
  <c r="CV15" i="37" s="1"/>
  <c r="CR8" i="37"/>
  <c r="BF8" i="37"/>
  <c r="BF27" i="37" s="1"/>
  <c r="CR10" i="37"/>
  <c r="CU20" i="37"/>
  <c r="CR7" i="37"/>
  <c r="CS7" i="37"/>
  <c r="BC27" i="37"/>
  <c r="CF29" i="44" l="1"/>
  <c r="CS15" i="44"/>
  <c r="CE29" i="44"/>
  <c r="CR15" i="44"/>
  <c r="BE29" i="44"/>
  <c r="CR8" i="44"/>
  <c r="CS29" i="44"/>
  <c r="CR29" i="44"/>
  <c r="CU7" i="44"/>
  <c r="CT7" i="44"/>
  <c r="CF26" i="43"/>
  <c r="CS15" i="43"/>
  <c r="CE26" i="43"/>
  <c r="CR15" i="43"/>
  <c r="BF26" i="43"/>
  <c r="CS8" i="43"/>
  <c r="CS26" i="43"/>
  <c r="CR26" i="43"/>
  <c r="CU7" i="43"/>
  <c r="CT7" i="43"/>
  <c r="BF26" i="42"/>
  <c r="CS20" i="42"/>
  <c r="CF26" i="42"/>
  <c r="CS15" i="42"/>
  <c r="CE26" i="42"/>
  <c r="CR15" i="42"/>
  <c r="CS26" i="42"/>
  <c r="CR26" i="42"/>
  <c r="CU7" i="42"/>
  <c r="CT7" i="42"/>
  <c r="CT14" i="41"/>
  <c r="CV14" i="41" s="1"/>
  <c r="CT18" i="41"/>
  <c r="CV18" i="41" s="1"/>
  <c r="CT21" i="41"/>
  <c r="CV21" i="41" s="1"/>
  <c r="CU12" i="41"/>
  <c r="CT20" i="41"/>
  <c r="CV20" i="41" s="1"/>
  <c r="CT9" i="41"/>
  <c r="CV9" i="41" s="1"/>
  <c r="CT10" i="41"/>
  <c r="CV10" i="41" s="1"/>
  <c r="CU17" i="41"/>
  <c r="CF25" i="41"/>
  <c r="CS15" i="41"/>
  <c r="CS25" i="41" s="1"/>
  <c r="BE25" i="41"/>
  <c r="CR8" i="41"/>
  <c r="CR25" i="41"/>
  <c r="CU7" i="41"/>
  <c r="CT7" i="41"/>
  <c r="CT15" i="40"/>
  <c r="CV15" i="40" s="1"/>
  <c r="CT19" i="40"/>
  <c r="CV19" i="40" s="1"/>
  <c r="CU11" i="40"/>
  <c r="CU13" i="40"/>
  <c r="CU22" i="40"/>
  <c r="CU17" i="40"/>
  <c r="CU16" i="40"/>
  <c r="CU12" i="40"/>
  <c r="CT11" i="40"/>
  <c r="CV11" i="40" s="1"/>
  <c r="CT21" i="40"/>
  <c r="CV21" i="40" s="1"/>
  <c r="CT17" i="40"/>
  <c r="CV17" i="40" s="1"/>
  <c r="CT16" i="40"/>
  <c r="CV16" i="40" s="1"/>
  <c r="CU20" i="40"/>
  <c r="CT12" i="40"/>
  <c r="CV12" i="40" s="1"/>
  <c r="CT9" i="40"/>
  <c r="CV9" i="40" s="1"/>
  <c r="CT13" i="40"/>
  <c r="CV13" i="40" s="1"/>
  <c r="CT22" i="40"/>
  <c r="CV22" i="40" s="1"/>
  <c r="CU9" i="40"/>
  <c r="BF25" i="40"/>
  <c r="CS8" i="40"/>
  <c r="CS25" i="40" s="1"/>
  <c r="BE25" i="40"/>
  <c r="CR8" i="40"/>
  <c r="CR25" i="40" s="1"/>
  <c r="CU7" i="40"/>
  <c r="CT7" i="40"/>
  <c r="CT12" i="39"/>
  <c r="CV12" i="39" s="1"/>
  <c r="CU11" i="39"/>
  <c r="CU16" i="39"/>
  <c r="CU19" i="39"/>
  <c r="CT18" i="39"/>
  <c r="CV18" i="39" s="1"/>
  <c r="CT20" i="39"/>
  <c r="CV20" i="39" s="1"/>
  <c r="CU15" i="39"/>
  <c r="CU18" i="39"/>
  <c r="CU14" i="39"/>
  <c r="CT19" i="39"/>
  <c r="CV19" i="39" s="1"/>
  <c r="CT17" i="39"/>
  <c r="CV17" i="39" s="1"/>
  <c r="CT24" i="39"/>
  <c r="CV24" i="39" s="1"/>
  <c r="CT16" i="39"/>
  <c r="CV16" i="39" s="1"/>
  <c r="CT15" i="39"/>
  <c r="CV15" i="39" s="1"/>
  <c r="CT11" i="39"/>
  <c r="CV11" i="39" s="1"/>
  <c r="CT25" i="39"/>
  <c r="CV25" i="39" s="1"/>
  <c r="BF27" i="39"/>
  <c r="CS8" i="39"/>
  <c r="CS27" i="39" s="1"/>
  <c r="BE27" i="39"/>
  <c r="CR8" i="39"/>
  <c r="CR27" i="39" s="1"/>
  <c r="CU7" i="39"/>
  <c r="CT7" i="39"/>
  <c r="CU11" i="38"/>
  <c r="BF28" i="38"/>
  <c r="CS8" i="38"/>
  <c r="BE28" i="38"/>
  <c r="CR8" i="38"/>
  <c r="CR28" i="38" s="1"/>
  <c r="CS28" i="38"/>
  <c r="CU7" i="38"/>
  <c r="CT7" i="38"/>
  <c r="CT20" i="37"/>
  <c r="CV20" i="37" s="1"/>
  <c r="CU15" i="37"/>
  <c r="CU25" i="37"/>
  <c r="CT25" i="37"/>
  <c r="CV25" i="37" s="1"/>
  <c r="CU26" i="37"/>
  <c r="CS8" i="37"/>
  <c r="CU11" i="37"/>
  <c r="CT26" i="37"/>
  <c r="CV26" i="37" s="1"/>
  <c r="CT23" i="37"/>
  <c r="CV23" i="37" s="1"/>
  <c r="CU24" i="37"/>
  <c r="CU19" i="37"/>
  <c r="CU12" i="37"/>
  <c r="CU14" i="37"/>
  <c r="CU9" i="37"/>
  <c r="CU22" i="37"/>
  <c r="CT9" i="37"/>
  <c r="CV9" i="37" s="1"/>
  <c r="CT11" i="37"/>
  <c r="CV11" i="37" s="1"/>
  <c r="CU13" i="37"/>
  <c r="CT22" i="37"/>
  <c r="CV22" i="37" s="1"/>
  <c r="CT19" i="37"/>
  <c r="CV19" i="37" s="1"/>
  <c r="CU16" i="37"/>
  <c r="CT12" i="37"/>
  <c r="CV12" i="37" s="1"/>
  <c r="CT24" i="37"/>
  <c r="CV24" i="37" s="1"/>
  <c r="CT16" i="37"/>
  <c r="CV16" i="37" s="1"/>
  <c r="CU23" i="37"/>
  <c r="CT14" i="37"/>
  <c r="CV14" i="37" s="1"/>
  <c r="CT13" i="37"/>
  <c r="CV13" i="37" s="1"/>
  <c r="CS27" i="37"/>
  <c r="CT8" i="37"/>
  <c r="CV8" i="37" s="1"/>
  <c r="CU8" i="37"/>
  <c r="CU7" i="37"/>
  <c r="CT7" i="37"/>
  <c r="CR27" i="37"/>
  <c r="CU10" i="37"/>
  <c r="CT10" i="37"/>
  <c r="CV10" i="37" s="1"/>
  <c r="CV7" i="44" l="1"/>
  <c r="CU8" i="44"/>
  <c r="CT8" i="44"/>
  <c r="CU15" i="44"/>
  <c r="CT15" i="44"/>
  <c r="CV15" i="44" s="1"/>
  <c r="CV7" i="43"/>
  <c r="CU8" i="43"/>
  <c r="CT8" i="43"/>
  <c r="CU15" i="43"/>
  <c r="CT15" i="43"/>
  <c r="CV15" i="43" s="1"/>
  <c r="CV7" i="42"/>
  <c r="CU15" i="42"/>
  <c r="CT15" i="42"/>
  <c r="CU20" i="42"/>
  <c r="CT20" i="42"/>
  <c r="CV20" i="42" s="1"/>
  <c r="CV7" i="41"/>
  <c r="CU8" i="41"/>
  <c r="CT8" i="41"/>
  <c r="CU15" i="41"/>
  <c r="CT15" i="41"/>
  <c r="CV15" i="41" s="1"/>
  <c r="CV7" i="40"/>
  <c r="CU8" i="40"/>
  <c r="CU25" i="40" s="1"/>
  <c r="CX26" i="40" s="1"/>
  <c r="CX27" i="40" s="1"/>
  <c r="CT8" i="40"/>
  <c r="CV7" i="39"/>
  <c r="CU8" i="39"/>
  <c r="CU27" i="39" s="1"/>
  <c r="CX28" i="39" s="1"/>
  <c r="CX29" i="39" s="1"/>
  <c r="CT8" i="39"/>
  <c r="CV7" i="38"/>
  <c r="CU8" i="38"/>
  <c r="CU28" i="38" s="1"/>
  <c r="CX29" i="38" s="1"/>
  <c r="CX30" i="38" s="1"/>
  <c r="CT8" i="38"/>
  <c r="CV7" i="37"/>
  <c r="CV27" i="37" s="1"/>
  <c r="CT27" i="37"/>
  <c r="CU27" i="37"/>
  <c r="CX28" i="37" s="1"/>
  <c r="CX29" i="37" s="1"/>
  <c r="CV8" i="44" l="1"/>
  <c r="CT29" i="44"/>
  <c r="CU29" i="44"/>
  <c r="CX30" i="44" s="1"/>
  <c r="CX31" i="44" s="1"/>
  <c r="CV29" i="44"/>
  <c r="CV8" i="43"/>
  <c r="CT26" i="43"/>
  <c r="CX27" i="43"/>
  <c r="CX28" i="43" s="1"/>
  <c r="CV26" i="43"/>
  <c r="CV15" i="42"/>
  <c r="CT26" i="42"/>
  <c r="CU26" i="42"/>
  <c r="CX27" i="42" s="1"/>
  <c r="CX28" i="42" s="1"/>
  <c r="CV26" i="42"/>
  <c r="CV8" i="41"/>
  <c r="CT25" i="41"/>
  <c r="CU25" i="41"/>
  <c r="CX26" i="41" s="1"/>
  <c r="CX27" i="41" s="1"/>
  <c r="CV25" i="41"/>
  <c r="CV8" i="40"/>
  <c r="CV25" i="40" s="1"/>
  <c r="CT25" i="40"/>
  <c r="CV8" i="39"/>
  <c r="CV27" i="39" s="1"/>
  <c r="CT27" i="39"/>
  <c r="CV8" i="38"/>
  <c r="CT28" i="38"/>
  <c r="CV28" i="38"/>
  <c r="CX14" i="36"/>
  <c r="BS26" i="36"/>
  <c r="BT26" i="36"/>
  <c r="BW26" i="36"/>
  <c r="BX26" i="36"/>
  <c r="CA26" i="36"/>
  <c r="CB26" i="36"/>
  <c r="CE26" i="36"/>
  <c r="CF26" i="36"/>
  <c r="CH26" i="36"/>
  <c r="BN26" i="36"/>
  <c r="BP26" i="36"/>
  <c r="BI26" i="36"/>
  <c r="BJ26" i="36"/>
  <c r="BE26" i="36"/>
  <c r="BF26" i="36"/>
  <c r="AZ26" i="36"/>
  <c r="AV26" i="36"/>
  <c r="AT26" i="36"/>
  <c r="AM26" i="36"/>
  <c r="AN26" i="36"/>
  <c r="AE26" i="36"/>
  <c r="AF26" i="36"/>
  <c r="AI26" i="36"/>
  <c r="AJ26" i="36"/>
  <c r="AA26" i="36"/>
  <c r="AB26" i="36"/>
  <c r="P26" i="36"/>
  <c r="Q26" i="36"/>
  <c r="S26" i="36"/>
  <c r="V26" i="36"/>
  <c r="W26" i="36"/>
  <c r="J26" i="36"/>
  <c r="K26" i="36"/>
  <c r="M26" i="36"/>
  <c r="F26" i="36"/>
  <c r="CR26" i="36" s="1"/>
  <c r="G26" i="36"/>
  <c r="BD8" i="36"/>
  <c r="CH25" i="36"/>
  <c r="CF25" i="36"/>
  <c r="CE25" i="36"/>
  <c r="CB25" i="36"/>
  <c r="CA25" i="36"/>
  <c r="BX25" i="36"/>
  <c r="BW25" i="36"/>
  <c r="BT25" i="36"/>
  <c r="BS25" i="36"/>
  <c r="BP25" i="36"/>
  <c r="BN25" i="36"/>
  <c r="BJ25" i="36"/>
  <c r="BI25" i="36"/>
  <c r="BF25" i="36"/>
  <c r="BE25" i="36"/>
  <c r="AZ25" i="36"/>
  <c r="AV25" i="36"/>
  <c r="AT25" i="36"/>
  <c r="AN25" i="36"/>
  <c r="AM25" i="36"/>
  <c r="AJ25" i="36"/>
  <c r="AI25" i="36"/>
  <c r="AF25" i="36"/>
  <c r="AE25" i="36"/>
  <c r="AB25" i="36"/>
  <c r="AA25" i="36"/>
  <c r="W25" i="36"/>
  <c r="V25" i="36"/>
  <c r="S25" i="36"/>
  <c r="Q25" i="36"/>
  <c r="P25" i="36"/>
  <c r="M25" i="36"/>
  <c r="K25" i="36"/>
  <c r="J25" i="36"/>
  <c r="G25" i="36"/>
  <c r="F25" i="36"/>
  <c r="CR25" i="36" s="1"/>
  <c r="BC8" i="36"/>
  <c r="CH27" i="36"/>
  <c r="CF27" i="36"/>
  <c r="CE27" i="36"/>
  <c r="CB27" i="36"/>
  <c r="CA27" i="36"/>
  <c r="BX27" i="36"/>
  <c r="BW27" i="36"/>
  <c r="BT27" i="36"/>
  <c r="BS27" i="36"/>
  <c r="BP27" i="36"/>
  <c r="BN27" i="36"/>
  <c r="BJ27" i="36"/>
  <c r="BI27" i="36"/>
  <c r="BF27" i="36"/>
  <c r="BE27" i="36"/>
  <c r="AZ27" i="36"/>
  <c r="AV27" i="36"/>
  <c r="AT27" i="36"/>
  <c r="AN27" i="36"/>
  <c r="AM27" i="36"/>
  <c r="AJ27" i="36"/>
  <c r="AI27" i="36"/>
  <c r="AF27" i="36"/>
  <c r="AE27" i="36"/>
  <c r="AB27" i="36"/>
  <c r="AA27" i="36"/>
  <c r="W27" i="36"/>
  <c r="V27" i="36"/>
  <c r="S27" i="36"/>
  <c r="Q27" i="36"/>
  <c r="P27" i="36"/>
  <c r="M27" i="36"/>
  <c r="K27" i="36"/>
  <c r="J27" i="36"/>
  <c r="G27" i="36"/>
  <c r="F27" i="36"/>
  <c r="CH23" i="36"/>
  <c r="CF23" i="36"/>
  <c r="CE23" i="36"/>
  <c r="CB23" i="36"/>
  <c r="CA23" i="36"/>
  <c r="BX23" i="36"/>
  <c r="BW23" i="36"/>
  <c r="BT23" i="36"/>
  <c r="BS23" i="36"/>
  <c r="BP23" i="36"/>
  <c r="BN23" i="36"/>
  <c r="BJ23" i="36"/>
  <c r="BI23" i="36"/>
  <c r="BF23" i="36"/>
  <c r="BE23" i="36"/>
  <c r="AZ23" i="36"/>
  <c r="AV23" i="36"/>
  <c r="AT23" i="36"/>
  <c r="AN23" i="36"/>
  <c r="AM23" i="36"/>
  <c r="AJ23" i="36"/>
  <c r="AI23" i="36"/>
  <c r="AF23" i="36"/>
  <c r="AE23" i="36"/>
  <c r="AB23" i="36"/>
  <c r="AA23" i="36"/>
  <c r="W23" i="36"/>
  <c r="V23" i="36"/>
  <c r="S23" i="36"/>
  <c r="Q23" i="36"/>
  <c r="P23" i="36"/>
  <c r="M23" i="36"/>
  <c r="K23" i="36"/>
  <c r="J23" i="36"/>
  <c r="G23" i="36"/>
  <c r="F23" i="36"/>
  <c r="CH24" i="36"/>
  <c r="CF24" i="36"/>
  <c r="CE24" i="36"/>
  <c r="CB24" i="36"/>
  <c r="CA24" i="36"/>
  <c r="BX24" i="36"/>
  <c r="BW24" i="36"/>
  <c r="BT24" i="36"/>
  <c r="BS24" i="36"/>
  <c r="BP24" i="36"/>
  <c r="BN24" i="36"/>
  <c r="BJ24" i="36"/>
  <c r="BI24" i="36"/>
  <c r="BF24" i="36"/>
  <c r="BE24" i="36"/>
  <c r="AZ24" i="36"/>
  <c r="AV24" i="36"/>
  <c r="AT24" i="36"/>
  <c r="AN24" i="36"/>
  <c r="AM24" i="36"/>
  <c r="AJ24" i="36"/>
  <c r="AI24" i="36"/>
  <c r="AF24" i="36"/>
  <c r="AE24" i="36"/>
  <c r="AB24" i="36"/>
  <c r="AA24" i="36"/>
  <c r="W24" i="36"/>
  <c r="V24" i="36"/>
  <c r="S24" i="36"/>
  <c r="Q24" i="36"/>
  <c r="P24" i="36"/>
  <c r="M24" i="36"/>
  <c r="K24" i="36"/>
  <c r="J24" i="36"/>
  <c r="G24" i="36"/>
  <c r="F24" i="36"/>
  <c r="CP29" i="36"/>
  <c r="CO29" i="36"/>
  <c r="CN29" i="36"/>
  <c r="CM29" i="36"/>
  <c r="CK29" i="36"/>
  <c r="CJ29" i="36"/>
  <c r="CI29" i="36"/>
  <c r="CG29" i="36"/>
  <c r="CD29" i="36"/>
  <c r="CC29" i="36"/>
  <c r="BZ29" i="36"/>
  <c r="BY29" i="36"/>
  <c r="BV29" i="36"/>
  <c r="BU29" i="36"/>
  <c r="BR29" i="36"/>
  <c r="BQ29" i="36"/>
  <c r="BO29" i="36"/>
  <c r="BM29" i="36"/>
  <c r="BL29" i="36"/>
  <c r="BK29" i="36"/>
  <c r="BH29" i="36"/>
  <c r="BG29" i="36"/>
  <c r="BB29" i="36"/>
  <c r="BA29" i="36"/>
  <c r="AY29" i="36"/>
  <c r="AX29" i="36"/>
  <c r="AW29" i="36"/>
  <c r="AU29" i="36"/>
  <c r="AS29" i="36"/>
  <c r="AR29" i="36"/>
  <c r="AQ29" i="36"/>
  <c r="AP29" i="36"/>
  <c r="AO29" i="36"/>
  <c r="AL29" i="36"/>
  <c r="AK29" i="36"/>
  <c r="AH29" i="36"/>
  <c r="AG29" i="36"/>
  <c r="AD29" i="36"/>
  <c r="AC29" i="36"/>
  <c r="Z29" i="36"/>
  <c r="Y29" i="36"/>
  <c r="X29" i="36"/>
  <c r="U29" i="36"/>
  <c r="T29" i="36"/>
  <c r="R29" i="36"/>
  <c r="O29" i="36"/>
  <c r="N29" i="36"/>
  <c r="L29" i="36"/>
  <c r="I29" i="36"/>
  <c r="H29" i="36"/>
  <c r="E29" i="36"/>
  <c r="D29" i="36"/>
  <c r="CH28" i="36"/>
  <c r="CF28" i="36"/>
  <c r="CE28" i="36"/>
  <c r="CB28" i="36"/>
  <c r="CA28" i="36"/>
  <c r="BX28" i="36"/>
  <c r="BW28" i="36"/>
  <c r="BT28" i="36"/>
  <c r="BS28" i="36"/>
  <c r="BP28" i="36"/>
  <c r="BN28" i="36"/>
  <c r="BJ28" i="36"/>
  <c r="BI28" i="36"/>
  <c r="BF28" i="36"/>
  <c r="BE28" i="36"/>
  <c r="AZ28" i="36"/>
  <c r="AV28" i="36"/>
  <c r="AT28" i="36"/>
  <c r="AN28" i="36"/>
  <c r="AM28" i="36"/>
  <c r="AJ28" i="36"/>
  <c r="AI28" i="36"/>
  <c r="AF28" i="36"/>
  <c r="AE28" i="36"/>
  <c r="AB28" i="36"/>
  <c r="AA28" i="36"/>
  <c r="W28" i="36"/>
  <c r="V28" i="36"/>
  <c r="S28" i="36"/>
  <c r="Q28" i="36"/>
  <c r="P28" i="36"/>
  <c r="M28" i="36"/>
  <c r="K28" i="36"/>
  <c r="J28" i="36"/>
  <c r="G28" i="36"/>
  <c r="F28" i="36"/>
  <c r="CH22" i="36"/>
  <c r="CF22" i="36"/>
  <c r="CE22" i="36"/>
  <c r="CB22" i="36"/>
  <c r="CA22" i="36"/>
  <c r="BX22" i="36"/>
  <c r="BW22" i="36"/>
  <c r="BT22" i="36"/>
  <c r="BS22" i="36"/>
  <c r="BP22" i="36"/>
  <c r="BN22" i="36"/>
  <c r="BJ22" i="36"/>
  <c r="BI22" i="36"/>
  <c r="BF22" i="36"/>
  <c r="BE22" i="36"/>
  <c r="AZ22" i="36"/>
  <c r="AV22" i="36"/>
  <c r="AT22" i="36"/>
  <c r="AN22" i="36"/>
  <c r="AM22" i="36"/>
  <c r="AJ22" i="36"/>
  <c r="AI22" i="36"/>
  <c r="AF22" i="36"/>
  <c r="AE22" i="36"/>
  <c r="AB22" i="36"/>
  <c r="AA22" i="36"/>
  <c r="W22" i="36"/>
  <c r="V22" i="36"/>
  <c r="S22" i="36"/>
  <c r="Q22" i="36"/>
  <c r="P22" i="36"/>
  <c r="M22" i="36"/>
  <c r="K22" i="36"/>
  <c r="J22" i="36"/>
  <c r="G22" i="36"/>
  <c r="F22" i="36"/>
  <c r="CL29" i="36"/>
  <c r="CH21" i="36"/>
  <c r="CF21" i="36"/>
  <c r="CE21" i="36"/>
  <c r="CB21" i="36"/>
  <c r="CA21" i="36"/>
  <c r="BX21" i="36"/>
  <c r="BW21" i="36"/>
  <c r="BT21" i="36"/>
  <c r="BS21" i="36"/>
  <c r="BP21" i="36"/>
  <c r="BN21" i="36"/>
  <c r="BJ21" i="36"/>
  <c r="BI21" i="36"/>
  <c r="BF21" i="36"/>
  <c r="BE21" i="36"/>
  <c r="AZ21" i="36"/>
  <c r="AV21" i="36"/>
  <c r="AT21" i="36"/>
  <c r="AN21" i="36"/>
  <c r="AM21" i="36"/>
  <c r="AJ21" i="36"/>
  <c r="AI21" i="36"/>
  <c r="AF21" i="36"/>
  <c r="AE21" i="36"/>
  <c r="AB21" i="36"/>
  <c r="AA21" i="36"/>
  <c r="W21" i="36"/>
  <c r="V21" i="36"/>
  <c r="S21" i="36"/>
  <c r="Q21" i="36"/>
  <c r="P21" i="36"/>
  <c r="M21" i="36"/>
  <c r="K21" i="36"/>
  <c r="J21" i="36"/>
  <c r="G21" i="36"/>
  <c r="F21" i="36"/>
  <c r="CH20" i="36"/>
  <c r="CF20" i="36"/>
  <c r="CE20" i="36"/>
  <c r="CB20" i="36"/>
  <c r="CA20" i="36"/>
  <c r="BX20" i="36"/>
  <c r="BW20" i="36"/>
  <c r="BT20" i="36"/>
  <c r="BS20" i="36"/>
  <c r="BP20" i="36"/>
  <c r="BN20" i="36"/>
  <c r="BJ20" i="36"/>
  <c r="BI20" i="36"/>
  <c r="BF20" i="36"/>
  <c r="BE20" i="36"/>
  <c r="AZ20" i="36"/>
  <c r="AV20" i="36"/>
  <c r="AT20" i="36"/>
  <c r="AN20" i="36"/>
  <c r="AM20" i="36"/>
  <c r="AJ20" i="36"/>
  <c r="AI20" i="36"/>
  <c r="AF20" i="36"/>
  <c r="AE20" i="36"/>
  <c r="AB20" i="36"/>
  <c r="AA20" i="36"/>
  <c r="W20" i="36"/>
  <c r="V20" i="36"/>
  <c r="S20" i="36"/>
  <c r="Q20" i="36"/>
  <c r="P20" i="36"/>
  <c r="M20" i="36"/>
  <c r="K20" i="36"/>
  <c r="J20" i="36"/>
  <c r="G20" i="36"/>
  <c r="F20" i="36"/>
  <c r="CH19" i="36"/>
  <c r="CF19" i="36"/>
  <c r="CE19" i="36"/>
  <c r="CB19" i="36"/>
  <c r="CA19" i="36"/>
  <c r="BX19" i="36"/>
  <c r="BW19" i="36"/>
  <c r="BT19" i="36"/>
  <c r="BS19" i="36"/>
  <c r="BP19" i="36"/>
  <c r="BN19" i="36"/>
  <c r="BJ19" i="36"/>
  <c r="BI19" i="36"/>
  <c r="BF19" i="36"/>
  <c r="BE19" i="36"/>
  <c r="AZ19" i="36"/>
  <c r="AV19" i="36"/>
  <c r="AT19" i="36"/>
  <c r="AN19" i="36"/>
  <c r="AM19" i="36"/>
  <c r="AJ19" i="36"/>
  <c r="AI19" i="36"/>
  <c r="AF19" i="36"/>
  <c r="AE19" i="36"/>
  <c r="AB19" i="36"/>
  <c r="AA19" i="36"/>
  <c r="W19" i="36"/>
  <c r="V19" i="36"/>
  <c r="S19" i="36"/>
  <c r="Q19" i="36"/>
  <c r="P19" i="36"/>
  <c r="M19" i="36"/>
  <c r="K19" i="36"/>
  <c r="J19" i="36"/>
  <c r="G19" i="36"/>
  <c r="F19" i="36"/>
  <c r="CH18" i="36"/>
  <c r="CF18" i="36"/>
  <c r="CE18" i="36"/>
  <c r="CB18" i="36"/>
  <c r="CA18" i="36"/>
  <c r="BX18" i="36"/>
  <c r="BW18" i="36"/>
  <c r="BT18" i="36"/>
  <c r="BS18" i="36"/>
  <c r="BP18" i="36"/>
  <c r="BN18" i="36"/>
  <c r="BJ18" i="36"/>
  <c r="BI18" i="36"/>
  <c r="BF18" i="36"/>
  <c r="BE18" i="36"/>
  <c r="AZ18" i="36"/>
  <c r="AV18" i="36"/>
  <c r="AT18" i="36"/>
  <c r="AN18" i="36"/>
  <c r="AM18" i="36"/>
  <c r="AJ18" i="36"/>
  <c r="AI18" i="36"/>
  <c r="AF18" i="36"/>
  <c r="AE18" i="36"/>
  <c r="AB18" i="36"/>
  <c r="AA18" i="36"/>
  <c r="W18" i="36"/>
  <c r="V18" i="36"/>
  <c r="S18" i="36"/>
  <c r="Q18" i="36"/>
  <c r="P18" i="36"/>
  <c r="M18" i="36"/>
  <c r="K18" i="36"/>
  <c r="J18" i="36"/>
  <c r="G18" i="36"/>
  <c r="F18" i="36"/>
  <c r="CH17" i="36"/>
  <c r="CF17" i="36"/>
  <c r="CE17" i="36"/>
  <c r="CB17" i="36"/>
  <c r="CA17" i="36"/>
  <c r="BX17" i="36"/>
  <c r="BW17" i="36"/>
  <c r="BT17" i="36"/>
  <c r="BS17" i="36"/>
  <c r="BP17" i="36"/>
  <c r="BN17" i="36"/>
  <c r="BJ17" i="36"/>
  <c r="BI17" i="36"/>
  <c r="BF17" i="36"/>
  <c r="AZ17" i="36"/>
  <c r="AV17" i="36"/>
  <c r="AT17" i="36"/>
  <c r="AN17" i="36"/>
  <c r="AM17" i="36"/>
  <c r="AJ17" i="36"/>
  <c r="AI17" i="36"/>
  <c r="AF17" i="36"/>
  <c r="AE17" i="36"/>
  <c r="AB17" i="36"/>
  <c r="AA17" i="36"/>
  <c r="W17" i="36"/>
  <c r="V17" i="36"/>
  <c r="S17" i="36"/>
  <c r="Q17" i="36"/>
  <c r="P17" i="36"/>
  <c r="M17" i="36"/>
  <c r="K17" i="36"/>
  <c r="J17" i="36"/>
  <c r="G17" i="36"/>
  <c r="F17" i="36"/>
  <c r="CH16" i="36"/>
  <c r="CF16" i="36"/>
  <c r="CE16" i="36"/>
  <c r="CB16" i="36"/>
  <c r="CA16" i="36"/>
  <c r="BX16" i="36"/>
  <c r="BW16" i="36"/>
  <c r="BT16" i="36"/>
  <c r="BS16" i="36"/>
  <c r="BP16" i="36"/>
  <c r="BN16" i="36"/>
  <c r="BJ16" i="36"/>
  <c r="BI16" i="36"/>
  <c r="BF16" i="36"/>
  <c r="BE16" i="36"/>
  <c r="AZ16" i="36"/>
  <c r="AV16" i="36"/>
  <c r="AT16" i="36"/>
  <c r="AN16" i="36"/>
  <c r="AM16" i="36"/>
  <c r="AJ16" i="36"/>
  <c r="AI16" i="36"/>
  <c r="AF16" i="36"/>
  <c r="AE16" i="36"/>
  <c r="AB16" i="36"/>
  <c r="AA16" i="36"/>
  <c r="W16" i="36"/>
  <c r="V16" i="36"/>
  <c r="S16" i="36"/>
  <c r="Q16" i="36"/>
  <c r="P16" i="36"/>
  <c r="M16" i="36"/>
  <c r="K16" i="36"/>
  <c r="J16" i="36"/>
  <c r="G16" i="36"/>
  <c r="F16" i="36"/>
  <c r="CH15" i="36"/>
  <c r="CF15" i="36"/>
  <c r="CE15" i="36"/>
  <c r="CB15" i="36"/>
  <c r="CA15" i="36"/>
  <c r="BX15" i="36"/>
  <c r="BW15" i="36"/>
  <c r="BT15" i="36"/>
  <c r="BS15" i="36"/>
  <c r="BP15" i="36"/>
  <c r="BN15" i="36"/>
  <c r="BJ15" i="36"/>
  <c r="BI15" i="36"/>
  <c r="BF15" i="36"/>
  <c r="BE15" i="36"/>
  <c r="AZ15" i="36"/>
  <c r="AV15" i="36"/>
  <c r="AT15" i="36"/>
  <c r="AN15" i="36"/>
  <c r="AM15" i="36"/>
  <c r="AJ15" i="36"/>
  <c r="AI15" i="36"/>
  <c r="AF15" i="36"/>
  <c r="AE15" i="36"/>
  <c r="AB15" i="36"/>
  <c r="AA15" i="36"/>
  <c r="W15" i="36"/>
  <c r="V15" i="36"/>
  <c r="S15" i="36"/>
  <c r="Q15" i="36"/>
  <c r="P15" i="36"/>
  <c r="M15" i="36"/>
  <c r="K15" i="36"/>
  <c r="J15" i="36"/>
  <c r="G15" i="36"/>
  <c r="F15" i="36"/>
  <c r="CX29" i="36"/>
  <c r="CH14" i="36"/>
  <c r="CF14" i="36"/>
  <c r="CE14" i="36"/>
  <c r="CB14" i="36"/>
  <c r="CA14" i="36"/>
  <c r="BX14" i="36"/>
  <c r="BW14" i="36"/>
  <c r="BT14" i="36"/>
  <c r="BS14" i="36"/>
  <c r="BP14" i="36"/>
  <c r="BN14" i="36"/>
  <c r="BJ14" i="36"/>
  <c r="BI14" i="36"/>
  <c r="BF14" i="36"/>
  <c r="BE14" i="36"/>
  <c r="AZ14" i="36"/>
  <c r="AV14" i="36"/>
  <c r="AT14" i="36"/>
  <c r="AN14" i="36"/>
  <c r="AM14" i="36"/>
  <c r="AJ14" i="36"/>
  <c r="AI14" i="36"/>
  <c r="AF14" i="36"/>
  <c r="AE14" i="36"/>
  <c r="AB14" i="36"/>
  <c r="AA14" i="36"/>
  <c r="W14" i="36"/>
  <c r="V14" i="36"/>
  <c r="S14" i="36"/>
  <c r="Q14" i="36"/>
  <c r="P14" i="36"/>
  <c r="M14" i="36"/>
  <c r="K14" i="36"/>
  <c r="J14" i="36"/>
  <c r="G14" i="36"/>
  <c r="F14" i="36"/>
  <c r="CH13" i="36"/>
  <c r="CF13" i="36"/>
  <c r="CE13" i="36"/>
  <c r="CB13" i="36"/>
  <c r="CA13" i="36"/>
  <c r="BX13" i="36"/>
  <c r="BW13" i="36"/>
  <c r="BT13" i="36"/>
  <c r="BS13" i="36"/>
  <c r="BP13" i="36"/>
  <c r="BN13" i="36"/>
  <c r="BJ13" i="36"/>
  <c r="BI13" i="36"/>
  <c r="BF13" i="36"/>
  <c r="BE13" i="36"/>
  <c r="AZ13" i="36"/>
  <c r="AV13" i="36"/>
  <c r="AT13" i="36"/>
  <c r="AN13" i="36"/>
  <c r="AM13" i="36"/>
  <c r="AJ13" i="36"/>
  <c r="AI13" i="36"/>
  <c r="AF13" i="36"/>
  <c r="AE13" i="36"/>
  <c r="AB13" i="36"/>
  <c r="AA13" i="36"/>
  <c r="W13" i="36"/>
  <c r="V13" i="36"/>
  <c r="S13" i="36"/>
  <c r="Q13" i="36"/>
  <c r="P13" i="36"/>
  <c r="M13" i="36"/>
  <c r="K13" i="36"/>
  <c r="J13" i="36"/>
  <c r="G13" i="36"/>
  <c r="F13" i="36"/>
  <c r="CH12" i="36"/>
  <c r="CF12" i="36"/>
  <c r="CE12" i="36"/>
  <c r="CB12" i="36"/>
  <c r="CA12" i="36"/>
  <c r="BX12" i="36"/>
  <c r="BW12" i="36"/>
  <c r="BT12" i="36"/>
  <c r="BS12" i="36"/>
  <c r="BP12" i="36"/>
  <c r="BN12" i="36"/>
  <c r="BJ12" i="36"/>
  <c r="BI12" i="36"/>
  <c r="BF12" i="36"/>
  <c r="BE12" i="36"/>
  <c r="AZ12" i="36"/>
  <c r="AV12" i="36"/>
  <c r="AT12" i="36"/>
  <c r="AN12" i="36"/>
  <c r="AM12" i="36"/>
  <c r="AJ12" i="36"/>
  <c r="AI12" i="36"/>
  <c r="AF12" i="36"/>
  <c r="AE12" i="36"/>
  <c r="AB12" i="36"/>
  <c r="AA12" i="36"/>
  <c r="W12" i="36"/>
  <c r="V12" i="36"/>
  <c r="S12" i="36"/>
  <c r="Q12" i="36"/>
  <c r="P12" i="36"/>
  <c r="M12" i="36"/>
  <c r="K12" i="36"/>
  <c r="J12" i="36"/>
  <c r="G12" i="36"/>
  <c r="F12" i="36"/>
  <c r="CH11" i="36"/>
  <c r="CF11" i="36"/>
  <c r="CE11" i="36"/>
  <c r="CB11" i="36"/>
  <c r="CA11" i="36"/>
  <c r="BX11" i="36"/>
  <c r="BW11" i="36"/>
  <c r="BT11" i="36"/>
  <c r="BS11" i="36"/>
  <c r="BP11" i="36"/>
  <c r="BN11" i="36"/>
  <c r="BJ11" i="36"/>
  <c r="BI11" i="36"/>
  <c r="BF11" i="36"/>
  <c r="BE11" i="36"/>
  <c r="AZ11" i="36"/>
  <c r="AV11" i="36"/>
  <c r="AT11" i="36"/>
  <c r="AN11" i="36"/>
  <c r="AM11" i="36"/>
  <c r="AJ11" i="36"/>
  <c r="AI11" i="36"/>
  <c r="AF11" i="36"/>
  <c r="AE11" i="36"/>
  <c r="AB11" i="36"/>
  <c r="AA11" i="36"/>
  <c r="W11" i="36"/>
  <c r="V11" i="36"/>
  <c r="S11" i="36"/>
  <c r="Q11" i="36"/>
  <c r="P11" i="36"/>
  <c r="M11" i="36"/>
  <c r="K11" i="36"/>
  <c r="J11" i="36"/>
  <c r="G11" i="36"/>
  <c r="F11" i="36"/>
  <c r="CH10" i="36"/>
  <c r="CF10" i="36"/>
  <c r="CE10" i="36"/>
  <c r="CB10" i="36"/>
  <c r="CA10" i="36"/>
  <c r="BX10" i="36"/>
  <c r="BW10" i="36"/>
  <c r="BT10" i="36"/>
  <c r="BS10" i="36"/>
  <c r="BP10" i="36"/>
  <c r="BN10" i="36"/>
  <c r="BJ10" i="36"/>
  <c r="BI10" i="36"/>
  <c r="BF10" i="36"/>
  <c r="BE10" i="36"/>
  <c r="AZ10" i="36"/>
  <c r="AV10" i="36"/>
  <c r="AT10" i="36"/>
  <c r="AN10" i="36"/>
  <c r="AM10" i="36"/>
  <c r="AJ10" i="36"/>
  <c r="AI10" i="36"/>
  <c r="AF10" i="36"/>
  <c r="AE10" i="36"/>
  <c r="AB10" i="36"/>
  <c r="AA10" i="36"/>
  <c r="W10" i="36"/>
  <c r="V10" i="36"/>
  <c r="S10" i="36"/>
  <c r="Q10" i="36"/>
  <c r="P10" i="36"/>
  <c r="M10" i="36"/>
  <c r="K10" i="36"/>
  <c r="J10" i="36"/>
  <c r="G10" i="36"/>
  <c r="F10" i="36"/>
  <c r="CH9" i="36"/>
  <c r="CF9" i="36"/>
  <c r="CE9" i="36"/>
  <c r="CB9" i="36"/>
  <c r="CA9" i="36"/>
  <c r="BX9" i="36"/>
  <c r="BW9" i="36"/>
  <c r="BT9" i="36"/>
  <c r="BS9" i="36"/>
  <c r="BP9" i="36"/>
  <c r="BN9" i="36"/>
  <c r="BJ9" i="36"/>
  <c r="BI9" i="36"/>
  <c r="BF9" i="36"/>
  <c r="BE9" i="36"/>
  <c r="AZ9" i="36"/>
  <c r="AV9" i="36"/>
  <c r="AT9" i="36"/>
  <c r="AN9" i="36"/>
  <c r="AM9" i="36"/>
  <c r="AJ9" i="36"/>
  <c r="AI9" i="36"/>
  <c r="AF9" i="36"/>
  <c r="AE9" i="36"/>
  <c r="AB9" i="36"/>
  <c r="AA9" i="36"/>
  <c r="W9" i="36"/>
  <c r="V9" i="36"/>
  <c r="S9" i="36"/>
  <c r="Q9" i="36"/>
  <c r="P9" i="36"/>
  <c r="M9" i="36"/>
  <c r="K9" i="36"/>
  <c r="J9" i="36"/>
  <c r="G9" i="36"/>
  <c r="F9" i="36"/>
  <c r="CH8" i="36"/>
  <c r="CF8" i="36"/>
  <c r="CE8" i="36"/>
  <c r="CB8" i="36"/>
  <c r="CA8" i="36"/>
  <c r="BX8" i="36"/>
  <c r="BW8" i="36"/>
  <c r="BT8" i="36"/>
  <c r="BS8" i="36"/>
  <c r="BP8" i="36"/>
  <c r="BN8" i="36"/>
  <c r="BJ8" i="36"/>
  <c r="BI8" i="36"/>
  <c r="BE8" i="36"/>
  <c r="AZ8" i="36"/>
  <c r="AV8" i="36"/>
  <c r="AT8" i="36"/>
  <c r="AN8" i="36"/>
  <c r="AM8" i="36"/>
  <c r="AJ8" i="36"/>
  <c r="AI8" i="36"/>
  <c r="AF8" i="36"/>
  <c r="AE8" i="36"/>
  <c r="AB8" i="36"/>
  <c r="AA8" i="36"/>
  <c r="W8" i="36"/>
  <c r="V8" i="36"/>
  <c r="S8" i="36"/>
  <c r="Q8" i="36"/>
  <c r="P8" i="36"/>
  <c r="M8" i="36"/>
  <c r="K8" i="36"/>
  <c r="J8" i="36"/>
  <c r="G8" i="36"/>
  <c r="F8" i="36"/>
  <c r="CH7" i="36"/>
  <c r="CF7" i="36"/>
  <c r="CF29" i="36" s="1"/>
  <c r="CE7" i="36"/>
  <c r="CE29" i="36" s="1"/>
  <c r="CB7" i="36"/>
  <c r="CA7" i="36"/>
  <c r="BX7" i="36"/>
  <c r="BW7" i="36"/>
  <c r="BT7" i="36"/>
  <c r="BS7" i="36"/>
  <c r="BP7" i="36"/>
  <c r="BN7" i="36"/>
  <c r="BJ7" i="36"/>
  <c r="BI7" i="36"/>
  <c r="BF7" i="36"/>
  <c r="BE7" i="36"/>
  <c r="AZ7" i="36"/>
  <c r="AV7" i="36"/>
  <c r="AT7" i="36"/>
  <c r="AN7" i="36"/>
  <c r="AM7" i="36"/>
  <c r="AJ7" i="36"/>
  <c r="AI7" i="36"/>
  <c r="AI29" i="36" s="1"/>
  <c r="AF7" i="36"/>
  <c r="AF29" i="36" s="1"/>
  <c r="AE7" i="36"/>
  <c r="AB7" i="36"/>
  <c r="AA7" i="36"/>
  <c r="AA29" i="36" s="1"/>
  <c r="W7" i="36"/>
  <c r="V7" i="36"/>
  <c r="S7" i="36"/>
  <c r="Q7" i="36"/>
  <c r="P7" i="36"/>
  <c r="M7" i="36"/>
  <c r="K7" i="36"/>
  <c r="J7" i="36"/>
  <c r="G7" i="36"/>
  <c r="F7" i="36"/>
  <c r="BD17" i="35"/>
  <c r="CL22" i="35"/>
  <c r="CX14" i="35"/>
  <c r="CX15" i="35"/>
  <c r="BD8" i="35"/>
  <c r="AR25" i="35"/>
  <c r="BC17" i="35"/>
  <c r="CH22" i="35"/>
  <c r="CF22" i="35"/>
  <c r="CE22" i="35"/>
  <c r="CB22" i="35"/>
  <c r="CA22" i="35"/>
  <c r="BX22" i="35"/>
  <c r="BW22" i="35"/>
  <c r="BT22" i="35"/>
  <c r="BS22" i="35"/>
  <c r="BP22" i="35"/>
  <c r="BN22" i="35"/>
  <c r="BJ22" i="35"/>
  <c r="BI22" i="35"/>
  <c r="BF22" i="35"/>
  <c r="BE22" i="35"/>
  <c r="AZ22" i="35"/>
  <c r="AV22" i="35"/>
  <c r="AT22" i="35"/>
  <c r="AN22" i="35"/>
  <c r="AM22" i="35"/>
  <c r="AJ22" i="35"/>
  <c r="AI22" i="35"/>
  <c r="AF22" i="35"/>
  <c r="AE22" i="35"/>
  <c r="AB22" i="35"/>
  <c r="AA22" i="35"/>
  <c r="W22" i="35"/>
  <c r="V22" i="35"/>
  <c r="S22" i="35"/>
  <c r="Q22" i="35"/>
  <c r="P22" i="35"/>
  <c r="M22" i="35"/>
  <c r="K22" i="35"/>
  <c r="J22" i="35"/>
  <c r="G22" i="35"/>
  <c r="CS22" i="35" s="1"/>
  <c r="F22" i="35"/>
  <c r="CR22" i="35" s="1"/>
  <c r="CH21" i="35"/>
  <c r="CF21" i="35"/>
  <c r="CE21" i="35"/>
  <c r="CB21" i="35"/>
  <c r="CA21" i="35"/>
  <c r="BX21" i="35"/>
  <c r="BW21" i="35"/>
  <c r="BT21" i="35"/>
  <c r="BS21" i="35"/>
  <c r="BP21" i="35"/>
  <c r="BN21" i="35"/>
  <c r="BJ21" i="35"/>
  <c r="BI21" i="35"/>
  <c r="BF21" i="35"/>
  <c r="BE21" i="35"/>
  <c r="AZ21" i="35"/>
  <c r="AV21" i="35"/>
  <c r="AT21" i="35"/>
  <c r="AN21" i="35"/>
  <c r="AM21" i="35"/>
  <c r="AJ21" i="35"/>
  <c r="AI21" i="35"/>
  <c r="AF21" i="35"/>
  <c r="AE21" i="35"/>
  <c r="AB21" i="35"/>
  <c r="AA21" i="35"/>
  <c r="W21" i="35"/>
  <c r="V21" i="35"/>
  <c r="S21" i="35"/>
  <c r="Q21" i="35"/>
  <c r="P21" i="35"/>
  <c r="M21" i="35"/>
  <c r="K21" i="35"/>
  <c r="J21" i="35"/>
  <c r="G21" i="35"/>
  <c r="CS21" i="35" s="1"/>
  <c r="F21" i="35"/>
  <c r="CR21" i="35" s="1"/>
  <c r="CH23" i="35"/>
  <c r="CF23" i="35"/>
  <c r="CE23" i="35"/>
  <c r="CB23" i="35"/>
  <c r="CA23" i="35"/>
  <c r="BX23" i="35"/>
  <c r="BW23" i="35"/>
  <c r="BT23" i="35"/>
  <c r="BS23" i="35"/>
  <c r="BP23" i="35"/>
  <c r="BN23" i="35"/>
  <c r="BJ23" i="35"/>
  <c r="BI23" i="35"/>
  <c r="BF23" i="35"/>
  <c r="BE23" i="35"/>
  <c r="AZ23" i="35"/>
  <c r="AV23" i="35"/>
  <c r="AT23" i="35"/>
  <c r="AN23" i="35"/>
  <c r="AM23" i="35"/>
  <c r="AJ23" i="35"/>
  <c r="AI23" i="35"/>
  <c r="AF23" i="35"/>
  <c r="AE23" i="35"/>
  <c r="AB23" i="35"/>
  <c r="AA23" i="35"/>
  <c r="W23" i="35"/>
  <c r="V23" i="35"/>
  <c r="S23" i="35"/>
  <c r="Q23" i="35"/>
  <c r="P23" i="35"/>
  <c r="M23" i="35"/>
  <c r="K23" i="35"/>
  <c r="J23" i="35"/>
  <c r="G23" i="35"/>
  <c r="CS23" i="35" s="1"/>
  <c r="F23" i="35"/>
  <c r="CR23" i="35" s="1"/>
  <c r="CP25" i="35"/>
  <c r="CO25" i="35"/>
  <c r="CN25" i="35"/>
  <c r="CM25" i="35"/>
  <c r="CL25" i="35"/>
  <c r="CK25" i="35"/>
  <c r="CJ25" i="35"/>
  <c r="CI25" i="35"/>
  <c r="CG25" i="35"/>
  <c r="CD25" i="35"/>
  <c r="CC25" i="35"/>
  <c r="BZ25" i="35"/>
  <c r="BY25" i="35"/>
  <c r="BV25" i="35"/>
  <c r="BU25" i="35"/>
  <c r="BR25" i="35"/>
  <c r="BQ25" i="35"/>
  <c r="BO25" i="35"/>
  <c r="BM25" i="35"/>
  <c r="BL25" i="35"/>
  <c r="BK25" i="35"/>
  <c r="BH25" i="35"/>
  <c r="BG25" i="35"/>
  <c r="BB25" i="35"/>
  <c r="BA25" i="35"/>
  <c r="AY25" i="35"/>
  <c r="AX25" i="35"/>
  <c r="AW25" i="35"/>
  <c r="AU25" i="35"/>
  <c r="AS25" i="35"/>
  <c r="AQ25" i="35"/>
  <c r="AP25" i="35"/>
  <c r="AO25" i="35"/>
  <c r="AL25" i="35"/>
  <c r="AK25" i="35"/>
  <c r="AH25" i="35"/>
  <c r="AG25" i="35"/>
  <c r="AD25" i="35"/>
  <c r="AC25" i="35"/>
  <c r="Z25" i="35"/>
  <c r="Y25" i="35"/>
  <c r="X25" i="35"/>
  <c r="U25" i="35"/>
  <c r="T25" i="35"/>
  <c r="R25" i="35"/>
  <c r="O25" i="35"/>
  <c r="N25" i="35"/>
  <c r="L25" i="35"/>
  <c r="I25" i="35"/>
  <c r="H25" i="35"/>
  <c r="E25" i="35"/>
  <c r="D25" i="35"/>
  <c r="CH24" i="35"/>
  <c r="CF24" i="35"/>
  <c r="CE24" i="35"/>
  <c r="CB24" i="35"/>
  <c r="CA24" i="35"/>
  <c r="BX24" i="35"/>
  <c r="BW24" i="35"/>
  <c r="BT24" i="35"/>
  <c r="BS24" i="35"/>
  <c r="BP24" i="35"/>
  <c r="BN24" i="35"/>
  <c r="BJ24" i="35"/>
  <c r="BI24" i="35"/>
  <c r="BF24" i="35"/>
  <c r="BE24" i="35"/>
  <c r="AZ24" i="35"/>
  <c r="AV24" i="35"/>
  <c r="AT24" i="35"/>
  <c r="AN24" i="35"/>
  <c r="AM24" i="35"/>
  <c r="AJ24" i="35"/>
  <c r="AI24" i="35"/>
  <c r="AF24" i="35"/>
  <c r="AE24" i="35"/>
  <c r="AB24" i="35"/>
  <c r="AA24" i="35"/>
  <c r="W24" i="35"/>
  <c r="V24" i="35"/>
  <c r="S24" i="35"/>
  <c r="Q24" i="35"/>
  <c r="P24" i="35"/>
  <c r="M24" i="35"/>
  <c r="K24" i="35"/>
  <c r="J24" i="35"/>
  <c r="G24" i="35"/>
  <c r="CS24" i="35" s="1"/>
  <c r="F24" i="35"/>
  <c r="CR24" i="35" s="1"/>
  <c r="CH20" i="35"/>
  <c r="CF20" i="35"/>
  <c r="CE20" i="35"/>
  <c r="CB20" i="35"/>
  <c r="CA20" i="35"/>
  <c r="BX20" i="35"/>
  <c r="BW20" i="35"/>
  <c r="BT20" i="35"/>
  <c r="BS20" i="35"/>
  <c r="BP20" i="35"/>
  <c r="BN20" i="35"/>
  <c r="BJ20" i="35"/>
  <c r="BI20" i="35"/>
  <c r="BF20" i="35"/>
  <c r="BE20" i="35"/>
  <c r="AZ20" i="35"/>
  <c r="AV20" i="35"/>
  <c r="AT20" i="35"/>
  <c r="AN20" i="35"/>
  <c r="AM20" i="35"/>
  <c r="AJ20" i="35"/>
  <c r="AI20" i="35"/>
  <c r="AF20" i="35"/>
  <c r="AE20" i="35"/>
  <c r="AB20" i="35"/>
  <c r="AA20" i="35"/>
  <c r="W20" i="35"/>
  <c r="V20" i="35"/>
  <c r="S20" i="35"/>
  <c r="Q20" i="35"/>
  <c r="P20" i="35"/>
  <c r="M20" i="35"/>
  <c r="K20" i="35"/>
  <c r="J20" i="35"/>
  <c r="G20" i="35"/>
  <c r="CS20" i="35" s="1"/>
  <c r="F20" i="35"/>
  <c r="CR20" i="35" s="1"/>
  <c r="CH19" i="35"/>
  <c r="CF19" i="35"/>
  <c r="CE19" i="35"/>
  <c r="CB19" i="35"/>
  <c r="CA19" i="35"/>
  <c r="BX19" i="35"/>
  <c r="BW19" i="35"/>
  <c r="BT19" i="35"/>
  <c r="BS19" i="35"/>
  <c r="BP19" i="35"/>
  <c r="BN19" i="35"/>
  <c r="BJ19" i="35"/>
  <c r="BI19" i="35"/>
  <c r="BF19" i="35"/>
  <c r="BE19" i="35"/>
  <c r="AZ19" i="35"/>
  <c r="AV19" i="35"/>
  <c r="AT19" i="35"/>
  <c r="AN19" i="35"/>
  <c r="AM19" i="35"/>
  <c r="AJ19" i="35"/>
  <c r="AI19" i="35"/>
  <c r="AF19" i="35"/>
  <c r="AE19" i="35"/>
  <c r="AB19" i="35"/>
  <c r="AA19" i="35"/>
  <c r="W19" i="35"/>
  <c r="V19" i="35"/>
  <c r="S19" i="35"/>
  <c r="Q19" i="35"/>
  <c r="P19" i="35"/>
  <c r="M19" i="35"/>
  <c r="K19" i="35"/>
  <c r="J19" i="35"/>
  <c r="G19" i="35"/>
  <c r="CS19" i="35" s="1"/>
  <c r="F19" i="35"/>
  <c r="CR19" i="35" s="1"/>
  <c r="CH18" i="35"/>
  <c r="CF18" i="35"/>
  <c r="CE18" i="35"/>
  <c r="CB18" i="35"/>
  <c r="CA18" i="35"/>
  <c r="BX18" i="35"/>
  <c r="BW18" i="35"/>
  <c r="BT18" i="35"/>
  <c r="BS18" i="35"/>
  <c r="BP18" i="35"/>
  <c r="BN18" i="35"/>
  <c r="BJ18" i="35"/>
  <c r="BI18" i="35"/>
  <c r="BF18" i="35"/>
  <c r="BE18" i="35"/>
  <c r="AZ18" i="35"/>
  <c r="AV18" i="35"/>
  <c r="AT18" i="35"/>
  <c r="AN18" i="35"/>
  <c r="AM18" i="35"/>
  <c r="AJ18" i="35"/>
  <c r="AI18" i="35"/>
  <c r="AF18" i="35"/>
  <c r="AE18" i="35"/>
  <c r="AB18" i="35"/>
  <c r="AA18" i="35"/>
  <c r="W18" i="35"/>
  <c r="V18" i="35"/>
  <c r="S18" i="35"/>
  <c r="Q18" i="35"/>
  <c r="P18" i="35"/>
  <c r="M18" i="35"/>
  <c r="K18" i="35"/>
  <c r="J18" i="35"/>
  <c r="G18" i="35"/>
  <c r="F18" i="35"/>
  <c r="CR18" i="35" s="1"/>
  <c r="CH17" i="35"/>
  <c r="CF17" i="35"/>
  <c r="CE17" i="35"/>
  <c r="CB17" i="35"/>
  <c r="CA17" i="35"/>
  <c r="BX17" i="35"/>
  <c r="BW17" i="35"/>
  <c r="BT17" i="35"/>
  <c r="BS17" i="35"/>
  <c r="BP17" i="35"/>
  <c r="BN17" i="35"/>
  <c r="BJ17" i="35"/>
  <c r="BI17" i="35"/>
  <c r="BF17" i="35"/>
  <c r="BE17" i="35"/>
  <c r="AZ17" i="35"/>
  <c r="AV17" i="35"/>
  <c r="AT17" i="35"/>
  <c r="AN17" i="35"/>
  <c r="AM17" i="35"/>
  <c r="AJ17" i="35"/>
  <c r="AI17" i="35"/>
  <c r="AF17" i="35"/>
  <c r="AE17" i="35"/>
  <c r="AB17" i="35"/>
  <c r="AA17" i="35"/>
  <c r="W17" i="35"/>
  <c r="V17" i="35"/>
  <c r="S17" i="35"/>
  <c r="Q17" i="35"/>
  <c r="P17" i="35"/>
  <c r="M17" i="35"/>
  <c r="K17" i="35"/>
  <c r="J17" i="35"/>
  <c r="G17" i="35"/>
  <c r="CS17" i="35" s="1"/>
  <c r="F17" i="35"/>
  <c r="CR17" i="35" s="1"/>
  <c r="CH16" i="35"/>
  <c r="CF16" i="35"/>
  <c r="CE16" i="35"/>
  <c r="CB16" i="35"/>
  <c r="CA16" i="35"/>
  <c r="BX16" i="35"/>
  <c r="BW16" i="35"/>
  <c r="BT16" i="35"/>
  <c r="BS16" i="35"/>
  <c r="BP16" i="35"/>
  <c r="BN16" i="35"/>
  <c r="BJ16" i="35"/>
  <c r="BI16" i="35"/>
  <c r="BF16" i="35"/>
  <c r="BE16" i="35"/>
  <c r="AZ16" i="35"/>
  <c r="AV16" i="35"/>
  <c r="AT16" i="35"/>
  <c r="AN16" i="35"/>
  <c r="AM16" i="35"/>
  <c r="AJ16" i="35"/>
  <c r="AI16" i="35"/>
  <c r="AF16" i="35"/>
  <c r="AE16" i="35"/>
  <c r="AB16" i="35"/>
  <c r="AA16" i="35"/>
  <c r="W16" i="35"/>
  <c r="V16" i="35"/>
  <c r="S16" i="35"/>
  <c r="Q16" i="35"/>
  <c r="P16" i="35"/>
  <c r="M16" i="35"/>
  <c r="K16" i="35"/>
  <c r="J16" i="35"/>
  <c r="G16" i="35"/>
  <c r="CS16" i="35" s="1"/>
  <c r="F16" i="35"/>
  <c r="CR16" i="35" s="1"/>
  <c r="CH15" i="35"/>
  <c r="CF15" i="35"/>
  <c r="CE15" i="35"/>
  <c r="CB15" i="35"/>
  <c r="CA15" i="35"/>
  <c r="BX15" i="35"/>
  <c r="BW15" i="35"/>
  <c r="BT15" i="35"/>
  <c r="BS15" i="35"/>
  <c r="BP15" i="35"/>
  <c r="BN15" i="35"/>
  <c r="BJ15" i="35"/>
  <c r="BI15" i="35"/>
  <c r="BF15" i="35"/>
  <c r="BE15" i="35"/>
  <c r="AZ15" i="35"/>
  <c r="AV15" i="35"/>
  <c r="AT15" i="35"/>
  <c r="AN15" i="35"/>
  <c r="AM15" i="35"/>
  <c r="AJ15" i="35"/>
  <c r="AI15" i="35"/>
  <c r="AF15" i="35"/>
  <c r="AE15" i="35"/>
  <c r="AB15" i="35"/>
  <c r="AA15" i="35"/>
  <c r="W15" i="35"/>
  <c r="V15" i="35"/>
  <c r="S15" i="35"/>
  <c r="Q15" i="35"/>
  <c r="P15" i="35"/>
  <c r="M15" i="35"/>
  <c r="K15" i="35"/>
  <c r="J15" i="35"/>
  <c r="G15" i="35"/>
  <c r="CS15" i="35" s="1"/>
  <c r="F15" i="35"/>
  <c r="CR15" i="35" s="1"/>
  <c r="CX25" i="35"/>
  <c r="CH14" i="35"/>
  <c r="CF14" i="35"/>
  <c r="CE14" i="35"/>
  <c r="CB14" i="35"/>
  <c r="CA14" i="35"/>
  <c r="BX14" i="35"/>
  <c r="BW14" i="35"/>
  <c r="BT14" i="35"/>
  <c r="BS14" i="35"/>
  <c r="BP14" i="35"/>
  <c r="BN14" i="35"/>
  <c r="BJ14" i="35"/>
  <c r="BI14" i="35"/>
  <c r="BF14" i="35"/>
  <c r="BE14" i="35"/>
  <c r="AZ14" i="35"/>
  <c r="AV14" i="35"/>
  <c r="AT14" i="35"/>
  <c r="AN14" i="35"/>
  <c r="AM14" i="35"/>
  <c r="AJ14" i="35"/>
  <c r="AI14" i="35"/>
  <c r="AF14" i="35"/>
  <c r="AE14" i="35"/>
  <c r="AB14" i="35"/>
  <c r="AA14" i="35"/>
  <c r="W14" i="35"/>
  <c r="V14" i="35"/>
  <c r="S14" i="35"/>
  <c r="Q14" i="35"/>
  <c r="P14" i="35"/>
  <c r="M14" i="35"/>
  <c r="K14" i="35"/>
  <c r="J14" i="35"/>
  <c r="G14" i="35"/>
  <c r="CS14" i="35" s="1"/>
  <c r="F14" i="35"/>
  <c r="CR14" i="35" s="1"/>
  <c r="CH13" i="35"/>
  <c r="CF13" i="35"/>
  <c r="CE13" i="35"/>
  <c r="CB13" i="35"/>
  <c r="CA13" i="35"/>
  <c r="BX13" i="35"/>
  <c r="BW13" i="35"/>
  <c r="BT13" i="35"/>
  <c r="BS13" i="35"/>
  <c r="BP13" i="35"/>
  <c r="BN13" i="35"/>
  <c r="BJ13" i="35"/>
  <c r="BI13" i="35"/>
  <c r="BF13" i="35"/>
  <c r="BE13" i="35"/>
  <c r="AZ13" i="35"/>
  <c r="AV13" i="35"/>
  <c r="AT13" i="35"/>
  <c r="AN13" i="35"/>
  <c r="AM13" i="35"/>
  <c r="AJ13" i="35"/>
  <c r="AI13" i="35"/>
  <c r="AF13" i="35"/>
  <c r="AE13" i="35"/>
  <c r="AB13" i="35"/>
  <c r="AA13" i="35"/>
  <c r="W13" i="35"/>
  <c r="V13" i="35"/>
  <c r="S13" i="35"/>
  <c r="Q13" i="35"/>
  <c r="P13" i="35"/>
  <c r="M13" i="35"/>
  <c r="K13" i="35"/>
  <c r="J13" i="35"/>
  <c r="G13" i="35"/>
  <c r="CS13" i="35" s="1"/>
  <c r="F13" i="35"/>
  <c r="CR13" i="35" s="1"/>
  <c r="CH12" i="35"/>
  <c r="CF12" i="35"/>
  <c r="CE12" i="35"/>
  <c r="CB12" i="35"/>
  <c r="CA12" i="35"/>
  <c r="BX12" i="35"/>
  <c r="BW12" i="35"/>
  <c r="BT12" i="35"/>
  <c r="BS12" i="35"/>
  <c r="BP12" i="35"/>
  <c r="BN12" i="35"/>
  <c r="BJ12" i="35"/>
  <c r="BI12" i="35"/>
  <c r="BF12" i="35"/>
  <c r="BE12" i="35"/>
  <c r="AZ12" i="35"/>
  <c r="AV12" i="35"/>
  <c r="AT12" i="35"/>
  <c r="AN12" i="35"/>
  <c r="AM12" i="35"/>
  <c r="AJ12" i="35"/>
  <c r="AI12" i="35"/>
  <c r="AF12" i="35"/>
  <c r="AE12" i="35"/>
  <c r="AB12" i="35"/>
  <c r="AA12" i="35"/>
  <c r="W12" i="35"/>
  <c r="V12" i="35"/>
  <c r="S12" i="35"/>
  <c r="Q12" i="35"/>
  <c r="P12" i="35"/>
  <c r="M12" i="35"/>
  <c r="K12" i="35"/>
  <c r="J12" i="35"/>
  <c r="G12" i="35"/>
  <c r="F12" i="35"/>
  <c r="CR12" i="35" s="1"/>
  <c r="CH11" i="35"/>
  <c r="CF11" i="35"/>
  <c r="CE11" i="35"/>
  <c r="CB11" i="35"/>
  <c r="CA11" i="35"/>
  <c r="BX11" i="35"/>
  <c r="BW11" i="35"/>
  <c r="BT11" i="35"/>
  <c r="BS11" i="35"/>
  <c r="BP11" i="35"/>
  <c r="BN11" i="35"/>
  <c r="BJ11" i="35"/>
  <c r="BI11" i="35"/>
  <c r="BF11" i="35"/>
  <c r="BE11" i="35"/>
  <c r="AZ11" i="35"/>
  <c r="AV11" i="35"/>
  <c r="AT11" i="35"/>
  <c r="AN11" i="35"/>
  <c r="AM11" i="35"/>
  <c r="AJ11" i="35"/>
  <c r="AI11" i="35"/>
  <c r="AF11" i="35"/>
  <c r="AE11" i="35"/>
  <c r="AB11" i="35"/>
  <c r="AA11" i="35"/>
  <c r="W11" i="35"/>
  <c r="V11" i="35"/>
  <c r="S11" i="35"/>
  <c r="Q11" i="35"/>
  <c r="P11" i="35"/>
  <c r="M11" i="35"/>
  <c r="K11" i="35"/>
  <c r="J11" i="35"/>
  <c r="G11" i="35"/>
  <c r="CS11" i="35" s="1"/>
  <c r="F11" i="35"/>
  <c r="CR11" i="35" s="1"/>
  <c r="CH10" i="35"/>
  <c r="CF10" i="35"/>
  <c r="CE10" i="35"/>
  <c r="CB10" i="35"/>
  <c r="CA10" i="35"/>
  <c r="BX10" i="35"/>
  <c r="BW10" i="35"/>
  <c r="BT10" i="35"/>
  <c r="BS10" i="35"/>
  <c r="BP10" i="35"/>
  <c r="BN10" i="35"/>
  <c r="BJ10" i="35"/>
  <c r="BI10" i="35"/>
  <c r="BF10" i="35"/>
  <c r="BE10" i="35"/>
  <c r="AZ10" i="35"/>
  <c r="AV10" i="35"/>
  <c r="AT10" i="35"/>
  <c r="AN10" i="35"/>
  <c r="AM10" i="35"/>
  <c r="AJ10" i="35"/>
  <c r="AI10" i="35"/>
  <c r="AF10" i="35"/>
  <c r="AE10" i="35"/>
  <c r="AB10" i="35"/>
  <c r="AA10" i="35"/>
  <c r="W10" i="35"/>
  <c r="V10" i="35"/>
  <c r="S10" i="35"/>
  <c r="Q10" i="35"/>
  <c r="P10" i="35"/>
  <c r="M10" i="35"/>
  <c r="K10" i="35"/>
  <c r="J10" i="35"/>
  <c r="G10" i="35"/>
  <c r="CS10" i="35" s="1"/>
  <c r="F10" i="35"/>
  <c r="CR10" i="35" s="1"/>
  <c r="CH9" i="35"/>
  <c r="CF9" i="35"/>
  <c r="CE9" i="35"/>
  <c r="CB9" i="35"/>
  <c r="CA9" i="35"/>
  <c r="BX9" i="35"/>
  <c r="BW9" i="35"/>
  <c r="BT9" i="35"/>
  <c r="BS9" i="35"/>
  <c r="BP9" i="35"/>
  <c r="BN9" i="35"/>
  <c r="BJ9" i="35"/>
  <c r="BI9" i="35"/>
  <c r="BF9" i="35"/>
  <c r="BE9" i="35"/>
  <c r="AZ9" i="35"/>
  <c r="AV9" i="35"/>
  <c r="AT9" i="35"/>
  <c r="AN9" i="35"/>
  <c r="AM9" i="35"/>
  <c r="AJ9" i="35"/>
  <c r="AI9" i="35"/>
  <c r="AF9" i="35"/>
  <c r="AE9" i="35"/>
  <c r="AB9" i="35"/>
  <c r="AA9" i="35"/>
  <c r="W9" i="35"/>
  <c r="V9" i="35"/>
  <c r="S9" i="35"/>
  <c r="Q9" i="35"/>
  <c r="P9" i="35"/>
  <c r="M9" i="35"/>
  <c r="K9" i="35"/>
  <c r="J9" i="35"/>
  <c r="G9" i="35"/>
  <c r="CS9" i="35" s="1"/>
  <c r="F9" i="35"/>
  <c r="CH8" i="35"/>
  <c r="CF8" i="35"/>
  <c r="CE8" i="35"/>
  <c r="CB8" i="35"/>
  <c r="CA8" i="35"/>
  <c r="BX8" i="35"/>
  <c r="BW8" i="35"/>
  <c r="BT8" i="35"/>
  <c r="BS8" i="35"/>
  <c r="BP8" i="35"/>
  <c r="BN8" i="35"/>
  <c r="BJ8" i="35"/>
  <c r="BI8" i="35"/>
  <c r="AZ8" i="35"/>
  <c r="AV8" i="35"/>
  <c r="AT8" i="35"/>
  <c r="AN8" i="35"/>
  <c r="AM8" i="35"/>
  <c r="AJ8" i="35"/>
  <c r="AI8" i="35"/>
  <c r="AF8" i="35"/>
  <c r="AE8" i="35"/>
  <c r="AB8" i="35"/>
  <c r="AA8" i="35"/>
  <c r="W8" i="35"/>
  <c r="V8" i="35"/>
  <c r="S8" i="35"/>
  <c r="Q8" i="35"/>
  <c r="P8" i="35"/>
  <c r="M8" i="35"/>
  <c r="K8" i="35"/>
  <c r="J8" i="35"/>
  <c r="G8" i="35"/>
  <c r="F8" i="35"/>
  <c r="CH7" i="35"/>
  <c r="CF7" i="35"/>
  <c r="CF25" i="35" s="1"/>
  <c r="CE7" i="35"/>
  <c r="CE25" i="35" s="1"/>
  <c r="CB7" i="35"/>
  <c r="CB25" i="35" s="1"/>
  <c r="CA7" i="35"/>
  <c r="CA25" i="35" s="1"/>
  <c r="BX7" i="35"/>
  <c r="BW7" i="35"/>
  <c r="BW25" i="35" s="1"/>
  <c r="BT7" i="35"/>
  <c r="BT25" i="35" s="1"/>
  <c r="BS7" i="35"/>
  <c r="BS25" i="35" s="1"/>
  <c r="BP7" i="35"/>
  <c r="BP25" i="35" s="1"/>
  <c r="BN7" i="35"/>
  <c r="BN25" i="35" s="1"/>
  <c r="BJ7" i="35"/>
  <c r="BJ25" i="35" s="1"/>
  <c r="BI7" i="35"/>
  <c r="BI25" i="35" s="1"/>
  <c r="BF7" i="35"/>
  <c r="BE7" i="35"/>
  <c r="AZ7" i="35"/>
  <c r="AZ25" i="35" s="1"/>
  <c r="AV7" i="35"/>
  <c r="AV25" i="35" s="1"/>
  <c r="AT7" i="35"/>
  <c r="AT25" i="35" s="1"/>
  <c r="AN7" i="35"/>
  <c r="AM7" i="35"/>
  <c r="AM25" i="35" s="1"/>
  <c r="AJ7" i="35"/>
  <c r="AJ25" i="35" s="1"/>
  <c r="AI7" i="35"/>
  <c r="AI25" i="35" s="1"/>
  <c r="AF7" i="35"/>
  <c r="AF25" i="35" s="1"/>
  <c r="AE7" i="35"/>
  <c r="AE25" i="35" s="1"/>
  <c r="AB7" i="35"/>
  <c r="AB25" i="35" s="1"/>
  <c r="AA7" i="35"/>
  <c r="AA25" i="35" s="1"/>
  <c r="W7" i="35"/>
  <c r="W25" i="35" s="1"/>
  <c r="V7" i="35"/>
  <c r="V25" i="35" s="1"/>
  <c r="S7" i="35"/>
  <c r="S25" i="35" s="1"/>
  <c r="Q7" i="35"/>
  <c r="Q25" i="35" s="1"/>
  <c r="P7" i="35"/>
  <c r="P25" i="35" s="1"/>
  <c r="M7" i="35"/>
  <c r="M25" i="35" s="1"/>
  <c r="K7" i="35"/>
  <c r="K25" i="35" s="1"/>
  <c r="J7" i="35"/>
  <c r="J25" i="35" s="1"/>
  <c r="G7" i="35"/>
  <c r="CS7" i="35" s="1"/>
  <c r="F7" i="35"/>
  <c r="CX14" i="34"/>
  <c r="BD8" i="34"/>
  <c r="CH26" i="34"/>
  <c r="CF26" i="34"/>
  <c r="CE26" i="34"/>
  <c r="CB26" i="34"/>
  <c r="CA26" i="34"/>
  <c r="BX26" i="34"/>
  <c r="BW26" i="34"/>
  <c r="BT26" i="34"/>
  <c r="BS26" i="34"/>
  <c r="BP26" i="34"/>
  <c r="BN26" i="34"/>
  <c r="BJ26" i="34"/>
  <c r="BI26" i="34"/>
  <c r="BF26" i="34"/>
  <c r="BE26" i="34"/>
  <c r="AZ26" i="34"/>
  <c r="AV26" i="34"/>
  <c r="AT26" i="34"/>
  <c r="AN26" i="34"/>
  <c r="AM26" i="34"/>
  <c r="AJ26" i="34"/>
  <c r="AI26" i="34"/>
  <c r="AF26" i="34"/>
  <c r="AE26" i="34"/>
  <c r="AB26" i="34"/>
  <c r="AA26" i="34"/>
  <c r="W26" i="34"/>
  <c r="V26" i="34"/>
  <c r="S26" i="34"/>
  <c r="Q26" i="34"/>
  <c r="P26" i="34"/>
  <c r="M26" i="34"/>
  <c r="K26" i="34"/>
  <c r="J26" i="34"/>
  <c r="G26" i="34"/>
  <c r="CS26" i="34" s="1"/>
  <c r="F26" i="34"/>
  <c r="CR26" i="34" s="1"/>
  <c r="CH25" i="34"/>
  <c r="CF25" i="34"/>
  <c r="CE25" i="34"/>
  <c r="CB25" i="34"/>
  <c r="CA25" i="34"/>
  <c r="BX25" i="34"/>
  <c r="BW25" i="34"/>
  <c r="BT25" i="34"/>
  <c r="BS25" i="34"/>
  <c r="BP25" i="34"/>
  <c r="BN25" i="34"/>
  <c r="BJ25" i="34"/>
  <c r="BI25" i="34"/>
  <c r="BF25" i="34"/>
  <c r="BE25" i="34"/>
  <c r="AZ25" i="34"/>
  <c r="AV25" i="34"/>
  <c r="AT25" i="34"/>
  <c r="AN25" i="34"/>
  <c r="AM25" i="34"/>
  <c r="AJ25" i="34"/>
  <c r="AI25" i="34"/>
  <c r="AF25" i="34"/>
  <c r="AE25" i="34"/>
  <c r="AB25" i="34"/>
  <c r="AA25" i="34"/>
  <c r="W25" i="34"/>
  <c r="V25" i="34"/>
  <c r="S25" i="34"/>
  <c r="Q25" i="34"/>
  <c r="P25" i="34"/>
  <c r="M25" i="34"/>
  <c r="K25" i="34"/>
  <c r="J25" i="34"/>
  <c r="G25" i="34"/>
  <c r="CS25" i="34" s="1"/>
  <c r="F25" i="34"/>
  <c r="CR25" i="34" s="1"/>
  <c r="BC17" i="34"/>
  <c r="BC8" i="34"/>
  <c r="CS25" i="36" l="1"/>
  <c r="W29" i="36"/>
  <c r="BN29" i="36"/>
  <c r="CS26" i="36"/>
  <c r="CT26" i="36" s="1"/>
  <c r="CV26" i="36" s="1"/>
  <c r="CU25" i="36"/>
  <c r="CT25" i="36"/>
  <c r="CV25" i="36" s="1"/>
  <c r="AJ29" i="36"/>
  <c r="M29" i="36"/>
  <c r="AE29" i="36"/>
  <c r="CB29" i="36"/>
  <c r="CS21" i="36"/>
  <c r="CT21" i="36" s="1"/>
  <c r="CV21" i="36" s="1"/>
  <c r="CR24" i="36"/>
  <c r="AB29" i="36"/>
  <c r="CA29" i="36"/>
  <c r="CS24" i="36"/>
  <c r="CS27" i="36"/>
  <c r="AN29" i="36"/>
  <c r="CS15" i="36"/>
  <c r="Q29" i="36"/>
  <c r="CS16" i="36"/>
  <c r="S29" i="36"/>
  <c r="BI29" i="36"/>
  <c r="CR9" i="36"/>
  <c r="CR13" i="36"/>
  <c r="CS19" i="36"/>
  <c r="CU19" i="36" s="1"/>
  <c r="V29" i="36"/>
  <c r="BJ29" i="36"/>
  <c r="CS9" i="36"/>
  <c r="CT9" i="36" s="1"/>
  <c r="CV9" i="36" s="1"/>
  <c r="CS13" i="36"/>
  <c r="CR21" i="36"/>
  <c r="CU21" i="36" s="1"/>
  <c r="CS17" i="36"/>
  <c r="BS29" i="36"/>
  <c r="CR10" i="36"/>
  <c r="CR14" i="36"/>
  <c r="BT29" i="36"/>
  <c r="CS10" i="36"/>
  <c r="CT10" i="36" s="1"/>
  <c r="CV10" i="36" s="1"/>
  <c r="CS14" i="36"/>
  <c r="CR18" i="36"/>
  <c r="BW29" i="36"/>
  <c r="CS18" i="36"/>
  <c r="CU18" i="36" s="1"/>
  <c r="CR22" i="36"/>
  <c r="CR23" i="36"/>
  <c r="BX29" i="36"/>
  <c r="CS22" i="36"/>
  <c r="CS23" i="36"/>
  <c r="CR11" i="36"/>
  <c r="BP29" i="36"/>
  <c r="AM29" i="36"/>
  <c r="CS11" i="36"/>
  <c r="CR15" i="36"/>
  <c r="CR19" i="36"/>
  <c r="CR28" i="36"/>
  <c r="J29" i="36"/>
  <c r="AT29" i="36"/>
  <c r="CS28" i="36"/>
  <c r="CT28" i="36" s="1"/>
  <c r="CV28" i="36" s="1"/>
  <c r="K29" i="36"/>
  <c r="AV29" i="36"/>
  <c r="CR12" i="36"/>
  <c r="AZ29" i="36"/>
  <c r="CR8" i="36"/>
  <c r="CS12" i="36"/>
  <c r="CR20" i="36"/>
  <c r="CR27" i="36"/>
  <c r="P29" i="36"/>
  <c r="CR16" i="36"/>
  <c r="CS20" i="36"/>
  <c r="CH29" i="36"/>
  <c r="CU24" i="36"/>
  <c r="F29" i="36"/>
  <c r="CR7" i="36"/>
  <c r="G29" i="36"/>
  <c r="CS7" i="36"/>
  <c r="BD29" i="36"/>
  <c r="BF8" i="36"/>
  <c r="CU14" i="36"/>
  <c r="CT14" i="36"/>
  <c r="CV14" i="36" s="1"/>
  <c r="CU15" i="36"/>
  <c r="CT15" i="36"/>
  <c r="CV15" i="36" s="1"/>
  <c r="BC29" i="36"/>
  <c r="BE17" i="36"/>
  <c r="CS18" i="35"/>
  <c r="AN25" i="35"/>
  <c r="CS12" i="35"/>
  <c r="BX25" i="35"/>
  <c r="CH25" i="35"/>
  <c r="CR9" i="35"/>
  <c r="CU9" i="35" s="1"/>
  <c r="CU22" i="35"/>
  <c r="CT22" i="35"/>
  <c r="CV22" i="35" s="1"/>
  <c r="CU21" i="35"/>
  <c r="CT21" i="35"/>
  <c r="CV21" i="35" s="1"/>
  <c r="CU23" i="35"/>
  <c r="CT23" i="35"/>
  <c r="CV23" i="35" s="1"/>
  <c r="F25" i="35"/>
  <c r="CR7" i="35"/>
  <c r="CU7" i="35" s="1"/>
  <c r="G25" i="35"/>
  <c r="BC25" i="35"/>
  <c r="BE8" i="35"/>
  <c r="BD25" i="35"/>
  <c r="BF8" i="35"/>
  <c r="CT9" i="35"/>
  <c r="CV9" i="35" s="1"/>
  <c r="CU10" i="35"/>
  <c r="CT10" i="35"/>
  <c r="CV10" i="35" s="1"/>
  <c r="CU11" i="35"/>
  <c r="CT11" i="35"/>
  <c r="CV11" i="35" s="1"/>
  <c r="CU12" i="35"/>
  <c r="CT12" i="35"/>
  <c r="CV12" i="35" s="1"/>
  <c r="CU13" i="35"/>
  <c r="CT13" i="35"/>
  <c r="CV13" i="35" s="1"/>
  <c r="CU14" i="35"/>
  <c r="CT14" i="35"/>
  <c r="CV14" i="35" s="1"/>
  <c r="CU15" i="35"/>
  <c r="CT15" i="35"/>
  <c r="CV15" i="35" s="1"/>
  <c r="CU16" i="35"/>
  <c r="CT16" i="35"/>
  <c r="CV16" i="35" s="1"/>
  <c r="CU17" i="35"/>
  <c r="CT17" i="35"/>
  <c r="CV17" i="35" s="1"/>
  <c r="CU18" i="35"/>
  <c r="CT18" i="35"/>
  <c r="CV18" i="35" s="1"/>
  <c r="CU19" i="35"/>
  <c r="CT19" i="35"/>
  <c r="CV19" i="35" s="1"/>
  <c r="CU20" i="35"/>
  <c r="CT20" i="35"/>
  <c r="CV20" i="35" s="1"/>
  <c r="CU24" i="35"/>
  <c r="CT24" i="35"/>
  <c r="CV24" i="35" s="1"/>
  <c r="CU26" i="34"/>
  <c r="CT26" i="34"/>
  <c r="CV26" i="34" s="1"/>
  <c r="CU25" i="34"/>
  <c r="CT25" i="34"/>
  <c r="CV25" i="34" s="1"/>
  <c r="CH24" i="34"/>
  <c r="CF24" i="34"/>
  <c r="CE24" i="34"/>
  <c r="CB24" i="34"/>
  <c r="CA24" i="34"/>
  <c r="BX24" i="34"/>
  <c r="BW24" i="34"/>
  <c r="BT24" i="34"/>
  <c r="BS24" i="34"/>
  <c r="BP24" i="34"/>
  <c r="BN24" i="34"/>
  <c r="BJ24" i="34"/>
  <c r="BI24" i="34"/>
  <c r="BF24" i="34"/>
  <c r="BE24" i="34"/>
  <c r="AZ24" i="34"/>
  <c r="AV24" i="34"/>
  <c r="AT24" i="34"/>
  <c r="AN24" i="34"/>
  <c r="AM24" i="34"/>
  <c r="AJ24" i="34"/>
  <c r="AI24" i="34"/>
  <c r="AF24" i="34"/>
  <c r="AE24" i="34"/>
  <c r="AB24" i="34"/>
  <c r="AA24" i="34"/>
  <c r="W24" i="34"/>
  <c r="V24" i="34"/>
  <c r="S24" i="34"/>
  <c r="Q24" i="34"/>
  <c r="P24" i="34"/>
  <c r="M24" i="34"/>
  <c r="K24" i="34"/>
  <c r="J24" i="34"/>
  <c r="G24" i="34"/>
  <c r="F24" i="34"/>
  <c r="CR24" i="34" s="1"/>
  <c r="BS22" i="34"/>
  <c r="BT22" i="34"/>
  <c r="BW22" i="34"/>
  <c r="BX22" i="34"/>
  <c r="CA22" i="34"/>
  <c r="CB22" i="34"/>
  <c r="CE22" i="34"/>
  <c r="CF22" i="34"/>
  <c r="CH22" i="34"/>
  <c r="BN22" i="34"/>
  <c r="BP22" i="34"/>
  <c r="BI22" i="34"/>
  <c r="BJ22" i="34"/>
  <c r="BE22" i="34"/>
  <c r="BF22" i="34"/>
  <c r="AZ22" i="34"/>
  <c r="AV22" i="34"/>
  <c r="AT22" i="34"/>
  <c r="AE22" i="34"/>
  <c r="AF22" i="34"/>
  <c r="AI22" i="34"/>
  <c r="AJ22" i="34"/>
  <c r="AM22" i="34"/>
  <c r="AN22" i="34"/>
  <c r="AA22" i="34"/>
  <c r="AB22" i="34"/>
  <c r="P22" i="34"/>
  <c r="Q22" i="34"/>
  <c r="S22" i="34"/>
  <c r="V22" i="34"/>
  <c r="W22" i="34"/>
  <c r="M22" i="34"/>
  <c r="J22" i="34"/>
  <c r="K22" i="34"/>
  <c r="F22" i="34"/>
  <c r="G22" i="34"/>
  <c r="CP28" i="34"/>
  <c r="CO28" i="34"/>
  <c r="CN28" i="34"/>
  <c r="CM28" i="34"/>
  <c r="CL28" i="34"/>
  <c r="CK28" i="34"/>
  <c r="CJ28" i="34"/>
  <c r="CI28" i="34"/>
  <c r="CG28" i="34"/>
  <c r="CD28" i="34"/>
  <c r="CC28" i="34"/>
  <c r="BZ28" i="34"/>
  <c r="BY28" i="34"/>
  <c r="BV28" i="34"/>
  <c r="BU28" i="34"/>
  <c r="BR28" i="34"/>
  <c r="BQ28" i="34"/>
  <c r="BO28" i="34"/>
  <c r="BM28" i="34"/>
  <c r="BL28" i="34"/>
  <c r="BK28" i="34"/>
  <c r="BH28" i="34"/>
  <c r="BG28" i="34"/>
  <c r="BB28" i="34"/>
  <c r="BA28" i="34"/>
  <c r="AY28" i="34"/>
  <c r="AX28" i="34"/>
  <c r="AW28" i="34"/>
  <c r="AU28" i="34"/>
  <c r="AS28" i="34"/>
  <c r="AR28" i="34"/>
  <c r="AQ28" i="34"/>
  <c r="AP28" i="34"/>
  <c r="AO28" i="34"/>
  <c r="AL28" i="34"/>
  <c r="AK28" i="34"/>
  <c r="AH28" i="34"/>
  <c r="AG28" i="34"/>
  <c r="AD28" i="34"/>
  <c r="AC28" i="34"/>
  <c r="Z28" i="34"/>
  <c r="Y28" i="34"/>
  <c r="X28" i="34"/>
  <c r="U28" i="34"/>
  <c r="T28" i="34"/>
  <c r="R28" i="34"/>
  <c r="O28" i="34"/>
  <c r="N28" i="34"/>
  <c r="L28" i="34"/>
  <c r="H28" i="34"/>
  <c r="E28" i="34"/>
  <c r="D28" i="34"/>
  <c r="CH27" i="34"/>
  <c r="CF27" i="34"/>
  <c r="CE27" i="34"/>
  <c r="CB27" i="34"/>
  <c r="CA27" i="34"/>
  <c r="BX27" i="34"/>
  <c r="BW27" i="34"/>
  <c r="BT27" i="34"/>
  <c r="BS27" i="34"/>
  <c r="BP27" i="34"/>
  <c r="BN27" i="34"/>
  <c r="BJ27" i="34"/>
  <c r="BI27" i="34"/>
  <c r="BF27" i="34"/>
  <c r="BE27" i="34"/>
  <c r="AZ27" i="34"/>
  <c r="AV27" i="34"/>
  <c r="AT27" i="34"/>
  <c r="AN27" i="34"/>
  <c r="AM27" i="34"/>
  <c r="AJ27" i="34"/>
  <c r="AI27" i="34"/>
  <c r="AF27" i="34"/>
  <c r="AE27" i="34"/>
  <c r="AB27" i="34"/>
  <c r="AA27" i="34"/>
  <c r="W27" i="34"/>
  <c r="V27" i="34"/>
  <c r="S27" i="34"/>
  <c r="Q27" i="34"/>
  <c r="P27" i="34"/>
  <c r="M27" i="34"/>
  <c r="K27" i="34"/>
  <c r="J27" i="34"/>
  <c r="G27" i="34"/>
  <c r="F27" i="34"/>
  <c r="CH23" i="34"/>
  <c r="CF23" i="34"/>
  <c r="CE23" i="34"/>
  <c r="CB23" i="34"/>
  <c r="CA23" i="34"/>
  <c r="BX23" i="34"/>
  <c r="BW23" i="34"/>
  <c r="BT23" i="34"/>
  <c r="BS23" i="34"/>
  <c r="BP23" i="34"/>
  <c r="BN23" i="34"/>
  <c r="BJ23" i="34"/>
  <c r="BI23" i="34"/>
  <c r="BF23" i="34"/>
  <c r="BE23" i="34"/>
  <c r="AZ23" i="34"/>
  <c r="AV23" i="34"/>
  <c r="AT23" i="34"/>
  <c r="AN23" i="34"/>
  <c r="AM23" i="34"/>
  <c r="AJ23" i="34"/>
  <c r="AI23" i="34"/>
  <c r="AF23" i="34"/>
  <c r="AE23" i="34"/>
  <c r="AB23" i="34"/>
  <c r="AA23" i="34"/>
  <c r="W23" i="34"/>
  <c r="V23" i="34"/>
  <c r="S23" i="34"/>
  <c r="Q23" i="34"/>
  <c r="P23" i="34"/>
  <c r="M23" i="34"/>
  <c r="K23" i="34"/>
  <c r="J23" i="34"/>
  <c r="G23" i="34"/>
  <c r="F23" i="34"/>
  <c r="CH21" i="34"/>
  <c r="CF21" i="34"/>
  <c r="CE21" i="34"/>
  <c r="CB21" i="34"/>
  <c r="CA21" i="34"/>
  <c r="BX21" i="34"/>
  <c r="BW21" i="34"/>
  <c r="BT21" i="34"/>
  <c r="BS21" i="34"/>
  <c r="BP21" i="34"/>
  <c r="BN21" i="34"/>
  <c r="BJ21" i="34"/>
  <c r="BI21" i="34"/>
  <c r="BF21" i="34"/>
  <c r="BE21" i="34"/>
  <c r="AZ21" i="34"/>
  <c r="AV21" i="34"/>
  <c r="AT21" i="34"/>
  <c r="AN21" i="34"/>
  <c r="AM21" i="34"/>
  <c r="AJ21" i="34"/>
  <c r="AI21" i="34"/>
  <c r="AF21" i="34"/>
  <c r="AE21" i="34"/>
  <c r="AB21" i="34"/>
  <c r="AA21" i="34"/>
  <c r="W21" i="34"/>
  <c r="V21" i="34"/>
  <c r="S21" i="34"/>
  <c r="Q21" i="34"/>
  <c r="P21" i="34"/>
  <c r="M21" i="34"/>
  <c r="K21" i="34"/>
  <c r="J21" i="34"/>
  <c r="G21" i="34"/>
  <c r="F21" i="34"/>
  <c r="CH20" i="34"/>
  <c r="CF20" i="34"/>
  <c r="CE20" i="34"/>
  <c r="CB20" i="34"/>
  <c r="CA20" i="34"/>
  <c r="BX20" i="34"/>
  <c r="BW20" i="34"/>
  <c r="BT20" i="34"/>
  <c r="BS20" i="34"/>
  <c r="BP20" i="34"/>
  <c r="BN20" i="34"/>
  <c r="BJ20" i="34"/>
  <c r="BI20" i="34"/>
  <c r="BF20" i="34"/>
  <c r="BE20" i="34"/>
  <c r="AZ20" i="34"/>
  <c r="AV20" i="34"/>
  <c r="AT20" i="34"/>
  <c r="AN20" i="34"/>
  <c r="AM20" i="34"/>
  <c r="AJ20" i="34"/>
  <c r="AI20" i="34"/>
  <c r="AF20" i="34"/>
  <c r="AE20" i="34"/>
  <c r="AB20" i="34"/>
  <c r="AA20" i="34"/>
  <c r="W20" i="34"/>
  <c r="V20" i="34"/>
  <c r="S20" i="34"/>
  <c r="Q20" i="34"/>
  <c r="P20" i="34"/>
  <c r="M20" i="34"/>
  <c r="K20" i="34"/>
  <c r="J20" i="34"/>
  <c r="G20" i="34"/>
  <c r="F20" i="34"/>
  <c r="CH19" i="34"/>
  <c r="CF19" i="34"/>
  <c r="CE19" i="34"/>
  <c r="CB19" i="34"/>
  <c r="CA19" i="34"/>
  <c r="BX19" i="34"/>
  <c r="BW19" i="34"/>
  <c r="BT19" i="34"/>
  <c r="BS19" i="34"/>
  <c r="BP19" i="34"/>
  <c r="BN19" i="34"/>
  <c r="BJ19" i="34"/>
  <c r="BI19" i="34"/>
  <c r="BF19" i="34"/>
  <c r="BE19" i="34"/>
  <c r="AZ19" i="34"/>
  <c r="AV19" i="34"/>
  <c r="AT19" i="34"/>
  <c r="AN19" i="34"/>
  <c r="AM19" i="34"/>
  <c r="AJ19" i="34"/>
  <c r="AI19" i="34"/>
  <c r="AF19" i="34"/>
  <c r="AE19" i="34"/>
  <c r="AB19" i="34"/>
  <c r="AA19" i="34"/>
  <c r="W19" i="34"/>
  <c r="V19" i="34"/>
  <c r="S19" i="34"/>
  <c r="Q19" i="34"/>
  <c r="P19" i="34"/>
  <c r="M19" i="34"/>
  <c r="K19" i="34"/>
  <c r="J19" i="34"/>
  <c r="G19" i="34"/>
  <c r="F19" i="34"/>
  <c r="CH18" i="34"/>
  <c r="CF18" i="34"/>
  <c r="CE18" i="34"/>
  <c r="CB18" i="34"/>
  <c r="CA18" i="34"/>
  <c r="BX18" i="34"/>
  <c r="BW18" i="34"/>
  <c r="BT18" i="34"/>
  <c r="BS18" i="34"/>
  <c r="BP18" i="34"/>
  <c r="BN18" i="34"/>
  <c r="BJ18" i="34"/>
  <c r="BI18" i="34"/>
  <c r="BF18" i="34"/>
  <c r="BE18" i="34"/>
  <c r="AZ18" i="34"/>
  <c r="AV18" i="34"/>
  <c r="AT18" i="34"/>
  <c r="AN18" i="34"/>
  <c r="AM18" i="34"/>
  <c r="AJ18" i="34"/>
  <c r="AI18" i="34"/>
  <c r="AF18" i="34"/>
  <c r="AE18" i="34"/>
  <c r="AB18" i="34"/>
  <c r="AA18" i="34"/>
  <c r="W18" i="34"/>
  <c r="V18" i="34"/>
  <c r="S18" i="34"/>
  <c r="Q18" i="34"/>
  <c r="P18" i="34"/>
  <c r="M18" i="34"/>
  <c r="K18" i="34"/>
  <c r="J18" i="34"/>
  <c r="G18" i="34"/>
  <c r="F18" i="34"/>
  <c r="CH17" i="34"/>
  <c r="CF17" i="34"/>
  <c r="CE17" i="34"/>
  <c r="CB17" i="34"/>
  <c r="CA17" i="34"/>
  <c r="BX17" i="34"/>
  <c r="BW17" i="34"/>
  <c r="BT17" i="34"/>
  <c r="BS17" i="34"/>
  <c r="BP17" i="34"/>
  <c r="BN17" i="34"/>
  <c r="BJ17" i="34"/>
  <c r="BI17" i="34"/>
  <c r="BF17" i="34"/>
  <c r="BE17" i="34"/>
  <c r="AZ17" i="34"/>
  <c r="AV17" i="34"/>
  <c r="AT17" i="34"/>
  <c r="AN17" i="34"/>
  <c r="AM17" i="34"/>
  <c r="AJ17" i="34"/>
  <c r="AI17" i="34"/>
  <c r="AF17" i="34"/>
  <c r="AE17" i="34"/>
  <c r="AB17" i="34"/>
  <c r="AA17" i="34"/>
  <c r="W17" i="34"/>
  <c r="V17" i="34"/>
  <c r="S17" i="34"/>
  <c r="Q17" i="34"/>
  <c r="P17" i="34"/>
  <c r="M17" i="34"/>
  <c r="K17" i="34"/>
  <c r="J17" i="34"/>
  <c r="G17" i="34"/>
  <c r="F17" i="34"/>
  <c r="CH16" i="34"/>
  <c r="CF16" i="34"/>
  <c r="CE16" i="34"/>
  <c r="CB16" i="34"/>
  <c r="CA16" i="34"/>
  <c r="BX16" i="34"/>
  <c r="BW16" i="34"/>
  <c r="BT16" i="34"/>
  <c r="BS16" i="34"/>
  <c r="BP16" i="34"/>
  <c r="BN16" i="34"/>
  <c r="BJ16" i="34"/>
  <c r="BI16" i="34"/>
  <c r="BF16" i="34"/>
  <c r="BE16" i="34"/>
  <c r="AZ16" i="34"/>
  <c r="AV16" i="34"/>
  <c r="AT16" i="34"/>
  <c r="AN16" i="34"/>
  <c r="AM16" i="34"/>
  <c r="AJ16" i="34"/>
  <c r="AI16" i="34"/>
  <c r="AF16" i="34"/>
  <c r="AE16" i="34"/>
  <c r="AB16" i="34"/>
  <c r="AA16" i="34"/>
  <c r="W16" i="34"/>
  <c r="V16" i="34"/>
  <c r="S16" i="34"/>
  <c r="Q16" i="34"/>
  <c r="P16" i="34"/>
  <c r="M16" i="34"/>
  <c r="K16" i="34"/>
  <c r="J16" i="34"/>
  <c r="G16" i="34"/>
  <c r="F16" i="34"/>
  <c r="CH15" i="34"/>
  <c r="CF15" i="34"/>
  <c r="CE15" i="34"/>
  <c r="CB15" i="34"/>
  <c r="CA15" i="34"/>
  <c r="BX15" i="34"/>
  <c r="BW15" i="34"/>
  <c r="BT15" i="34"/>
  <c r="BS15" i="34"/>
  <c r="BP15" i="34"/>
  <c r="BN15" i="34"/>
  <c r="BJ15" i="34"/>
  <c r="BI15" i="34"/>
  <c r="BF15" i="34"/>
  <c r="BE15" i="34"/>
  <c r="AZ15" i="34"/>
  <c r="AV15" i="34"/>
  <c r="AT15" i="34"/>
  <c r="AN15" i="34"/>
  <c r="AM15" i="34"/>
  <c r="AJ15" i="34"/>
  <c r="AI15" i="34"/>
  <c r="AF15" i="34"/>
  <c r="AE15" i="34"/>
  <c r="AB15" i="34"/>
  <c r="AA15" i="34"/>
  <c r="W15" i="34"/>
  <c r="V15" i="34"/>
  <c r="S15" i="34"/>
  <c r="Q15" i="34"/>
  <c r="P15" i="34"/>
  <c r="M15" i="34"/>
  <c r="K15" i="34"/>
  <c r="J15" i="34"/>
  <c r="G15" i="34"/>
  <c r="F15" i="34"/>
  <c r="CH14" i="34"/>
  <c r="CF14" i="34"/>
  <c r="CE14" i="34"/>
  <c r="CB14" i="34"/>
  <c r="CA14" i="34"/>
  <c r="BX14" i="34"/>
  <c r="BW14" i="34"/>
  <c r="BT14" i="34"/>
  <c r="BS14" i="34"/>
  <c r="BP14" i="34"/>
  <c r="BN14" i="34"/>
  <c r="BJ14" i="34"/>
  <c r="BI14" i="34"/>
  <c r="BF14" i="34"/>
  <c r="BE14" i="34"/>
  <c r="AZ14" i="34"/>
  <c r="AV14" i="34"/>
  <c r="AT14" i="34"/>
  <c r="AN14" i="34"/>
  <c r="AM14" i="34"/>
  <c r="AJ14" i="34"/>
  <c r="AI14" i="34"/>
  <c r="AF14" i="34"/>
  <c r="AE14" i="34"/>
  <c r="AB14" i="34"/>
  <c r="AA14" i="34"/>
  <c r="W14" i="34"/>
  <c r="V14" i="34"/>
  <c r="S14" i="34"/>
  <c r="Q14" i="34"/>
  <c r="P14" i="34"/>
  <c r="M14" i="34"/>
  <c r="K14" i="34"/>
  <c r="J14" i="34"/>
  <c r="G14" i="34"/>
  <c r="F14" i="34"/>
  <c r="CX28" i="34"/>
  <c r="CH13" i="34"/>
  <c r="CF13" i="34"/>
  <c r="CE13" i="34"/>
  <c r="CB13" i="34"/>
  <c r="CA13" i="34"/>
  <c r="BX13" i="34"/>
  <c r="BW13" i="34"/>
  <c r="BT13" i="34"/>
  <c r="BS13" i="34"/>
  <c r="BP13" i="34"/>
  <c r="BN13" i="34"/>
  <c r="BJ13" i="34"/>
  <c r="BI13" i="34"/>
  <c r="BF13" i="34"/>
  <c r="BE13" i="34"/>
  <c r="AZ13" i="34"/>
  <c r="AV13" i="34"/>
  <c r="AT13" i="34"/>
  <c r="AN13" i="34"/>
  <c r="AM13" i="34"/>
  <c r="AJ13" i="34"/>
  <c r="AI13" i="34"/>
  <c r="AF13" i="34"/>
  <c r="AE13" i="34"/>
  <c r="AB13" i="34"/>
  <c r="AA13" i="34"/>
  <c r="W13" i="34"/>
  <c r="V13" i="34"/>
  <c r="S13" i="34"/>
  <c r="Q13" i="34"/>
  <c r="P13" i="34"/>
  <c r="M13" i="34"/>
  <c r="K13" i="34"/>
  <c r="J13" i="34"/>
  <c r="G13" i="34"/>
  <c r="F13" i="34"/>
  <c r="CH12" i="34"/>
  <c r="CF12" i="34"/>
  <c r="CE12" i="34"/>
  <c r="CB12" i="34"/>
  <c r="CA12" i="34"/>
  <c r="BX12" i="34"/>
  <c r="BW12" i="34"/>
  <c r="BT12" i="34"/>
  <c r="BS12" i="34"/>
  <c r="BP12" i="34"/>
  <c r="BN12" i="34"/>
  <c r="BJ12" i="34"/>
  <c r="BI12" i="34"/>
  <c r="BF12" i="34"/>
  <c r="BE12" i="34"/>
  <c r="AZ12" i="34"/>
  <c r="AV12" i="34"/>
  <c r="AT12" i="34"/>
  <c r="AN12" i="34"/>
  <c r="AM12" i="34"/>
  <c r="AJ12" i="34"/>
  <c r="AI12" i="34"/>
  <c r="AF12" i="34"/>
  <c r="AE12" i="34"/>
  <c r="AB12" i="34"/>
  <c r="AA12" i="34"/>
  <c r="W12" i="34"/>
  <c r="V12" i="34"/>
  <c r="S12" i="34"/>
  <c r="Q12" i="34"/>
  <c r="P12" i="34"/>
  <c r="M12" i="34"/>
  <c r="K12" i="34"/>
  <c r="J12" i="34"/>
  <c r="G12" i="34"/>
  <c r="F12" i="34"/>
  <c r="CH11" i="34"/>
  <c r="CF11" i="34"/>
  <c r="CE11" i="34"/>
  <c r="CB11" i="34"/>
  <c r="CA11" i="34"/>
  <c r="BX11" i="34"/>
  <c r="BW11" i="34"/>
  <c r="BT11" i="34"/>
  <c r="BS11" i="34"/>
  <c r="BP11" i="34"/>
  <c r="BN11" i="34"/>
  <c r="BJ11" i="34"/>
  <c r="BI11" i="34"/>
  <c r="BF11" i="34"/>
  <c r="BE11" i="34"/>
  <c r="AZ11" i="34"/>
  <c r="AV11" i="34"/>
  <c r="AT11" i="34"/>
  <c r="AN11" i="34"/>
  <c r="AM11" i="34"/>
  <c r="AJ11" i="34"/>
  <c r="AI11" i="34"/>
  <c r="AF11" i="34"/>
  <c r="AE11" i="34"/>
  <c r="AB11" i="34"/>
  <c r="AA11" i="34"/>
  <c r="W11" i="34"/>
  <c r="V11" i="34"/>
  <c r="S11" i="34"/>
  <c r="Q11" i="34"/>
  <c r="P11" i="34"/>
  <c r="M11" i="34"/>
  <c r="K11" i="34"/>
  <c r="J11" i="34"/>
  <c r="G11" i="34"/>
  <c r="F11" i="34"/>
  <c r="CH10" i="34"/>
  <c r="CF10" i="34"/>
  <c r="CE10" i="34"/>
  <c r="CB10" i="34"/>
  <c r="CA10" i="34"/>
  <c r="BX10" i="34"/>
  <c r="BW10" i="34"/>
  <c r="BT10" i="34"/>
  <c r="BS10" i="34"/>
  <c r="BP10" i="34"/>
  <c r="BN10" i="34"/>
  <c r="BJ10" i="34"/>
  <c r="BI10" i="34"/>
  <c r="BF10" i="34"/>
  <c r="BE10" i="34"/>
  <c r="AZ10" i="34"/>
  <c r="AV10" i="34"/>
  <c r="AT10" i="34"/>
  <c r="AN10" i="34"/>
  <c r="AM10" i="34"/>
  <c r="AJ10" i="34"/>
  <c r="AI10" i="34"/>
  <c r="AF10" i="34"/>
  <c r="AE10" i="34"/>
  <c r="AB10" i="34"/>
  <c r="AA10" i="34"/>
  <c r="W10" i="34"/>
  <c r="V10" i="34"/>
  <c r="S10" i="34"/>
  <c r="Q10" i="34"/>
  <c r="P10" i="34"/>
  <c r="M10" i="34"/>
  <c r="K10" i="34"/>
  <c r="J10" i="34"/>
  <c r="G10" i="34"/>
  <c r="F10" i="34"/>
  <c r="CH9" i="34"/>
  <c r="CF9" i="34"/>
  <c r="CE9" i="34"/>
  <c r="CB9" i="34"/>
  <c r="CA9" i="34"/>
  <c r="BX9" i="34"/>
  <c r="BW9" i="34"/>
  <c r="BT9" i="34"/>
  <c r="BS9" i="34"/>
  <c r="BP9" i="34"/>
  <c r="BN9" i="34"/>
  <c r="BJ9" i="34"/>
  <c r="BI9" i="34"/>
  <c r="BF9" i="34"/>
  <c r="BE9" i="34"/>
  <c r="AZ9" i="34"/>
  <c r="AV9" i="34"/>
  <c r="AT9" i="34"/>
  <c r="AN9" i="34"/>
  <c r="AM9" i="34"/>
  <c r="AJ9" i="34"/>
  <c r="AI9" i="34"/>
  <c r="AF9" i="34"/>
  <c r="AE9" i="34"/>
  <c r="AB9" i="34"/>
  <c r="AA9" i="34"/>
  <c r="W9" i="34"/>
  <c r="V9" i="34"/>
  <c r="S9" i="34"/>
  <c r="Q9" i="34"/>
  <c r="P9" i="34"/>
  <c r="M9" i="34"/>
  <c r="K9" i="34"/>
  <c r="J9" i="34"/>
  <c r="G9" i="34"/>
  <c r="F9" i="34"/>
  <c r="CH8" i="34"/>
  <c r="CF8" i="34"/>
  <c r="CE8" i="34"/>
  <c r="CB8" i="34"/>
  <c r="CA8" i="34"/>
  <c r="BX8" i="34"/>
  <c r="BW8" i="34"/>
  <c r="BT8" i="34"/>
  <c r="BS8" i="34"/>
  <c r="BP8" i="34"/>
  <c r="BN8" i="34"/>
  <c r="BJ8" i="34"/>
  <c r="BI8" i="34"/>
  <c r="AZ8" i="34"/>
  <c r="AV8" i="34"/>
  <c r="AT8" i="34"/>
  <c r="AN8" i="34"/>
  <c r="AM8" i="34"/>
  <c r="AJ8" i="34"/>
  <c r="AI8" i="34"/>
  <c r="AF8" i="34"/>
  <c r="AE8" i="34"/>
  <c r="AB8" i="34"/>
  <c r="AA8" i="34"/>
  <c r="W8" i="34"/>
  <c r="V8" i="34"/>
  <c r="S8" i="34"/>
  <c r="Q8" i="34"/>
  <c r="P8" i="34"/>
  <c r="M8" i="34"/>
  <c r="K8" i="34"/>
  <c r="J8" i="34"/>
  <c r="G8" i="34"/>
  <c r="F8" i="34"/>
  <c r="CH7" i="34"/>
  <c r="CF7" i="34"/>
  <c r="CE7" i="34"/>
  <c r="CB7" i="34"/>
  <c r="CA7" i="34"/>
  <c r="BX7" i="34"/>
  <c r="BW7" i="34"/>
  <c r="BT7" i="34"/>
  <c r="BS7" i="34"/>
  <c r="BP7" i="34"/>
  <c r="BN7" i="34"/>
  <c r="BJ7" i="34"/>
  <c r="BI7" i="34"/>
  <c r="BF7" i="34"/>
  <c r="BE7" i="34"/>
  <c r="AZ7" i="34"/>
  <c r="AV7" i="34"/>
  <c r="AT7" i="34"/>
  <c r="AN7" i="34"/>
  <c r="AM7" i="34"/>
  <c r="AJ7" i="34"/>
  <c r="AI7" i="34"/>
  <c r="AF7" i="34"/>
  <c r="AE7" i="34"/>
  <c r="AE28" i="34" s="1"/>
  <c r="AB7" i="34"/>
  <c r="AA7" i="34"/>
  <c r="W7" i="34"/>
  <c r="V7" i="34"/>
  <c r="S7" i="34"/>
  <c r="Q7" i="34"/>
  <c r="P7" i="34"/>
  <c r="M7" i="34"/>
  <c r="J7" i="34"/>
  <c r="G7" i="34"/>
  <c r="F7" i="34"/>
  <c r="CU26" i="36" l="1"/>
  <c r="CU28" i="36"/>
  <c r="CU16" i="36"/>
  <c r="CU9" i="36"/>
  <c r="CT24" i="36"/>
  <c r="CV24" i="36" s="1"/>
  <c r="CU22" i="36"/>
  <c r="CT16" i="36"/>
  <c r="CV16" i="36" s="1"/>
  <c r="CU27" i="36"/>
  <c r="CT22" i="36"/>
  <c r="CV22" i="36" s="1"/>
  <c r="CU20" i="36"/>
  <c r="CU11" i="36"/>
  <c r="CU23" i="36"/>
  <c r="CU10" i="36"/>
  <c r="CU13" i="36"/>
  <c r="CT19" i="36"/>
  <c r="CV19" i="36" s="1"/>
  <c r="CU12" i="36"/>
  <c r="CT18" i="36"/>
  <c r="CV18" i="36" s="1"/>
  <c r="CT13" i="36"/>
  <c r="CV13" i="36" s="1"/>
  <c r="CT20" i="36"/>
  <c r="CV20" i="36" s="1"/>
  <c r="CT12" i="36"/>
  <c r="CV12" i="36" s="1"/>
  <c r="CT23" i="36"/>
  <c r="CV23" i="36" s="1"/>
  <c r="CT11" i="36"/>
  <c r="CV11" i="36" s="1"/>
  <c r="CT27" i="36"/>
  <c r="CV27" i="36" s="1"/>
  <c r="CT7" i="36"/>
  <c r="BE29" i="36"/>
  <c r="CR17" i="36"/>
  <c r="CR29" i="36" s="1"/>
  <c r="BF29" i="36"/>
  <c r="CS8" i="36"/>
  <c r="CS29" i="36" s="1"/>
  <c r="CU7" i="36"/>
  <c r="BF25" i="35"/>
  <c r="CS8" i="35"/>
  <c r="CS25" i="35" s="1"/>
  <c r="BE25" i="35"/>
  <c r="CR8" i="35"/>
  <c r="CR25" i="35" s="1"/>
  <c r="CT7" i="35"/>
  <c r="AZ28" i="34"/>
  <c r="BT28" i="34"/>
  <c r="CS27" i="34"/>
  <c r="CS24" i="34"/>
  <c r="CU24" i="34" s="1"/>
  <c r="BJ28" i="34"/>
  <c r="AM28" i="34"/>
  <c r="CB28" i="34"/>
  <c r="V28" i="34"/>
  <c r="M28" i="34"/>
  <c r="CS20" i="34"/>
  <c r="CS18" i="34"/>
  <c r="CS17" i="34"/>
  <c r="CS16" i="34"/>
  <c r="CS15" i="34"/>
  <c r="CS21" i="34"/>
  <c r="CS19" i="34"/>
  <c r="CS14" i="34"/>
  <c r="CE28" i="34"/>
  <c r="Q28" i="34"/>
  <c r="AA28" i="34"/>
  <c r="AI28" i="34"/>
  <c r="AT28" i="34"/>
  <c r="BP28" i="34"/>
  <c r="BX28" i="34"/>
  <c r="CF28" i="34"/>
  <c r="CR9" i="34"/>
  <c r="CR10" i="34"/>
  <c r="CR11" i="34"/>
  <c r="CR12" i="34"/>
  <c r="CR13" i="34"/>
  <c r="CS22" i="34"/>
  <c r="J28" i="34"/>
  <c r="S28" i="34"/>
  <c r="AB28" i="34"/>
  <c r="AJ28" i="34"/>
  <c r="AV28" i="34"/>
  <c r="BI28" i="34"/>
  <c r="BS28" i="34"/>
  <c r="CA28" i="34"/>
  <c r="CH28" i="34"/>
  <c r="CS9" i="34"/>
  <c r="CS10" i="34"/>
  <c r="CS11" i="34"/>
  <c r="CS12" i="34"/>
  <c r="CS13" i="34"/>
  <c r="CR14" i="34"/>
  <c r="CR15" i="34"/>
  <c r="CR16" i="34"/>
  <c r="CR17" i="34"/>
  <c r="CR18" i="34"/>
  <c r="CU18" i="34" s="1"/>
  <c r="CR19" i="34"/>
  <c r="CR20" i="34"/>
  <c r="CR21" i="34"/>
  <c r="CR23" i="34"/>
  <c r="CR27" i="34"/>
  <c r="CT27" i="34" s="1"/>
  <c r="CV27" i="34" s="1"/>
  <c r="CR22" i="34"/>
  <c r="P28" i="34"/>
  <c r="W28" i="34"/>
  <c r="AF28" i="34"/>
  <c r="AN28" i="34"/>
  <c r="BN28" i="34"/>
  <c r="BW28" i="34"/>
  <c r="CS23" i="34"/>
  <c r="F28" i="34"/>
  <c r="CR7" i="34"/>
  <c r="G28" i="34"/>
  <c r="I28" i="34"/>
  <c r="K7" i="34"/>
  <c r="BC28" i="34"/>
  <c r="BE8" i="34"/>
  <c r="BD28" i="34"/>
  <c r="BF8" i="34"/>
  <c r="CU27" i="34"/>
  <c r="CV7" i="36" l="1"/>
  <c r="CU8" i="36"/>
  <c r="CT8" i="36"/>
  <c r="CU17" i="36"/>
  <c r="CT17" i="36"/>
  <c r="CV17" i="36" s="1"/>
  <c r="CV7" i="35"/>
  <c r="CU8" i="35"/>
  <c r="CU25" i="35" s="1"/>
  <c r="CX26" i="35" s="1"/>
  <c r="CX27" i="35" s="1"/>
  <c r="CT8" i="35"/>
  <c r="CU19" i="34"/>
  <c r="CU17" i="34"/>
  <c r="CU13" i="34"/>
  <c r="CT24" i="34"/>
  <c r="CV24" i="34" s="1"/>
  <c r="CT21" i="34"/>
  <c r="CV21" i="34" s="1"/>
  <c r="CT18" i="34"/>
  <c r="CV18" i="34" s="1"/>
  <c r="CT9" i="34"/>
  <c r="CV9" i="34" s="1"/>
  <c r="CU12" i="34"/>
  <c r="CU15" i="34"/>
  <c r="CU20" i="34"/>
  <c r="CU23" i="34"/>
  <c r="CT11" i="34"/>
  <c r="CV11" i="34" s="1"/>
  <c r="CT22" i="34"/>
  <c r="CV22" i="34" s="1"/>
  <c r="CT14" i="34"/>
  <c r="CV14" i="34" s="1"/>
  <c r="CT17" i="34"/>
  <c r="CV17" i="34" s="1"/>
  <c r="CU16" i="34"/>
  <c r="CT15" i="34"/>
  <c r="CV15" i="34" s="1"/>
  <c r="CU21" i="34"/>
  <c r="CT20" i="34"/>
  <c r="CV20" i="34" s="1"/>
  <c r="CU11" i="34"/>
  <c r="CT19" i="34"/>
  <c r="CV19" i="34" s="1"/>
  <c r="CU14" i="34"/>
  <c r="CT13" i="34"/>
  <c r="CV13" i="34" s="1"/>
  <c r="CT12" i="34"/>
  <c r="CV12" i="34" s="1"/>
  <c r="CU10" i="34"/>
  <c r="CU9" i="34"/>
  <c r="CT16" i="34"/>
  <c r="CV16" i="34" s="1"/>
  <c r="CT23" i="34"/>
  <c r="CV23" i="34" s="1"/>
  <c r="CT10" i="34"/>
  <c r="CV10" i="34" s="1"/>
  <c r="CU22" i="34"/>
  <c r="BF28" i="34"/>
  <c r="CS8" i="34"/>
  <c r="BE28" i="34"/>
  <c r="CR8" i="34"/>
  <c r="CR28" i="34" s="1"/>
  <c r="K28" i="34"/>
  <c r="CS7" i="34"/>
  <c r="CV8" i="36" l="1"/>
  <c r="CV29" i="36" s="1"/>
  <c r="CT29" i="36"/>
  <c r="CU29" i="36"/>
  <c r="CX30" i="36" s="1"/>
  <c r="CX31" i="36" s="1"/>
  <c r="CV8" i="35"/>
  <c r="CT25" i="35"/>
  <c r="CV25" i="35"/>
  <c r="CS28" i="34"/>
  <c r="CT7" i="34"/>
  <c r="CV7" i="34" s="1"/>
  <c r="CU7" i="34"/>
  <c r="CU8" i="34"/>
  <c r="CT8" i="34"/>
  <c r="CU28" i="34" l="1"/>
  <c r="CX29" i="34" s="1"/>
  <c r="CX30" i="34" s="1"/>
  <c r="CV8" i="34"/>
  <c r="CV28" i="34" s="1"/>
  <c r="CT28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tc={4FA81938-6803-42C6-9792-882BE50E05FE}</author>
    <author>tc={98B35B7A-DE9D-49D3-8869-878519EB2A63}</author>
    <author>julian valdivieso</author>
    <author>tc={C81399F3-FA50-4331-A75B-21D2C3C299D5}</author>
    <author>tc={79779A3B-7368-4B70-AA0F-0742D1AD18CD}</author>
    <author>tc={E9F9A017-D832-4CFB-82AF-6B950C16D360}</author>
    <author>tc={3551E753-B003-47D3-A895-59327BDE4554}</author>
    <author>tc={A2C27B5B-9B37-49E7-97F1-3FE526774230}</author>
    <author>tc={5813F8C5-A449-4B9C-9C14-0DA4410FE528}</author>
    <author>tc={6F870834-8A52-46FD-884D-1C76BC8EA693}</author>
    <author>tc={1DF89382-5623-47B5-904C-0DC40D30481B}</author>
    <author>tc={93CEAD98-BE09-4330-BE15-B084056A6E94}</author>
    <author>tc={00BAB5E1-68A7-4A30-8679-70ECB24A6489}</author>
    <author>tc={171EC2D2-BC9D-4E0B-B8CD-F4DE62DB7B1C}</author>
    <author>tc={44381BC5-A8AF-4C54-BE48-D28031FCD9DC}</author>
    <author>tc={6B393406-9864-4E12-8DB1-4D44CCBC0695}</author>
    <author>tc={09D2859C-A812-43F1-B1E3-8D4D281BED1A}</author>
    <author>tc={24C45EBF-A51A-4B3B-975C-EFB065A08A6E}</author>
    <author>tc={7B4CCEEA-21F7-45EE-A847-8117BC81FAF9}</author>
    <author>tc={C3CC46BA-E1D9-4E5D-BD4B-3A21EF9D6BC5}</author>
    <author>Sergio Cardozo</author>
    <author>tc={0C81BE67-29D6-4CDC-915F-6AB873AF754F}</author>
    <author>tc={FB6BFD49-F8ED-4D43-B149-79068972D099}</author>
    <author>tc={2E278F52-73A9-4615-943D-9A4F4679E2E2}</author>
    <author>tc={904BB895-08C6-426B-AE45-264F85678DBB}</author>
    <author>tc={82126FC1-9807-4F6E-9241-009DD16FB311}</author>
    <author>tc={8BFD15D0-8B0E-446E-B58A-87C3F75F216A}</author>
    <author>tc={1CFED7FB-47B9-4AA4-8243-717DF295C276}</author>
    <author>tc={1ACC0A69-4D9A-423D-9E02-D67D278D1959}</author>
    <author>tc={66F33F69-F397-474C-8CF3-6BEBAF39BA99}</author>
    <author>tc={406ECDC4-CD9C-4999-8757-76689876A2CA}</author>
    <author>tc={2B7967EB-DEE5-4B00-8441-37385C290791}</author>
    <author>tc={C3571701-F579-4D23-8C54-CF3C9692393C}</author>
    <author>tc={82B9288B-FF2D-48B6-984A-73D41302282C}</author>
    <author>tc={BC81D6D8-890B-4E74-A876-BC66C3A58AF7}</author>
  </authors>
  <commentList>
    <comment ref="N7" authorId="0" shapeId="0" xr:uid="{4FA81938-6803-42C6-9792-882BE50E05FE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98B35B7A-DE9D-49D3-8869-878519EB2A63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D15506E5-7A46-46B9-8D3F-A7812439EBDE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C81399F3-FA50-4331-A75B-21D2C3C299D5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79779A3B-7368-4B70-AA0F-0742D1AD18CD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E9F9A017-D832-4CFB-82AF-6B950C16D360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3551E753-B003-47D3-A895-59327BDE4554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A2C27B5B-9B37-49E7-97F1-3FE526774230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5813F8C5-A449-4B9C-9C14-0DA4410FE528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6F870834-8A52-46FD-884D-1C76BC8EA693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1DF89382-5623-47B5-904C-0DC40D30481B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93CEAD98-BE09-4330-BE15-B084056A6E94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00BAB5E1-68A7-4A30-8679-70ECB24A6489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H9" authorId="13" shapeId="0" xr:uid="{171EC2D2-BC9D-4E0B-B8CD-F4DE62DB7B1C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4" shapeId="0" xr:uid="{44381BC5-A8AF-4C54-BE48-D28031FCD9DC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N10" authorId="15" shapeId="0" xr:uid="{6B393406-9864-4E12-8DB1-4D44CCBC0695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16" shapeId="0" xr:uid="{09D2859C-A812-43F1-B1E3-8D4D281BED1A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H12" authorId="17" shapeId="0" xr:uid="{24C45EBF-A51A-4B3B-975C-EFB065A08A6E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L13" authorId="18" shapeId="0" xr:uid="{7B4CCEEA-21F7-45EE-A847-8117BC81FAF9}">
      <text>
        <t>[Threaded comment]
Your version of Excel allows you to read this threaded comment; however, any edits to it will get removed if the file is opened in a newer version of Excel. Learn more: https://go.microsoft.com/fwlink/?linkid=870924
Comment:
    KellyMontana</t>
      </text>
    </comment>
    <comment ref="N13" authorId="19" shapeId="0" xr:uid="{C3CC46BA-E1D9-4E5D-BD4B-3A21EF9D6B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CW13" authorId="20" shapeId="0" xr:uid="{949E006D-137E-4518-9DC8-B44300E7B135}">
      <text>
        <r>
          <rPr>
            <sz val="11"/>
            <color theme="1"/>
            <rFont val="Calibri"/>
            <family val="2"/>
            <scheme val="minor"/>
          </rPr>
          <t xml:space="preserve">
</t>
        </r>
      </text>
    </comment>
    <comment ref="N14" authorId="21" shapeId="0" xr:uid="{0C81BE67-29D6-4CDC-915F-6AB873AF754F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14" authorId="22" shapeId="0" xr:uid="{FB6BFD49-F8ED-4D43-B149-79068972D099}">
      <text>
        <t>[Threaded comment]
Your version of Excel allows you to read this threaded comment; however, any edits to it will get removed if the file is opened in a newer version of Excel. Learn more: https://go.microsoft.com/fwlink/?linkid=870924
Comment:
    MaryxLight</t>
      </text>
    </comment>
    <comment ref="CW14" authorId="20" shapeId="0" xr:uid="{5A89B15E-6410-478A-915B-D94FCC7A768A}">
      <text>
        <r>
          <rPr>
            <sz val="11"/>
            <color theme="1"/>
            <rFont val="Calibri"/>
            <family val="2"/>
            <scheme val="minor"/>
          </rPr>
          <t>Sergio Cardozo:
BlackDahlia
KimKraus</t>
        </r>
      </text>
    </comment>
    <comment ref="CW15" authorId="20" shapeId="0" xr:uid="{F0A2507D-8DC6-4015-ACD5-A083C22C5E8E}">
      <text>
        <r>
          <rPr>
            <sz val="11"/>
            <color theme="1"/>
            <rFont val="Calibri"/>
            <family val="2"/>
            <scheme val="minor"/>
          </rPr>
          <t xml:space="preserve">Sergio Cardozo:
EcoPlus (aseo)
</t>
        </r>
      </text>
    </comment>
    <comment ref="H16" authorId="23" shapeId="0" xr:uid="{2E278F52-73A9-4615-943D-9A4F4679E2E2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6" authorId="24" shapeId="0" xr:uid="{904BB895-08C6-426B-AE45-264F85678DBB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6" authorId="25" shapeId="0" xr:uid="{82126FC1-9807-4F6E-9241-009DD16FB31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B19" authorId="26" shapeId="0" xr:uid="{8BFD15D0-8B0E-446E-B58A-87C3F75F216A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9" authorId="27" shapeId="0" xr:uid="{1CFED7FB-47B9-4AA4-8243-717DF295C276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9" authorId="28" shapeId="0" xr:uid="{1ACC0A69-4D9A-423D-9E02-D67D278D1959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9" authorId="29" shapeId="0" xr:uid="{66F33F69-F397-474C-8CF3-6BEBAF39BA99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9" authorId="30" shapeId="0" xr:uid="{406ECDC4-CD9C-4999-8757-76689876A2CA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9" authorId="31" shapeId="0" xr:uid="{2B7967EB-DEE5-4B00-8441-37385C290791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H21" authorId="32" shapeId="0" xr:uid="{C3571701-F579-4D23-8C54-CF3C9692393C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D22" authorId="33" shapeId="0" xr:uid="{82B9288B-FF2D-48B6-984A-73D41302282C}">
      <text>
        <t>[Threaded comment]
Your version of Excel allows you to read this threaded comment; however, any edits to it will get removed if the file is opened in a newer version of Excel. Learn more: https://go.microsoft.com/fwlink/?linkid=870924
Comment:
    ZoeUwU</t>
      </text>
    </comment>
    <comment ref="AW22" authorId="34" shapeId="0" xr:uid="{BC81D6D8-890B-4E74-A876-BC66C3A58AF7}">
      <text>
        <t>[Threaded comment]
Your version of Excel allows you to read this threaded comment; however, any edits to it will get removed if the file is opened in a newer version of Excel. Learn more: https://go.microsoft.com/fwlink/?linkid=870924
Comment:
    zoexuwu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tc={BD684329-587C-4420-AF13-F0C122BD5565}</author>
    <author>tc={59F8705F-45CB-4287-B382-0F8C9F3A1CB7}</author>
    <author>julian valdivieso</author>
    <author>tc={19A334AC-8E8B-45E5-BB3D-6943CD9B303D}</author>
    <author>tc={9EDCBD08-E42A-454B-BE9C-E6244C299401}</author>
    <author>tc={DB47118A-8458-4686-A6FC-95A5208D9076}</author>
    <author>tc={D5B0C4A8-120C-454B-AF36-01EF85CDAF03}</author>
    <author>tc={6DE7D888-A292-46F2-AB84-1728D100FB70}</author>
    <author>tc={6D11BED6-8A56-4A47-95B2-B866063FE7AB}</author>
    <author>tc={48C86ED4-2AB9-42E6-9A3B-008367993055}</author>
    <author>tc={5E802073-799E-4EBE-AC12-E2A340E3676E}</author>
    <author>tc={8E44E24D-2491-4E8B-A5C7-5E72816BB2EF}</author>
    <author>tc={9A398A5C-5C25-4F7E-85A4-D1067B97315C}</author>
    <author>tc={561F2102-4341-45E7-940E-23D0B8F1E8A1}</author>
    <author>tc={180B2857-896F-4B7B-88D9-803B0BAB5FF6}</author>
    <author>tc={183B5D45-A651-4EE5-AF48-C3042226235F}</author>
    <author>tc={2F2B7DCD-2F20-46D1-9211-3DC5BF491EAE}</author>
    <author>tc={C20C176B-EECD-4B52-8010-23D3DD120A0B}</author>
    <author>tc={DF7A82D6-7792-45EF-9041-C80131B7D484}</author>
    <author>tc={537F70A3-5DD8-4B37-AB6C-152B0F9163A8}</author>
    <author>tc={C4311B63-A9B2-4949-962A-72808A02C36F}</author>
    <author>Sergio Cardozo</author>
    <author>tc={42595442-F889-441E-B5A5-CF58AEC810B0}</author>
    <author>tc={7C0BAD16-B8EB-45F7-AD78-478A34769E47}</author>
    <author>tc={D93769B7-6BF5-419B-A44C-7028F4E36FDE}</author>
    <author>tc={573CA19E-4229-4E45-9993-9E5234721B6A}</author>
    <author>tc={09C1B08D-18A7-42E8-BB19-6128001556A8}</author>
    <author>tc={0ECD0E4A-7FC2-4DFA-8BDA-A1D311ECCF2C}</author>
    <author>tc={33DF65C5-4841-490D-A257-C46D43C2EC23}</author>
    <author>tc={846A64B3-389C-4FAE-B5AF-DEF9BB80BE62}</author>
    <author>tc={1F828E4E-C24D-44F7-A825-ADFDE3C542B2}</author>
    <author>tc={D430984E-1CD7-4718-97AF-444A3255BD38}</author>
    <author>tc={A559D03A-EC3F-4DA5-8A6B-F0412F0CA172}</author>
    <author>tc={12042E2B-0495-423C-AE97-F0F22194D3FD}</author>
    <author>tc={939B5503-0602-4698-8DDF-8AD8FA4298F9}</author>
    <author>tc={B18242BB-F7D0-4967-99EB-8B50F4229ECC}</author>
    <author>tc={E786174D-6905-4135-815C-F48DA705216D}</author>
    <author>tc={E2FFFD82-A9D2-4611-B9AE-C425100815D3}</author>
  </authors>
  <commentList>
    <comment ref="N7" authorId="0" shapeId="0" xr:uid="{BD684329-587C-4420-AF13-F0C122BD5565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59F8705F-45CB-4287-B382-0F8C9F3A1CB7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9E78CF7B-EA15-4443-93C2-AE03B9623605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19A334AC-8E8B-45E5-BB3D-6943CD9B303D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9EDCBD08-E42A-454B-BE9C-E6244C299401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DB47118A-8458-4686-A6FC-95A5208D9076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D5B0C4A8-120C-454B-AF36-01EF85CDAF03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6DE7D888-A292-46F2-AB84-1728D100FB70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6D11BED6-8A56-4A47-95B2-B866063FE7AB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48C86ED4-2AB9-42E6-9A3B-008367993055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5E802073-799E-4EBE-AC12-E2A340E3676E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8E44E24D-2491-4E8B-A5C7-5E72816BB2EF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9A398A5C-5C25-4F7E-85A4-D1067B97315C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AO8" authorId="13" shapeId="0" xr:uid="{561F2102-4341-45E7-940E-23D0B8F1E8A1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EvaDaniela</t>
      </text>
    </comment>
    <comment ref="H9" authorId="14" shapeId="0" xr:uid="{180B2857-896F-4B7B-88D9-803B0BAB5FF6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5" shapeId="0" xr:uid="{183B5D45-A651-4EE5-AF48-C3042226235F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N10" authorId="16" shapeId="0" xr:uid="{2F2B7DCD-2F20-46D1-9211-3DC5BF491E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17" shapeId="0" xr:uid="{C20C176B-EECD-4B52-8010-23D3DD120A0B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H12" authorId="18" shapeId="0" xr:uid="{DF7A82D6-7792-45EF-9041-C80131B7D484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L13" authorId="19" shapeId="0" xr:uid="{537F70A3-5DD8-4B37-AB6C-152B0F9163A8}">
      <text>
        <t>[Threaded comment]
Your version of Excel allows you to read this threaded comment; however, any edits to it will get removed if the file is opened in a newer version of Excel. Learn more: https://go.microsoft.com/fwlink/?linkid=870924
Comment:
    KellyMontana</t>
      </text>
    </comment>
    <comment ref="N13" authorId="20" shapeId="0" xr:uid="{C4311B63-A9B2-4949-962A-72808A02C36F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CW13" authorId="21" shapeId="0" xr:uid="{69DCEB2C-DDD0-4940-8FD5-83E43648D522}">
      <text>
        <r>
          <rPr>
            <sz val="11"/>
            <color theme="1"/>
            <rFont val="Calibri"/>
            <family val="2"/>
            <scheme val="minor"/>
          </rPr>
          <t xml:space="preserve">
</t>
        </r>
      </text>
    </comment>
    <comment ref="N14" authorId="22" shapeId="0" xr:uid="{42595442-F889-441E-B5A5-CF58AEC810B0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14" authorId="23" shapeId="0" xr:uid="{7C0BAD16-B8EB-45F7-AD78-478A34769E47}">
      <text>
        <t>[Threaded comment]
Your version of Excel allows you to read this threaded comment; however, any edits to it will get removed if the file is opened in a newer version of Excel. Learn more: https://go.microsoft.com/fwlink/?linkid=870924
Comment:
    MaryxLight</t>
      </text>
    </comment>
    <comment ref="CW14" authorId="21" shapeId="0" xr:uid="{C6AAF2B7-3B47-4F30-9B6A-D80C39DF8737}">
      <text>
        <r>
          <rPr>
            <sz val="11"/>
            <color theme="1"/>
            <rFont val="Calibri"/>
            <family val="2"/>
            <scheme val="minor"/>
          </rPr>
          <t>Sergio Cardozo:
SarBusch
XLeaMontx
MaiteFlores
SabrinaCollins
BiancaCastle</t>
        </r>
      </text>
    </comment>
    <comment ref="H15" authorId="24" shapeId="0" xr:uid="{D93769B7-6BF5-419B-A44C-7028F4E36FDE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CW15" authorId="21" shapeId="0" xr:uid="{8AAEC3AC-2360-4D76-A736-37173E62F1E9}">
      <text>
        <r>
          <rPr>
            <sz val="11"/>
            <color theme="1"/>
            <rFont val="Calibri"/>
            <family val="2"/>
            <scheme val="minor"/>
          </rPr>
          <t xml:space="preserve">Sergio Cardozo:
Remodelación Room 07, 05
1'500.000 (Varios Sergio)
1'400.000 (Andrés)
</t>
        </r>
      </text>
    </comment>
    <comment ref="H16" authorId="25" shapeId="0" xr:uid="{573CA19E-4229-4E45-9993-9E5234721B6A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6" authorId="26" shapeId="0" xr:uid="{09C1B08D-18A7-42E8-BB19-6128001556A8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6" authorId="27" shapeId="0" xr:uid="{0ECD0E4A-7FC2-4DFA-8BDA-A1D311ECCF2C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L17" authorId="28" shapeId="0" xr:uid="{33DF65C5-4841-490D-A257-C46D43C2EC23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EmmaxRichter</t>
      </text>
    </comment>
    <comment ref="B18" authorId="29" shapeId="0" xr:uid="{846A64B3-389C-4FAE-B5AF-DEF9BB80BE62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8" authorId="30" shapeId="0" xr:uid="{1F828E4E-C24D-44F7-A825-ADFDE3C542B2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8" authorId="31" shapeId="0" xr:uid="{D430984E-1CD7-4718-97AF-444A3255BD38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8" authorId="32" shapeId="0" xr:uid="{A559D03A-EC3F-4DA5-8A6B-F0412F0CA172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8" authorId="33" shapeId="0" xr:uid="{12042E2B-0495-423C-AE97-F0F22194D3FD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8" authorId="34" shapeId="0" xr:uid="{939B5503-0602-4698-8DDF-8AD8FA4298F9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H19" authorId="35" shapeId="0" xr:uid="{B18242BB-F7D0-4967-99EB-8B50F4229ECC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21" authorId="36" shapeId="0" xr:uid="{E786174D-6905-4135-815C-F48DA705216D}">
      <text>
        <t>[Threaded comment]
Your version of Excel allows you to read this threaded comment; however, any edits to it will get removed if the file is opened in a newer version of Excel. Learn more: https://go.microsoft.com/fwlink/?linkid=870924
Comment:
    SaraBX</t>
      </text>
    </comment>
    <comment ref="L22" authorId="37" shapeId="0" xr:uid="{E2FFFD82-A9D2-4611-B9AE-C425100815D3}">
      <text>
        <t>[Threaded comment]
Your version of Excel allows you to read this threaded comment; however, any edits to it will get removed if the file is opened in a newer version of Excel. Learn more: https://go.microsoft.com/fwlink/?linkid=870924
Comment:
    LeaMont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tc={1945CE2C-13CE-477D-BCF3-D52E55C31714}</author>
    <author>tc={6EEA5D2D-88E0-4A04-B10F-DEB3AFA5D490}</author>
    <author>julian valdivieso</author>
    <author>tc={717A9EDE-6BB4-4607-BA50-D4881479EE94}</author>
    <author>tc={73E961AA-2AF5-4CB2-B014-EBC9B30F0C50}</author>
    <author>tc={922CD774-EB44-487C-9AD9-565584DA55A6}</author>
    <author>tc={8A9AEB95-EBC2-4430-A0D3-528563E4A35E}</author>
    <author>tc={8733B6A4-5D3E-40C2-8B2B-2E75A4AA272C}</author>
    <author>tc={FA500BA0-A49B-43AA-AC7B-578A0FE23B74}</author>
    <author>tc={EDDC317E-2797-4021-824D-A471D81B1207}</author>
    <author>tc={515C68A5-48AA-476C-845B-6AFA8329C054}</author>
    <author>tc={141C1733-2480-49E5-869C-C80C89DDBE65}</author>
    <author>tc={153B5D03-3CF0-4830-8599-BE9553ED8966}</author>
    <author>tc={C3A36E0C-124D-4C4A-BC73-77E6EE0F5AB6}</author>
    <author>tc={EA0DCF17-9996-4E03-8F87-9403B6CBBFEC}</author>
    <author>tc={1E71AE18-5318-43BA-82C7-5B1DA42C2296}</author>
    <author>tc={A254D67C-E349-4142-BF1E-366DC7F655AF}</author>
    <author>tc={27AD6451-5F7D-42A8-AA17-36C9F87E6A81}</author>
    <author>tc={02EF9C9C-0C50-493B-AF39-CB4EA74F2A8E}</author>
    <author>tc={B4E4D783-14C2-4EE9-9F4D-8C22A2379E3E}</author>
    <author>tc={010AEFA7-4514-4D4B-A27B-0024B7773916}</author>
    <author>Sergio Cardozo</author>
    <author>tc={E2E6FE31-12B1-49D3-BFAA-3D649E7FE385}</author>
    <author>tc={6C1AF239-7378-4987-AD49-5C269F9896F1}</author>
    <author>tc={C751B3A4-40E6-4866-9B3B-A80F929DF149}</author>
    <author>tc={9144ECCE-C1C2-47E8-A297-1E1D68741768}</author>
    <author>tc={8DC3DFC7-74B5-4408-9CB2-2C81BCFD2091}</author>
    <author>tc={038AD16B-1C1A-44CA-97C7-574F95FAA6C0}</author>
    <author>tc={28D28225-C678-446A-88AC-B2F6CC2DE997}</author>
    <author>tc={EFFDBA97-4E19-4DEB-98A9-239690D16505}</author>
    <author>tc={BBEF6246-FB30-4E49-B111-944C114ED2EB}</author>
    <author>tc={CE9B78ED-878F-4830-A0BF-146FF80977D5}</author>
    <author>tc={E0115F36-38F9-4EA1-BE8E-E8529FF09A65}</author>
    <author>tc={863281BC-05DD-462C-A4C2-555B34D12286}</author>
    <author>tc={A38FBF7C-AF86-4BBE-B4EE-C7B4D9FCBE52}</author>
    <author>tc={0AF3AEAB-7CA3-40A3-98B6-29F6A49615C0}</author>
    <author>tc={1127EE6A-2113-43F2-A2FB-EC93E26E313A}</author>
    <author>tc={554DA19F-3A80-4E87-BCDC-E8BF63FDFFA1}</author>
    <author>tc={F2122475-8345-4494-81FF-12DECBBCCA44}</author>
    <author>tc={34D76B92-E4BB-42FF-B31D-D7281545A580}</author>
    <author>tc={3A8E4E7B-7A0E-42BB-BAD4-76DA506947E0}</author>
    <author>tc={758A1679-14F0-4798-8C1D-EA31A795D1E8}</author>
    <author>tc={DF84AF19-9E9D-438E-A41E-C27421C0EDAB}</author>
  </authors>
  <commentList>
    <comment ref="N7" authorId="0" shapeId="0" xr:uid="{1945CE2C-13CE-477D-BCF3-D52E55C31714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6EEA5D2D-88E0-4A04-B10F-DEB3AFA5D490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3C76E15F-4C55-44DE-B55D-1D69FE1F3468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717A9EDE-6BB4-4607-BA50-D4881479EE94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73E961AA-2AF5-4CB2-B014-EBC9B30F0C50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922CD774-EB44-487C-9AD9-565584DA55A6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8A9AEB95-EBC2-4430-A0D3-528563E4A35E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8733B6A4-5D3E-40C2-8B2B-2E75A4AA272C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FA500BA0-A49B-43AA-AC7B-578A0FE23B74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EDDC317E-2797-4021-824D-A471D81B1207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515C68A5-48AA-476C-845B-6AFA8329C054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141C1733-2480-49E5-869C-C80C89DDBE65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153B5D03-3CF0-4830-8599-BE9553ED8966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AO8" authorId="13" shapeId="0" xr:uid="{C3A36E0C-124D-4C4A-BC73-77E6EE0F5AB6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EvaDaniela</t>
      </text>
    </comment>
    <comment ref="H9" authorId="14" shapeId="0" xr:uid="{EA0DCF17-9996-4E03-8F87-9403B6CBBFEC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5" shapeId="0" xr:uid="{1E71AE18-5318-43BA-82C7-5B1DA42C2296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N10" authorId="16" shapeId="0" xr:uid="{A254D67C-E349-4142-BF1E-366DC7F655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17" shapeId="0" xr:uid="{27AD6451-5F7D-42A8-AA17-36C9F87E6A81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H12" authorId="18" shapeId="0" xr:uid="{02EF9C9C-0C50-493B-AF39-CB4EA74F2A8E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L13" authorId="19" shapeId="0" xr:uid="{B4E4D783-14C2-4EE9-9F4D-8C22A2379E3E}">
      <text>
        <t>[Threaded comment]
Your version of Excel allows you to read this threaded comment; however, any edits to it will get removed if the file is opened in a newer version of Excel. Learn more: https://go.microsoft.com/fwlink/?linkid=870924
Comment:
    KellyMontana</t>
      </text>
    </comment>
    <comment ref="N13" authorId="20" shapeId="0" xr:uid="{010AEFA7-4514-4D4B-A27B-0024B7773916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CW13" authorId="21" shapeId="0" xr:uid="{F4C5991F-2A8E-4852-A8B7-64254DDDB308}">
      <text>
        <r>
          <rPr>
            <sz val="11"/>
            <color theme="1"/>
            <rFont val="Calibri"/>
            <family val="2"/>
            <scheme val="minor"/>
          </rPr>
          <t xml:space="preserve">
</t>
        </r>
      </text>
    </comment>
    <comment ref="N14" authorId="22" shapeId="0" xr:uid="{E2E6FE31-12B1-49D3-BFAA-3D649E7FE3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14" authorId="23" shapeId="0" xr:uid="{6C1AF239-7378-4987-AD49-5C269F9896F1}">
      <text>
        <t>[Threaded comment]
Your version of Excel allows you to read this threaded comment; however, any edits to it will get removed if the file is opened in a newer version of Excel. Learn more: https://go.microsoft.com/fwlink/?linkid=870924
Comment:
    MaryxLight</t>
      </text>
    </comment>
    <comment ref="CW14" authorId="21" shapeId="0" xr:uid="{E196CCEA-3CB3-444B-9659-DD0CEF666CF8}">
      <text>
        <r>
          <rPr>
            <sz val="11"/>
            <color theme="1"/>
            <rFont val="Calibri"/>
            <family val="2"/>
            <scheme val="minor"/>
          </rPr>
          <t>Sergio Cardozo:
RubyRyder
HollyRogers
AshleyKlein
KendraNoa
MadisonKlein</t>
        </r>
      </text>
    </comment>
    <comment ref="H15" authorId="24" shapeId="0" xr:uid="{C751B3A4-40E6-4866-9B3B-A80F929DF149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CW15" authorId="21" shapeId="0" xr:uid="{CE972C43-E2E2-473C-928A-E65FD4DBF192}">
      <text>
        <r>
          <rPr>
            <sz val="11"/>
            <color theme="1"/>
            <rFont val="Calibri"/>
            <family val="2"/>
            <scheme val="minor"/>
          </rPr>
          <t xml:space="preserve">Sergio Cardozo:
</t>
        </r>
      </text>
    </comment>
    <comment ref="H16" authorId="25" shapeId="0" xr:uid="{9144ECCE-C1C2-47E8-A297-1E1D68741768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6" authorId="26" shapeId="0" xr:uid="{8DC3DFC7-74B5-4408-9CB2-2C81BCFD2091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6" authorId="27" shapeId="0" xr:uid="{038AD16B-1C1A-44CA-97C7-574F95FAA6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L17" authorId="28" shapeId="0" xr:uid="{28D28225-C678-446A-88AC-B2F6CC2DE997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EmmaxRichter</t>
      </text>
    </comment>
    <comment ref="B18" authorId="29" shapeId="0" xr:uid="{EFFDBA97-4E19-4DEB-98A9-239690D16505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8" authorId="30" shapeId="0" xr:uid="{BBEF6246-FB30-4E49-B111-944C114ED2EB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8" authorId="31" shapeId="0" xr:uid="{CE9B78ED-878F-4830-A0BF-146FF80977D5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8" authorId="32" shapeId="0" xr:uid="{E0115F36-38F9-4EA1-BE8E-E8529FF09A65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8" authorId="33" shapeId="0" xr:uid="{863281BC-05DD-462C-A4C2-555B34D12286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8" authorId="34" shapeId="0" xr:uid="{A38FBF7C-AF86-4BBE-B4EE-C7B4D9FCBE52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H19" authorId="35" shapeId="0" xr:uid="{0AF3AEAB-7CA3-40A3-98B6-29F6A49615C0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21" authorId="36" shapeId="0" xr:uid="{1127EE6A-2113-43F2-A2FB-EC93E26E313A}">
      <text>
        <t>[Threaded comment]
Your version of Excel allows you to read this threaded comment; however, any edits to it will get removed if the file is opened in a newer version of Excel. Learn more: https://go.microsoft.com/fwlink/?linkid=870924
Comment:
    CarliMay
Paula912!</t>
      </text>
    </comment>
    <comment ref="L22" authorId="37" shapeId="0" xr:uid="{554DA19F-3A80-4E87-BCDC-E8BF63FDFFA1}">
      <text>
        <t>[Threaded comment]
Your version of Excel allows you to read this threaded comment; however, any edits to it will get removed if the file is opened in a newer version of Excel. Learn more: https://go.microsoft.com/fwlink/?linkid=870924
Comment:
    Cherryxblack</t>
      </text>
    </comment>
    <comment ref="AQ22" authorId="38" shapeId="0" xr:uid="{F2122475-8345-4494-81FF-12DECBBCCA44}">
      <text>
        <t>[Threaded comment]
Your version of Excel allows you to read this threaded comment; however, any edits to it will get removed if the file is opened in a newer version of Excel. Learn more: https://go.microsoft.com/fwlink/?linkid=870924
Comment:
    CherryBlackx</t>
      </text>
    </comment>
    <comment ref="BO22" authorId="39" shapeId="0" xr:uid="{34D76B92-E4BB-42FF-B31D-D7281545A580}">
      <text>
        <t>[Threaded comment]
Your version of Excel allows you to read this threaded comment; however, any edits to it will get removed if the file is opened in a newer version of Excel. Learn more: https://go.microsoft.com/fwlink/?linkid=870924
Comment:
    Cherryxblack</t>
      </text>
    </comment>
    <comment ref="T23" authorId="40" shapeId="0" xr:uid="{3A8E4E7B-7A0E-42BB-BAD4-76DA506947E0}">
      <text>
        <t>[Threaded comment]
Your version of Excel allows you to read this threaded comment; however, any edits to it will get removed if the file is opened in a newer version of Excel. Learn more: https://go.microsoft.com/fwlink/?linkid=870924
Comment:
    ashleyxklein</t>
      </text>
    </comment>
    <comment ref="AK25" authorId="41" shapeId="0" xr:uid="{758A1679-14F0-4798-8C1D-EA31A795D1E8}">
      <text>
        <t>[Threaded comment]
Your version of Excel allows you to read this threaded comment; however, any edits to it will get removed if the file is opened in a newer version of Excel. Learn more: https://go.microsoft.com/fwlink/?linkid=870924
Comment:
    MadisonxCollins</t>
      </text>
    </comment>
    <comment ref="BO26" authorId="42" shapeId="0" xr:uid="{DF84AF19-9E9D-438E-A41E-C27421C0EDAB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emmadarknes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tc={9DF564C0-F29B-4A20-B721-0033B8FF2CBA}</author>
    <author>tc={71114306-0E29-46D9-BC1B-69C0C7B4D162}</author>
    <author>julian valdivieso</author>
    <author>tc={8ACE3FD0-F26A-4CD8-ABFB-DB5CA024003C}</author>
    <author>tc={582BBFCD-E67E-47AA-B52E-D466B46E1C7D}</author>
    <author>tc={E28E2539-2B5E-44E6-BA9F-0E3D5E9B3B37}</author>
    <author>tc={DD6333D0-2AAD-4374-AF3F-C4B3540CDF9D}</author>
    <author>tc={EDB22BAF-FC52-479B-8D7E-C41C93572C72}</author>
    <author>tc={52F3F4C7-11F2-46B9-B66D-579E748E6A9B}</author>
    <author>tc={73848CF2-5D51-46EB-994E-B13EB89A41BE}</author>
    <author>tc={43BDB564-1924-4E9C-A20A-8F52052516CD}</author>
    <author>tc={53FD105E-F1FA-4AC6-BC8D-BEDA31C02C38}</author>
    <author>tc={99DDF41B-3C43-4EBD-A99F-FEC3BB08186E}</author>
    <author>tc={23FD0176-1282-4605-84D7-79F8C3C571F3}</author>
    <author>tc={9FD16946-020D-4770-B384-375A61C11DD4}</author>
    <author>tc={1F575B3A-C158-46B2-8C3F-21915B50B9CB}</author>
    <author>tc={B013BD4D-B155-4C3C-AD94-13921E13EAEC}</author>
    <author>tc={A6E0F8B3-CACA-4687-99F3-54EDB0B4BE31}</author>
    <author>tc={F0AE949B-7884-400E-B29B-DE07F711C494}</author>
    <author>tc={E4645679-8716-41EE-8920-BB9566B58DAE}</author>
    <author>tc={4E317B2F-31DD-4B73-9FCE-344A1E5EE5A6}</author>
    <author>Sergio Cardozo</author>
    <author>tc={DBCAC323-64C0-4560-9F18-36213FD30FFA}</author>
    <author>tc={CF0BFB2C-6186-4245-814B-288A187BA42D}</author>
    <author>tc={4FF7BB0D-95F8-42CE-BD3F-BBC720567682}</author>
    <author>tc={7F8457E3-B9FB-40B7-93EB-A6CF4AC02EA3}</author>
    <author>tc={F1FDFB41-66E7-48D3-AA87-8C0936A9CCF1}</author>
    <author>tc={ACC6274A-CA8A-498F-A7B7-8CF1198CB999}</author>
    <author>tc={25572847-8E04-49BC-8AB8-2F3880E6C763}</author>
    <author>tc={1692E4DC-1EBE-4080-BDCF-642CD2A9E06F}</author>
    <author>tc={D1619B0D-1DEB-489C-83A0-3B034CEA4D27}</author>
    <author>tc={EFDAEE70-8AED-417C-BC10-DE7C284E650D}</author>
    <author>tc={AD684626-E446-4AC5-B6CD-BCBA77693D77}</author>
    <author>tc={941CD648-882E-4846-A676-A40801091FB8}</author>
    <author>tc={4AB61865-4FEE-4329-950A-EB91367DD45C}</author>
    <author>tc={A7F74ED1-8873-46C2-9461-735778F1187F}</author>
    <author>tc={7C4B6B9C-AB8D-40F0-8E02-91FFF6DEC06A}</author>
    <author>tc={739A0BCF-68D4-414A-82C0-B91CDDFFE384}</author>
    <author>tc={CFC41AC0-2E51-4130-9FCC-2057D64F594A}</author>
    <author>tc={FE635554-A5A4-4FA0-B8B7-6F663CE4B6B8}</author>
    <author>tc={E8B64A85-FFEE-4B71-BD0B-E36A93478BBE}</author>
    <author>tc={07C3D686-65E9-4000-8666-B27AE6F8A6FB}</author>
  </authors>
  <commentList>
    <comment ref="N7" authorId="0" shapeId="0" xr:uid="{9DF564C0-F29B-4A20-B721-0033B8FF2CBA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71114306-0E29-46D9-BC1B-69C0C7B4D162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E136F3DB-E6B4-4DF9-982B-8538ECBC8D3B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8ACE3FD0-F26A-4CD8-ABFB-DB5CA024003C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582BBFCD-E67E-47AA-B52E-D466B46E1C7D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E28E2539-2B5E-44E6-BA9F-0E3D5E9B3B37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DD6333D0-2AAD-4374-AF3F-C4B3540CDF9D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EDB22BAF-FC52-479B-8D7E-C41C93572C72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52F3F4C7-11F2-46B9-B66D-579E748E6A9B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73848CF2-5D51-46EB-994E-B13EB89A41BE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43BDB564-1924-4E9C-A20A-8F52052516CD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53FD105E-F1FA-4AC6-BC8D-BEDA31C02C38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99DDF41B-3C43-4EBD-A99F-FEC3BB08186E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AO8" authorId="13" shapeId="0" xr:uid="{23FD0176-1282-4605-84D7-79F8C3C571F3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EvaDaniela</t>
      </text>
    </comment>
    <comment ref="H9" authorId="14" shapeId="0" xr:uid="{9FD16946-020D-4770-B384-375A61C11DD4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5" shapeId="0" xr:uid="{1F575B3A-C158-46B2-8C3F-21915B50B9CB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N10" authorId="16" shapeId="0" xr:uid="{B013BD4D-B155-4C3C-AD94-13921E13EAEC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17" shapeId="0" xr:uid="{A6E0F8B3-CACA-4687-99F3-54EDB0B4BE31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H12" authorId="18" shapeId="0" xr:uid="{F0AE949B-7884-400E-B29B-DE07F711C494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N13" authorId="19" shapeId="0" xr:uid="{E4645679-8716-41EE-8920-BB9566B58D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13" authorId="20" shapeId="0" xr:uid="{4E317B2F-31DD-4B73-9FCE-344A1E5EE5A6}">
      <text>
        <t>[Threaded comment]
Your version of Excel allows you to read this threaded comment; however, any edits to it will get removed if the file is opened in a newer version of Excel. Learn more: https://go.microsoft.com/fwlink/?linkid=870924
Comment:
    MaryxLight</t>
      </text>
    </comment>
    <comment ref="CW13" authorId="21" shapeId="0" xr:uid="{378D704A-251A-40BE-BB07-797F0679E74A}">
      <text>
        <r>
          <rPr>
            <sz val="11"/>
            <color theme="1"/>
            <rFont val="Calibri"/>
            <family val="2"/>
            <scheme val="minor"/>
          </rPr>
          <t>Sergio Cardozo:
EmmaDarkness</t>
        </r>
      </text>
    </comment>
    <comment ref="CW14" authorId="21" shapeId="0" xr:uid="{CCD0F666-0394-4727-8C8C-1677227FD9C6}">
      <text>
        <r>
          <rPr>
            <sz val="11"/>
            <color theme="1"/>
            <rFont val="Calibri"/>
            <family val="2"/>
            <scheme val="minor"/>
          </rPr>
          <t xml:space="preserve">Sergio Cardozo:
</t>
        </r>
      </text>
    </comment>
    <comment ref="H15" authorId="22" shapeId="0" xr:uid="{DBCAC323-64C0-4560-9F18-36213FD30FFA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5" authorId="23" shapeId="0" xr:uid="{CF0BFB2C-6186-4245-814B-288A187BA42D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5" authorId="24" shapeId="0" xr:uid="{4FF7BB0D-95F8-42CE-BD3F-BBC72056768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B16" authorId="25" shapeId="0" xr:uid="{7F8457E3-B9FB-40B7-93EB-A6CF4AC02EA3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6" authorId="26" shapeId="0" xr:uid="{F1FDFB41-66E7-48D3-AA87-8C0936A9CCF1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6" authorId="27" shapeId="0" xr:uid="{ACC6274A-CA8A-498F-A7B7-8CF1198CB999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6" authorId="28" shapeId="0" xr:uid="{25572847-8E04-49BC-8AB8-2F3880E6C763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6" authorId="29" shapeId="0" xr:uid="{1692E4DC-1EBE-4080-BDCF-642CD2A9E06F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6" authorId="30" shapeId="0" xr:uid="{D1619B0D-1DEB-489C-83A0-3B034CEA4D27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H17" authorId="31" shapeId="0" xr:uid="{EFDAEE70-8AED-417C-BC10-DE7C284E650D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9" authorId="32" shapeId="0" xr:uid="{AD684626-E446-4AC5-B6CD-BCBA77693D77}">
      <text>
        <t>[Threaded comment]
Your version of Excel allows you to read this threaded comment; however, any edits to it will get removed if the file is opened in a newer version of Excel. Learn more: https://go.microsoft.com/fwlink/?linkid=870924
Comment:
    CarliMay
Paula912!</t>
      </text>
    </comment>
    <comment ref="L20" authorId="33" shapeId="0" xr:uid="{941CD648-882E-4846-A676-A40801091FB8}">
      <text>
        <t>[Threaded comment]
Your version of Excel allows you to read this threaded comment; however, any edits to it will get removed if the file is opened in a newer version of Excel. Learn more: https://go.microsoft.com/fwlink/?linkid=870924
Comment:
    Cherryxblack</t>
      </text>
    </comment>
    <comment ref="AQ20" authorId="34" shapeId="0" xr:uid="{4AB61865-4FEE-4329-950A-EB91367DD45C}">
      <text>
        <t>[Threaded comment]
Your version of Excel allows you to read this threaded comment; however, any edits to it will get removed if the file is opened in a newer version of Excel. Learn more: https://go.microsoft.com/fwlink/?linkid=870924
Comment:
    CherryBlackx</t>
      </text>
    </comment>
    <comment ref="BO20" authorId="35" shapeId="0" xr:uid="{A7F74ED1-8873-46C2-9461-735778F1187F}">
      <text>
        <t>[Threaded comment]
Your version of Excel allows you to read this threaded comment; however, any edits to it will get removed if the file is opened in a newer version of Excel. Learn more: https://go.microsoft.com/fwlink/?linkid=870924
Comment:
    Cherryxblack</t>
      </text>
    </comment>
    <comment ref="T21" authorId="36" shapeId="0" xr:uid="{7C4B6B9C-AB8D-40F0-8E02-91FFF6DEC06A}">
      <text>
        <t>[Threaded comment]
Your version of Excel allows you to read this threaded comment; however, any edits to it will get removed if the file is opened in a newer version of Excel. Learn more: https://go.microsoft.com/fwlink/?linkid=870924
Comment:
    ashleyxklein</t>
      </text>
    </comment>
    <comment ref="AK23" authorId="37" shapeId="0" xr:uid="{739A0BCF-68D4-414A-82C0-B91CDDFFE384}">
      <text>
        <t>[Threaded comment]
Your version of Excel allows you to read this threaded comment; however, any edits to it will get removed if the file is opened in a newer version of Excel. Learn more: https://go.microsoft.com/fwlink/?linkid=870924
Comment:
    MadisonxCollins</t>
      </text>
    </comment>
    <comment ref="L24" authorId="38" shapeId="0" xr:uid="{CFC41AC0-2E51-4130-9FCC-2057D64F59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se ha entregado</t>
      </text>
    </comment>
    <comment ref="AW24" authorId="39" shapeId="0" xr:uid="{FE635554-A5A4-4FA0-B8B7-6F663CE4B6B8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EmmaDarknes</t>
      </text>
    </comment>
    <comment ref="BC24" authorId="40" shapeId="0" xr:uid="{E8B64A85-FFEE-4B71-BD0B-E36A93478BBE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emmaxdarkness
Lesly489!</t>
      </text>
    </comment>
    <comment ref="BO24" authorId="41" shapeId="0" xr:uid="{07C3D686-65E9-4000-8666-B27AE6F8A6FB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emmadarknes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tc={560683DA-D894-4C95-8C37-B1CB2B4C9B5F}</author>
    <author>tc={F07ED8FE-48AC-447D-BE57-730A0B26C812}</author>
    <author>julian valdivieso</author>
    <author>tc={0A14E04A-CAFE-4D83-A6E2-2B09E352FD4C}</author>
    <author>tc={FB125558-39A5-4B6C-973D-E8FFBEB61BD3}</author>
    <author>tc={666E78DE-3290-4409-9631-A6EAA1029BD8}</author>
    <author>tc={906193B3-CA3D-477F-AAF1-9E0AD6815311}</author>
    <author>tc={96CDF988-C8B2-4399-AF79-FF1DF4464FE9}</author>
    <author>tc={93C3BC5B-22B0-4038-A717-9BD6EF3A65D4}</author>
    <author>tc={5C0C141E-E0F5-4C30-BDC5-9FE9E6FAA986}</author>
    <author>tc={4DAD50C9-7FA2-4987-BA23-07717D046C02}</author>
    <author>tc={58CE8CF4-76C4-479C-9602-F17138376FF9}</author>
    <author>tc={7B55E184-B7E4-4733-83CA-12FDA71BBFA6}</author>
    <author>tc={1BC3C586-219E-4FC8-8972-3341E3C0A01E}</author>
    <author>tc={BF6EC1E9-C6E8-4526-8C27-9E54A0ABA198}</author>
    <author>tc={91598AEA-B681-472D-9877-C3FE6A2D5507}</author>
    <author>tc={FCC24E8E-2FEC-4ACC-A173-718C1B1D2E0E}</author>
    <author>tc={CC9E4809-B5EF-49C8-A738-CC254DC7B5AE}</author>
    <author>tc={264FDA1C-D767-4CBD-B310-BC435D46EFD5}</author>
    <author>tc={72AC5266-6683-43B3-AAA8-0CAF89BAA3F2}</author>
    <author>tc={51FF1020-9C12-4128-8097-D0FACD5DB116}</author>
    <author>tc={D3A256E9-CA42-43A7-8434-04E2D89CDADB}</author>
    <author>Sergio Cardozo</author>
    <author>tc={E6CBE4A4-B08D-4B25-A228-9A8C5BE8EB44}</author>
    <author>tc={0AD96603-1E07-4FB0-8F99-DC51BB03B8C3}</author>
    <author>tc={ECFE4BEE-C1D0-47A3-B049-5D4867F468B8}</author>
    <author>tc={631D85EB-9B3B-455A-A4E6-FFD431CB6F15}</author>
    <author>tc={ED2D142B-DD9E-4567-AE1A-8E867BB44D82}</author>
    <author>tc={4024695A-4F9E-4A63-AB07-94D8C8E97A11}</author>
    <author>tc={6F51E79A-73BA-4E53-8963-66DD722C2575}</author>
    <author>tc={A5ADF017-96EA-474E-8387-F8EF084BB1B3}</author>
    <author>tc={B722A471-1FDB-4316-A160-42C3A4E6BF53}</author>
    <author>tc={46E57B5C-3445-44E9-B5E4-90DCA4F93414}</author>
    <author>tc={5957CBA2-4291-49F2-BD5A-F4BDCD653D9B}</author>
    <author>tc={58EFAB18-9419-4128-A0EF-F782388F62DB}</author>
    <author>tc={0164E488-EE38-4F64-852C-00F83F93D738}</author>
    <author>tc={C08A258B-2F63-4F15-B7A0-8D505EE000D3}</author>
    <author>tc={B5BDB886-1B97-4EDC-B4F2-19B4F41BA6FD}</author>
    <author>tc={3472A6E5-3BAC-4897-A80E-C982D90B4A47}</author>
    <author>tc={6ADB7F46-E777-4F7A-B6F8-1A89E0E4EC9C}</author>
    <author>tc={6E201CF6-7D14-409C-868D-2E41A6F80422}</author>
    <author>tc={FEA0A29F-AB15-43C1-8F8C-EE21BE34C0EB}</author>
    <author>tc={10ED4D33-2464-4FFC-A601-D57755B82070}</author>
    <author>tc={53F5B5F1-B1AE-41D5-B0D8-261C94888C6B}</author>
    <author>tc={D756E2D9-D3F6-4505-9A15-B884E5543BFA}</author>
    <author>tc={FFC8B01C-2A3B-4209-854A-C5132E57892E}</author>
    <author>tc={DD6C82A8-67E0-4523-B3FC-9A547273E83D}</author>
    <author>tc={A62E179B-31E4-45D3-AF06-9137BC620094}</author>
  </authors>
  <commentList>
    <comment ref="N7" authorId="0" shapeId="0" xr:uid="{560683DA-D894-4C95-8C37-B1CB2B4C9B5F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F07ED8FE-48AC-447D-BE57-730A0B26C812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A4E73A96-7862-45B0-8B92-DC200A419ECC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0A14E04A-CAFE-4D83-A6E2-2B09E352FD4C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FB125558-39A5-4B6C-973D-E8FFBEB61BD3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666E78DE-3290-4409-9631-A6EAA1029B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906193B3-CA3D-477F-AAF1-9E0AD6815311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96CDF988-C8B2-4399-AF79-FF1DF4464FE9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93C3BC5B-22B0-4038-A717-9BD6EF3A65D4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5C0C141E-E0F5-4C30-BDC5-9FE9E6FAA986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4DAD50C9-7FA2-4987-BA23-07717D046C02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58CE8CF4-76C4-479C-9602-F17138376FF9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7B55E184-B7E4-4733-83CA-12FDA71BBFA6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AO8" authorId="13" shapeId="0" xr:uid="{1BC3C586-219E-4FC8-8972-3341E3C0A01E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EvaDaniela</t>
      </text>
    </comment>
    <comment ref="H9" authorId="14" shapeId="0" xr:uid="{BF6EC1E9-C6E8-4526-8C27-9E54A0ABA198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5" shapeId="0" xr:uid="{91598AEA-B681-472D-9877-C3FE6A2D5507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H10" authorId="16" shapeId="0" xr:uid="{FCC24E8E-2FEC-4ACC-A173-718C1B1D2E0E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N10" authorId="17" shapeId="0" xr:uid="{CC9E4809-B5EF-49C8-A738-CC254DC7B5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18" shapeId="0" xr:uid="{264FDA1C-D767-4CBD-B310-BC435D46EFD5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H12" authorId="19" shapeId="0" xr:uid="{72AC5266-6683-43B3-AAA8-0CAF89BAA3F2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N13" authorId="20" shapeId="0" xr:uid="{51FF1020-9C12-4128-8097-D0FACD5DB116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13" authorId="21" shapeId="0" xr:uid="{D3A256E9-CA42-43A7-8434-04E2D89CDADB}">
      <text>
        <t>[Threaded comment]
Your version of Excel allows you to read this threaded comment; however, any edits to it will get removed if the file is opened in a newer version of Excel. Learn more: https://go.microsoft.com/fwlink/?linkid=870924
Comment:
    MaryxLight</t>
      </text>
    </comment>
    <comment ref="CW13" authorId="22" shapeId="0" xr:uid="{AC3868AB-1F08-45EF-B7DE-97DE4D52CA5F}">
      <text>
        <r>
          <rPr>
            <sz val="11"/>
            <color theme="1"/>
            <rFont val="Calibri"/>
            <family val="2"/>
            <scheme val="minor"/>
          </rPr>
          <t>Sergio Cardozo:
lindseyceleste</t>
        </r>
      </text>
    </comment>
    <comment ref="CW14" authorId="22" shapeId="0" xr:uid="{A3E4C25D-A7C5-47B4-A394-BF104FEB3FA1}">
      <text>
        <r>
          <rPr>
            <sz val="11"/>
            <color theme="1"/>
            <rFont val="Calibri"/>
            <family val="2"/>
            <scheme val="minor"/>
          </rPr>
          <t>Sergio Cardozo:
Jardinería: $80.000
Arreglo Nevera: $180.000
EcoPlus:$335.000</t>
        </r>
      </text>
    </comment>
    <comment ref="H15" authorId="23" shapeId="0" xr:uid="{E6CBE4A4-B08D-4B25-A228-9A8C5BE8EB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5" authorId="24" shapeId="0" xr:uid="{0AD96603-1E07-4FB0-8F99-DC51BB03B8C3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5" authorId="25" shapeId="0" xr:uid="{ECFE4BEE-C1D0-47A3-B049-5D4867F468B8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B16" authorId="26" shapeId="0" xr:uid="{631D85EB-9B3B-455A-A4E6-FFD431CB6F15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6" authorId="27" shapeId="0" xr:uid="{ED2D142B-DD9E-4567-AE1A-8E867BB44D82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6" authorId="28" shapeId="0" xr:uid="{4024695A-4F9E-4A63-AB07-94D8C8E97A11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6" authorId="29" shapeId="0" xr:uid="{6F51E79A-73BA-4E53-8963-66DD722C2575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6" authorId="30" shapeId="0" xr:uid="{A5ADF017-96EA-474E-8387-F8EF084BB1B3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6" authorId="31" shapeId="0" xr:uid="{B722A471-1FDB-4316-A160-42C3A4E6BF53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H17" authorId="32" shapeId="0" xr:uid="{46E57B5C-3445-44E9-B5E4-90DCA4F93414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9" authorId="33" shapeId="0" xr:uid="{5957CBA2-4291-49F2-BD5A-F4BDCD653D9B}">
      <text>
        <t>[Threaded comment]
Your version of Excel allows you to read this threaded comment; however, any edits to it will get removed if the file is opened in a newer version of Excel. Learn more: https://go.microsoft.com/fwlink/?linkid=870924
Comment:
    CarliMay
Paula912!</t>
      </text>
    </comment>
    <comment ref="L20" authorId="34" shapeId="0" xr:uid="{58EFAB18-9419-4128-A0EF-F782388F62DB}">
      <text>
        <t>[Threaded comment]
Your version of Excel allows you to read this threaded comment; however, any edits to it will get removed if the file is opened in a newer version of Excel. Learn more: https://go.microsoft.com/fwlink/?linkid=870924
Comment:
    Cherryxblack</t>
      </text>
    </comment>
    <comment ref="AQ20" authorId="35" shapeId="0" xr:uid="{0164E488-EE38-4F64-852C-00F83F93D738}">
      <text>
        <t>[Threaded comment]
Your version of Excel allows you to read this threaded comment; however, any edits to it will get removed if the file is opened in a newer version of Excel. Learn more: https://go.microsoft.com/fwlink/?linkid=870924
Comment:
    CherryBlackx</t>
      </text>
    </comment>
    <comment ref="BG20" authorId="36" shapeId="0" xr:uid="{C08A258B-2F63-4F15-B7A0-8D505EE000D3}">
      <text>
        <t>[Threaded comment]
Your version of Excel allows you to read this threaded comment; however, any edits to it will get removed if the file is opened in a newer version of Excel. Learn more: https://go.microsoft.com/fwlink/?linkid=870924
Comment:
    Cherry Black</t>
      </text>
    </comment>
    <comment ref="BO20" authorId="37" shapeId="0" xr:uid="{B5BDB886-1B97-4EDC-B4F2-19B4F41BA6FD}">
      <text>
        <t>[Threaded comment]
Your version of Excel allows you to read this threaded comment; however, any edits to it will get removed if the file is opened in a newer version of Excel. Learn more: https://go.microsoft.com/fwlink/?linkid=870924
Comment:
    Cherryxblack</t>
      </text>
    </comment>
    <comment ref="T21" authorId="38" shapeId="0" xr:uid="{3472A6E5-3BAC-4897-A80E-C982D90B4A47}">
      <text>
        <t>[Threaded comment]
Your version of Excel allows you to read this threaded comment; however, any edits to it will get removed if the file is opened in a newer version of Excel. Learn more: https://go.microsoft.com/fwlink/?linkid=870924
Comment:
    ashleyxklein</t>
      </text>
    </comment>
    <comment ref="L22" authorId="39" shapeId="0" xr:uid="{6ADB7F46-E777-4F7A-B6F8-1A89E0E4EC9C}">
      <text>
        <t>[Threaded comment]
Your version of Excel allows you to read this threaded comment; however, any edits to it will get removed if the file is opened in a newer version of Excel. Learn more: https://go.microsoft.com/fwlink/?linkid=870924
Comment:
    Quedo de User</t>
      </text>
    </comment>
    <comment ref="L23" authorId="40" shapeId="0" xr:uid="{6E201CF6-7D14-409C-868D-2E41A6F80422}">
      <text>
        <t>[Threaded comment]
Your version of Excel allows you to read this threaded comment; however, any edits to it will get removed if the file is opened in a newer version of Excel. Learn more: https://go.microsoft.com/fwlink/?linkid=870924
Comment:
    Quedo user</t>
      </text>
    </comment>
    <comment ref="AK23" authorId="41" shapeId="0" xr:uid="{FEA0A29F-AB15-43C1-8F8C-EE21BE34C0EB}">
      <text>
        <t>[Threaded comment]
Your version of Excel allows you to read this threaded comment; however, any edits to it will get removed if the file is opened in a newer version of Excel. Learn more: https://go.microsoft.com/fwlink/?linkid=870924
Comment:
    MadisonxCollins</t>
      </text>
    </comment>
    <comment ref="L24" authorId="42" shapeId="0" xr:uid="{10ED4D33-2464-4FFC-A601-D57755B82070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se ha entregado</t>
      </text>
    </comment>
    <comment ref="AW24" authorId="43" shapeId="0" xr:uid="{53F5B5F1-B1AE-41D5-B0D8-261C94888C6B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EmmaDarknes</t>
      </text>
    </comment>
    <comment ref="BC24" authorId="44" shapeId="0" xr:uid="{D756E2D9-D3F6-4505-9A15-B884E5543BFA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emmaxdarkness
Lesly489!</t>
      </text>
    </comment>
    <comment ref="BO24" authorId="45" shapeId="0" xr:uid="{FFC8B01C-2A3B-4209-854A-C5132E57892E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emmadarknes</t>
      </text>
    </comment>
    <comment ref="N25" authorId="46" shapeId="0" xr:uid="{DD6C82A8-67E0-4523-B3FC-9A547273E83D}">
      <text>
        <t>[Threaded comment]
Your version of Excel allows you to read this threaded comment; however, any edits to it will get removed if the file is opened in a newer version of Excel. Learn more: https://go.microsoft.com/fwlink/?linkid=870924
Comment:
    Ashleyxrouser</t>
      </text>
    </comment>
    <comment ref="BO26" authorId="47" shapeId="0" xr:uid="{A62E179B-31E4-45D3-AF06-9137BC620094}">
      <text>
        <t>[Threaded comment]
Your version of Excel allows you to read this threaded comment; however, any edits to it will get removed if the file is opened in a newer version of Excel. Learn more: https://go.microsoft.com/fwlink/?linkid=870924
Comment:
    Ashleyxrouser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tc={FB3E6086-628E-4BB9-A90C-188D37549B3C}</author>
    <author>tc={858083D3-9CB6-4049-A4F6-6451A3F00AFA}</author>
    <author>julian valdivieso</author>
    <author>tc={0EAAB58D-F7AF-43BC-A03B-0356C4827789}</author>
    <author>tc={9C649B53-B660-492B-8FD7-CFA60C5EDC9F}</author>
    <author>tc={0EFF298A-9E52-4F31-9183-2EB7EB759D57}</author>
    <author>tc={66C94711-A1E3-4F5E-A74B-E81A977DBB9E}</author>
    <author>tc={A42A2A5F-F622-473D-B5D2-F2C76EB93488}</author>
    <author>tc={56E5F8E7-6B06-49C0-9A03-5AA86345D22B}</author>
    <author>tc={0D60ED92-BDAC-4B4E-9E67-8AC0F7F7508D}</author>
    <author>tc={F3BB5837-0814-4922-9BC2-8DACAE2865B7}</author>
    <author>tc={BEDB6EE6-F8A2-43AD-BAC5-D681CCFA0343}</author>
    <author>tc={2C1AE76E-224D-434D-AB1C-9FABE4A2610E}</author>
    <author>tc={1D1DBE85-E702-4065-B502-7F7355AC5437}</author>
    <author>tc={725BD9AA-B64C-4D48-91BE-6269A7B8AA87}</author>
    <author>tc={3C4733B3-7761-48AD-A620-5FCB79E9CAE0}</author>
    <author>tc={8B2043E3-03CD-48F4-9DD1-3AC465BDD94C}</author>
    <author>tc={FA1835CA-FE38-44D2-999B-81B495CA7499}</author>
    <author>tc={3791D98B-8966-4D04-A1EA-7CA34489691D}</author>
    <author>Sergio Cardozo</author>
    <author>tc={4E467976-FC59-46EC-A548-99034537B47B}</author>
    <author>tc={C8881080-39BE-4142-AAA8-802EC0CA6083}</author>
    <author>tc={D769FBED-CD0E-413A-95B8-E66240492C6D}</author>
    <author>tc={2218083F-5696-4E2F-8285-4E5562724DC6}</author>
    <author>tc={349D1431-A31B-4562-9EA8-F783EE3CF8EA}</author>
    <author>tc={5E245243-9ED6-40BD-BA8F-08F4994EC937}</author>
    <author>tc={16E09831-35DD-4640-AFB7-2FFB70A1271C}</author>
    <author>tc={4011907E-2E28-4C8A-B814-AEB0BFDE38B9}</author>
    <author>tc={C95EBFC4-5CAC-453C-939B-8B21C0B57052}</author>
    <author>tc={FA29B263-0498-4E58-81DC-43B501473667}</author>
    <author>tc={E6BC1464-4EE6-48C0-AB2E-719C782CECAC}</author>
    <author>tc={B84F1AA5-1FE0-489C-8DCF-BEBDE2F20E31}</author>
    <author>tc={5804E93C-650F-44ED-A883-5A0CC89D9574}</author>
    <author>tc={DBF21786-BD3B-4235-B3A4-99BDFA5CBD5A}</author>
    <author>tc={CA005A1B-EFC5-485F-B921-C2262F053A70}</author>
    <author>tc={335ED78C-5579-4E70-A7C1-B080FB43A0CE}</author>
    <author>tc={569A08CC-46C1-498B-B7EC-A702A05E9422}</author>
    <author>tc={60E98B54-418E-4D1B-957A-72C230F57DB7}</author>
    <author>tc={4939E692-EDD8-44D4-A9C6-581CCFD8F6D0}</author>
    <author>tc={E3BC4A5C-AC4C-4800-BF87-EF0CB55F94E1}</author>
    <author>tc={5497A3EE-6AF2-4DAE-836A-06E792407B77}</author>
    <author>tc={DB382118-CB89-4AB3-919D-1A8C01F0B3ED}</author>
    <author>tc={BA529B91-6C11-4221-BA0D-5DE8F68C1E05}</author>
    <author>tc={E0907FE6-64CC-4CDB-90A1-5B2013CEC5CC}</author>
    <author>tc={96E5C73D-7543-4355-9442-C4317DD1AFB8}</author>
    <author>tc={D8157150-85C1-4C52-A329-D5869AE0497D}</author>
  </authors>
  <commentList>
    <comment ref="N7" authorId="0" shapeId="0" xr:uid="{FB3E6086-628E-4BB9-A90C-188D37549B3C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858083D3-9CB6-4049-A4F6-6451A3F00AFA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74E0A1BD-E7B4-4578-8E80-D121C7E3EA17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0EAAB58D-F7AF-43BC-A03B-0356C4827789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9C649B53-B660-492B-8FD7-CFA60C5EDC9F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0EFF298A-9E52-4F31-9183-2EB7EB759D57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66C94711-A1E3-4F5E-A74B-E81A977DBB9E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A42A2A5F-F622-473D-B5D2-F2C76EB93488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56E5F8E7-6B06-49C0-9A03-5AA86345D22B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0D60ED92-BDAC-4B4E-9E67-8AC0F7F7508D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F3BB5837-0814-4922-9BC2-8DACAE2865B7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BEDB6EE6-F8A2-43AD-BAC5-D681CCFA0343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2C1AE76E-224D-434D-AB1C-9FABE4A2610E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AO8" authorId="13" shapeId="0" xr:uid="{1D1DBE85-E702-4065-B502-7F7355AC5437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EvaDaniela</t>
      </text>
    </comment>
    <comment ref="H9" authorId="14" shapeId="0" xr:uid="{725BD9AA-B64C-4D48-91BE-6269A7B8AA87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5" shapeId="0" xr:uid="{3C4733B3-7761-48AD-A620-5FCB79E9CAE0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N10" authorId="16" shapeId="0" xr:uid="{8B2043E3-03CD-48F4-9DD1-3AC465BDD9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17" shapeId="0" xr:uid="{FA1835CA-FE38-44D2-999B-81B495CA7499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H12" authorId="18" shapeId="0" xr:uid="{3791D98B-8966-4D04-A1EA-7CA34489691D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CW13" authorId="19" shapeId="0" xr:uid="{26734832-99CE-4B1C-A88A-B98345AC44CD}">
      <text>
        <r>
          <rPr>
            <sz val="11"/>
            <color theme="1"/>
            <rFont val="Calibri"/>
            <family val="2"/>
            <scheme val="minor"/>
          </rPr>
          <t xml:space="preserve">Sergio Cardozo:
</t>
        </r>
      </text>
    </comment>
    <comment ref="H14" authorId="20" shapeId="0" xr:uid="{4E467976-FC59-46EC-A548-99034537B47B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4" authorId="21" shapeId="0" xr:uid="{C8881080-39BE-4142-AAA8-802EC0CA6083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4" authorId="22" shapeId="0" xr:uid="{D769FBED-CD0E-413A-95B8-E66240492C6D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B15" authorId="23" shapeId="0" xr:uid="{2218083F-5696-4E2F-8285-4E5562724DC6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5" authorId="24" shapeId="0" xr:uid="{349D1431-A31B-4562-9EA8-F783EE3CF8EA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5" authorId="25" shapeId="0" xr:uid="{5E245243-9ED6-40BD-BA8F-08F4994EC937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5" authorId="26" shapeId="0" xr:uid="{16E09831-35DD-4640-AFB7-2FFB70A1271C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X15" authorId="27" shapeId="0" xr:uid="{4011907E-2E28-4C8A-B814-AEB0BFDE38B9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5" authorId="28" shapeId="0" xr:uid="{C95EBFC4-5CAC-453C-939B-8B21C0B57052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5" authorId="29" shapeId="0" xr:uid="{FA29B263-0498-4E58-81DC-43B501473667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H16" authorId="30" shapeId="0" xr:uid="{E6BC1464-4EE6-48C0-AB2E-719C782CECAC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8" authorId="31" shapeId="0" xr:uid="{B84F1AA5-1FE0-489C-8DCF-BEBDE2F20E31}">
      <text>
        <t>[Threaded comment]
Your version of Excel allows you to read this threaded comment; however, any edits to it will get removed if the file is opened in a newer version of Excel. Learn more: https://go.microsoft.com/fwlink/?linkid=870924
Comment:
    CarliMay
Paula912!</t>
      </text>
    </comment>
    <comment ref="AO18" authorId="32" shapeId="0" xr:uid="{5804E93C-650F-44ED-A883-5A0CC89D9574}">
      <text>
        <t>[Threaded comment]
Your version of Excel allows you to read this threaded comment; however, any edits to it will get removed if the file is opened in a newer version of Excel. Learn more: https://go.microsoft.com/fwlink/?linkid=870924
Comment:
    LinaMOntes</t>
      </text>
    </comment>
    <comment ref="T19" authorId="33" shapeId="0" xr:uid="{DBF21786-BD3B-4235-B3A4-99BDFA5CBD5A}">
      <text>
        <t>[Threaded comment]
Your version of Excel allows you to read this threaded comment; however, any edits to it will get removed if the file is opened in a newer version of Excel. Learn more: https://go.microsoft.com/fwlink/?linkid=870924
Comment:
    ashleyxklein</t>
      </text>
    </comment>
    <comment ref="L20" authorId="34" shapeId="0" xr:uid="{CA005A1B-EFC5-485F-B921-C2262F053A7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Quedo de User</t>
      </text>
    </comment>
    <comment ref="N20" authorId="35" shapeId="0" xr:uid="{335ED78C-5579-4E70-A7C1-B080FB43A0CE}">
      <text>
        <t>[Threaded comment]
Your version of Excel allows you to read this threaded comment; however, any edits to it will get removed if the file is opened in a newer version of Excel. Learn more: https://go.microsoft.com/fwlink/?linkid=870924
Comment:
    M4</t>
      </text>
    </comment>
    <comment ref="L21" authorId="36" shapeId="0" xr:uid="{569A08CC-46C1-498B-B7EC-A702A05E9422}">
      <text>
        <t>[Threaded comment]
Your version of Excel allows you to read this threaded comment; however, any edits to it will get removed if the file is opened in a newer version of Excel. Learn more: https://go.microsoft.com/fwlink/?linkid=870924
Comment:
    Quedo user</t>
      </text>
    </comment>
    <comment ref="AK21" authorId="37" shapeId="0" xr:uid="{60E98B54-418E-4D1B-957A-72C230F57DB7}">
      <text>
        <t>[Threaded comment]
Your version of Excel allows you to read this threaded comment; however, any edits to it will get removed if the file is opened in a newer version of Excel. Learn more: https://go.microsoft.com/fwlink/?linkid=870924
Comment:
    MadisonxCollins</t>
      </text>
    </comment>
    <comment ref="BO21" authorId="38" shapeId="0" xr:uid="{4939E692-EDD8-44D4-A9C6-581CCFD8F6D0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se entrego</t>
      </text>
    </comment>
    <comment ref="L22" authorId="39" shapeId="0" xr:uid="{E3BC4A5C-AC4C-4800-BF87-EF0CB55F94E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se ha entregado</t>
      </text>
    </comment>
    <comment ref="AW22" authorId="40" shapeId="0" xr:uid="{5497A3EE-6AF2-4DAE-836A-06E792407B77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EmmaDarknes</t>
      </text>
    </comment>
    <comment ref="BC22" authorId="41" shapeId="0" xr:uid="{DB382118-CB89-4AB3-919D-1A8C01F0B3ED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emmaxdarkness
Lesly489!</t>
      </text>
    </comment>
    <comment ref="BO22" authorId="42" shapeId="0" xr:uid="{BA529B91-6C11-4221-BA0D-5DE8F68C1E05}">
      <text>
        <t>[Threaded comment]
Your version of Excel allows you to read this threaded comment; however, any edits to it will get removed if the file is opened in a newer version of Excel. Learn more: https://go.microsoft.com/fwlink/?linkid=870924
Comment:
    emmadarknes</t>
      </text>
    </comment>
    <comment ref="N24" authorId="43" shapeId="0" xr:uid="{E0907FE6-64CC-4CDB-90A1-5B2013CEC5CC}">
      <text>
        <t>[Threaded comment]
Your version of Excel allows you to read this threaded comment; however, any edits to it will get removed if the file is opened in a newer version of Excel. Learn more: https://go.microsoft.com/fwlink/?linkid=870924
Comment:
    Ashleyxrouser
Reply:
    M4</t>
      </text>
    </comment>
    <comment ref="BO24" authorId="44" shapeId="0" xr:uid="{96E5C73D-7543-4355-9442-C4317DD1AFB8}">
      <text>
        <t>[Threaded comment]
Your version of Excel allows you to read this threaded comment; however, any edits to it will get removed if the file is opened in a newer version of Excel. Learn more: https://go.microsoft.com/fwlink/?linkid=870924
Comment:
    Ashleyxrouser</t>
      </text>
    </comment>
    <comment ref="L25" authorId="45" shapeId="0" xr:uid="{D8157150-85C1-4C52-A329-D5869AE0497D}">
      <text>
        <t>[Threaded comment]
Your version of Excel allows you to read this threaded comment; however, any edits to it will get removed if the file is opened in a newer version of Excel. Learn more: https://go.microsoft.com/fwlink/?linkid=870924
Comment:
    Arabella_
melanie1222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tc={D98477C2-BA95-434E-879A-308D2E22F98C}</author>
    <author>tc={AD7F5720-8BC7-4E60-88FB-064C0A7D6C0E}</author>
    <author>julian valdivieso</author>
    <author>tc={80CEA3D2-C964-4AB9-8B0F-DAC3F6537B0D}</author>
    <author>tc={99877C3D-908C-47C9-AAC4-40D16751BBAF}</author>
    <author>tc={11FA59D4-C5B9-4EA9-92D0-C5E6F2D33B9C}</author>
    <author>tc={017D2D69-245B-4265-B31B-1893EE08022C}</author>
    <author>tc={928739D4-8FC9-4E16-8C83-58439484853D}</author>
    <author>tc={00B25065-DA7B-4098-85E7-FB93F4F4DE40}</author>
    <author>tc={5A247AE2-4A92-404B-A1D7-19FF74B2CE15}</author>
    <author>tc={74C715C4-1872-465A-9126-B3E55399B14D}</author>
    <author>tc={D0402509-7641-4B0C-8388-06B3DD77C08D}</author>
    <author>tc={6ACF273C-3009-4958-8E40-4891D10F479D}</author>
    <author>tc={7418FAD4-D909-4132-B623-459F390EDB09}</author>
    <author>tc={96E2AAAB-0082-427C-AB63-8FB0EEF610ED}</author>
    <author>tc={67E0505D-5A75-478C-BAD7-A504382CA22D}</author>
    <author>tc={D1CBF28F-52E0-4D4F-979A-B05A5D01802D}</author>
    <author>tc={CD942316-72FD-424E-94FA-47C6AF2C5A6F}</author>
    <author>tc={AB13A3F8-E4CF-4178-9F27-838F028DA9B6}</author>
    <author>tc={BA8B1BA2-18E1-4DCA-8752-A1053EBBD1E7}</author>
    <author>Sergio Cardozo</author>
    <author>tc={2931F71E-F22C-4BC4-B100-375B9F2B4F34}</author>
    <author>tc={C9206854-480F-41CE-BBE9-318D055BCD12}</author>
    <author>tc={3B68ED7A-3A00-4877-841F-24750F8775E8}</author>
    <author>tc={26AE7FCF-EC9E-4787-910B-2D1764A50924}</author>
    <author>tc={05F61DD6-FAC7-4715-8B43-F1218AB31594}</author>
    <author>tc={30D13447-5D6F-49F9-8C97-101A89BE1DAF}</author>
    <author>tc={E79B5D71-3834-4E9E-8CCE-B129B1F85D50}</author>
    <author>tc={0FCFF2C4-A283-4339-BEE2-68C528411451}</author>
    <author>tc={7713EE43-EA0E-4A3E-81CC-B01BAB51E1D2}</author>
    <author>tc={70C8B746-CE2F-4BA3-88A2-E2ADEF09E7DE}</author>
    <author>tc={7985031F-9A1F-42D7-B516-A2BAD64793F6}</author>
    <author>tc={2390D310-0A94-4907-9AAD-AD2F762F1AD8}</author>
    <author>tc={62BA0AB6-5969-42F9-A015-293140706049}</author>
    <author>tc={F98B658F-8708-4585-8C62-839A36751E64}</author>
    <author>tc={BDD6769C-B6CF-4FF1-88B6-8399B35799EF}</author>
    <author>tc={33677566-A09A-408D-AC00-929F32471925}</author>
    <author>tc={58903B4D-0711-4829-9641-F908277E13D0}</author>
    <author>tc={E4AE7FC3-B404-4A35-9E40-231A28000D1E}</author>
  </authors>
  <commentList>
    <comment ref="N7" authorId="0" shapeId="0" xr:uid="{D98477C2-BA95-434E-879A-308D2E22F98C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AD7F5720-8BC7-4E60-88FB-064C0A7D6C0E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2202101B-0F77-4FC5-BE4E-E1FE05659D37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80CEA3D2-C964-4AB9-8B0F-DAC3F6537B0D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99877C3D-908C-47C9-AAC4-40D16751BBAF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11FA59D4-C5B9-4EA9-92D0-C5E6F2D33B9C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017D2D69-245B-4265-B31B-1893EE08022C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928739D4-8FC9-4E16-8C83-58439484853D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00B25065-DA7B-4098-85E7-FB93F4F4DE40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5A247AE2-4A92-404B-A1D7-19FF74B2CE15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74C715C4-1872-465A-9126-B3E55399B14D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D0402509-7641-4B0C-8388-06B3DD77C08D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6ACF273C-3009-4958-8E40-4891D10F479D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AO8" authorId="13" shapeId="0" xr:uid="{7418FAD4-D909-4132-B623-459F390EDB09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EvaDaniela</t>
      </text>
    </comment>
    <comment ref="H9" authorId="14" shapeId="0" xr:uid="{96E2AAAB-0082-427C-AB63-8FB0EEF610ED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5" shapeId="0" xr:uid="{67E0505D-5A75-478C-BAD7-A504382CA22D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N10" authorId="16" shapeId="0" xr:uid="{D1CBF28F-52E0-4D4F-979A-B05A5D01802D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17" shapeId="0" xr:uid="{CD942316-72FD-424E-94FA-47C6AF2C5A6F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H12" authorId="18" shapeId="0" xr:uid="{AB13A3F8-E4CF-4178-9F27-838F028DA9B6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H13" authorId="19" shapeId="0" xr:uid="{BA8B1BA2-18E1-4DCA-8752-A1053EBBD1E7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CW13" authorId="20" shapeId="0" xr:uid="{5532CE9B-9223-4849-B62E-5BF40A86DB10}">
      <text>
        <r>
          <rPr>
            <sz val="11"/>
            <color theme="1"/>
            <rFont val="Calibri"/>
            <family val="2"/>
            <scheme val="minor"/>
          </rPr>
          <t>Sergio Cardozo:
KourtneyWolf
ScarletteKlein
LudovicaRey</t>
        </r>
      </text>
    </comment>
    <comment ref="H14" authorId="21" shapeId="0" xr:uid="{2931F71E-F22C-4BC4-B100-375B9F2B4F34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4" authorId="22" shapeId="0" xr:uid="{C9206854-480F-41CE-BBE9-318D055BCD12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4" authorId="23" shapeId="0" xr:uid="{3B68ED7A-3A00-4877-841F-24750F8775E8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CW14" authorId="20" shapeId="0" xr:uid="{37EE3936-5C10-4B29-BC63-3E62487644A3}">
      <text>
        <r>
          <rPr>
            <sz val="11"/>
            <color theme="1"/>
            <rFont val="Calibri"/>
            <family val="2"/>
            <scheme val="minor"/>
          </rPr>
          <t>Sergio Cardozo:
Bonificación Sergio:$1'000.000
Arreglos sala:
Mano de obra $450.000
Lampara colgante $250.000
Spot tres $250.000</t>
        </r>
      </text>
    </comment>
    <comment ref="B15" authorId="24" shapeId="0" xr:uid="{26AE7FCF-EC9E-4787-910B-2D1764A50924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5" authorId="25" shapeId="0" xr:uid="{05F61DD6-FAC7-4715-8B43-F1218AB31594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5" authorId="26" shapeId="0" xr:uid="{30D13447-5D6F-49F9-8C97-101A89BE1DAF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5" authorId="27" shapeId="0" xr:uid="{E79B5D71-3834-4E9E-8CCE-B129B1F85D50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X15" authorId="28" shapeId="0" xr:uid="{0FCFF2C4-A283-4339-BEE2-68C528411451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5" authorId="29" shapeId="0" xr:uid="{7713EE43-EA0E-4A3E-81CC-B01BAB51E1D2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5" authorId="30" shapeId="0" xr:uid="{70C8B746-CE2F-4BA3-88A2-E2ADEF09E7DE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H16" authorId="31" shapeId="0" xr:uid="{7985031F-9A1F-42D7-B516-A2BAD64793F6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8" authorId="32" shapeId="0" xr:uid="{2390D310-0A94-4907-9AAD-AD2F762F1AD8}">
      <text>
        <t>[Threaded comment]
Your version of Excel allows you to read this threaded comment; however, any edits to it will get removed if the file is opened in a newer version of Excel. Learn more: https://go.microsoft.com/fwlink/?linkid=870924
Comment:
    CarliMay
Paula912!</t>
      </text>
    </comment>
    <comment ref="AO18" authorId="33" shapeId="0" xr:uid="{62BA0AB6-5969-42F9-A015-293140706049}">
      <text>
        <t>[Threaded comment]
Your version of Excel allows you to read this threaded comment; however, any edits to it will get removed if the file is opened in a newer version of Excel. Learn more: https://go.microsoft.com/fwlink/?linkid=870924
Comment:
    LinaMOntes</t>
      </text>
    </comment>
    <comment ref="L19" authorId="34" shapeId="0" xr:uid="{F98B658F-8708-4585-8C62-839A36751E64}">
      <text>
        <t>[Threaded comment]
Your version of Excel allows you to read this threaded comment; however, any edits to it will get removed if the file is opened in a newer version of Excel. Learn more: https://go.microsoft.com/fwlink/?linkid=870924
Comment:
    Quedo de User</t>
      </text>
    </comment>
    <comment ref="N19" authorId="35" shapeId="0" xr:uid="{BDD6769C-B6CF-4FF1-88B6-8399B35799EF}">
      <text>
        <t>[Threaded comment]
Your version of Excel allows you to read this threaded comment; however, any edits to it will get removed if the file is opened in a newer version of Excel. Learn more: https://go.microsoft.com/fwlink/?linkid=870924
Comment:
    M4</t>
      </text>
    </comment>
    <comment ref="L21" authorId="36" shapeId="0" xr:uid="{33677566-A09A-408D-AC00-929F32471925}">
      <text>
        <t>[Threaded comment]
Your version of Excel allows you to read this threaded comment; however, any edits to it will get removed if the file is opened in a newer version of Excel. Learn more: https://go.microsoft.com/fwlink/?linkid=870924
Comment:
    Arabella_
melanie1222</t>
      </text>
    </comment>
    <comment ref="AW22" authorId="37" shapeId="0" xr:uid="{58903B4D-0711-4829-9641-F908277E13D0}">
      <text>
        <t>[Threaded comment]
Your version of Excel allows you to read this threaded comment; however, any edits to it will get removed if the file is opened in a newer version of Excel. Learn more: https://go.microsoft.com/fwlink/?linkid=870924
Comment:
    KourtneyLobo</t>
      </text>
    </comment>
    <comment ref="BO22" authorId="38" shapeId="0" xr:uid="{E4AE7FC3-B404-4A35-9E40-231A28000D1E}">
      <text>
        <t>[Threaded comment]
Your version of Excel allows you to read this threaded comment; however, any edits to it will get removed if the file is opened in a newer version of Excel. Learn more: https://go.microsoft.com/fwlink/?linkid=870924
Comment:
    kourtneylobo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tc={CDE41FD7-1C33-4ECE-A37C-FA9FDC76AF6F}</author>
    <author>tc={FFEBC867-2D8A-45E6-840A-E96CB1BE0408}</author>
    <author>julian valdivieso</author>
    <author>tc={A06880C3-7FB9-497B-8E25-3CB43334CF7D}</author>
    <author>tc={558AF1AE-96C3-4160-82A1-185444F19DA1}</author>
    <author>tc={440BD6FF-BB23-43B5-B44A-55EE9E613DCF}</author>
    <author>tc={0389FE76-8613-4033-831E-158FCCC5EC08}</author>
    <author>tc={36325294-B56F-4FBC-AAA6-F821560F945F}</author>
    <author>tc={30B70385-D251-4D6D-8A81-CDFE56158EB8}</author>
    <author>tc={1EA33F77-D2DC-4AD0-8084-38AB158E2C51}</author>
    <author>tc={8B5CEF6A-F700-4A49-8FE5-93F68BF8E969}</author>
    <author>tc={D27AA727-ABF1-4528-8A37-4EE653A353A6}</author>
    <author>tc={4BB2C917-E368-4AB0-8B40-7C66BB2EE175}</author>
    <author>tc={C6DC0F08-D09C-467C-9DA0-AD0904EB4C76}</author>
    <author>tc={E031CB4D-9B4F-4098-98ED-D9F4E5F44DE8}</author>
    <author>tc={D81DECE0-10F1-45CA-B398-B7F80E89716C}</author>
    <author>tc={DE270834-76A3-4B03-A8AE-E531CDC341EB}</author>
    <author>tc={6E6A2FFC-CEF2-4E18-B7D7-06391840B271}</author>
    <author>tc={60895139-1C2A-4002-8E4A-C853349B6BBD}</author>
    <author>Sergio Cardozo</author>
    <author>tc={731221D4-C5E4-4D54-93FB-094A5DA20FE7}</author>
    <author>tc={142C3072-0BED-447B-B141-CF1378458469}</author>
    <author>tc={F3DD5CB1-1DFE-42ED-8DE2-D6BB8DFAFC42}</author>
    <author>tc={3D7DE692-98CE-4EC2-91B0-867F8425086C}</author>
    <author>tc={894B94F1-575C-4840-84F6-FA1D6D86847A}</author>
    <author>tc={BAC07508-2D27-4109-A8E5-73A1DCE65027}</author>
    <author>tc={577FEF67-EE9C-4F1F-9DE9-A1B76849B61F}</author>
    <author>tc={75C12011-8AC1-47DB-9731-D826B5651527}</author>
    <author>tc={E796D69B-FE1D-4DFF-A9B6-440306F54F95}</author>
    <author>tc={862465E3-0C6E-4878-9BFF-DFFD673813F2}</author>
    <author>tc={356283ED-3250-4347-8C07-FD101FCEEDEF}</author>
    <author>tc={4864B9D4-D2AD-4E71-8E21-FA8C4B9E9571}</author>
    <author>tc={E1A3EDAB-CDDC-4CC9-84C0-62B32FF4F4D9}</author>
    <author>tc={D98EDC29-303C-45B0-8559-A2DAAD487A90}</author>
    <author>tc={D615FCA5-5E10-4242-BA05-4F8E477B5F6C}</author>
    <author>tc={76DCA973-B776-4ED5-BE42-10F9E25FE257}</author>
    <author>tc={11BFC995-58B0-425E-ABCB-CF32410D551A}</author>
    <author>tc={295F27C0-7790-4512-BF5C-7294128E2083}</author>
    <author>tc={529ACD04-0657-4C3A-B7EA-AB19A46ABD8F}</author>
  </authors>
  <commentList>
    <comment ref="N7" authorId="0" shapeId="0" xr:uid="{CDE41FD7-1C33-4ECE-A37C-FA9FDC76AF6F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FFEBC867-2D8A-45E6-840A-E96CB1BE0408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4491FDFF-CDF6-41C0-84E4-250B6A4AD180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A06880C3-7FB9-497B-8E25-3CB43334CF7D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558AF1AE-96C3-4160-82A1-185444F19DA1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440BD6FF-BB23-43B5-B44A-55EE9E613DCF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0389FE76-8613-4033-831E-158FCCC5EC08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36325294-B56F-4FBC-AAA6-F821560F945F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30B70385-D251-4D6D-8A81-CDFE56158EB8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1EA33F77-D2DC-4AD0-8084-38AB158E2C51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8B5CEF6A-F700-4A49-8FE5-93F68BF8E969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D27AA727-ABF1-4528-8A37-4EE653A353A6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4BB2C917-E368-4AB0-8B40-7C66BB2EE175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AO8" authorId="13" shapeId="0" xr:uid="{C6DC0F08-D09C-467C-9DA0-AD0904EB4C76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EvaDaniela</t>
      </text>
    </comment>
    <comment ref="H9" authorId="14" shapeId="0" xr:uid="{E031CB4D-9B4F-4098-98ED-D9F4E5F44DE8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5" shapeId="0" xr:uid="{D81DECE0-10F1-45CA-B398-B7F80E89716C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N10" authorId="16" shapeId="0" xr:uid="{DE270834-76A3-4B03-A8AE-E531CDC341EB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17" shapeId="0" xr:uid="{6E6A2FFC-CEF2-4E18-B7D7-06391840B271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H12" authorId="18" shapeId="0" xr:uid="{60895139-1C2A-4002-8E4A-C853349B6BBD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CW13" authorId="19" shapeId="0" xr:uid="{1D293A0E-09DB-4999-8524-6036C43E8032}">
      <text>
        <r>
          <rPr>
            <sz val="11"/>
            <color theme="1"/>
            <rFont val="Calibri"/>
            <family val="2"/>
            <scheme val="minor"/>
          </rPr>
          <t>Sergio Cardozo:
KeylaLevy</t>
        </r>
      </text>
    </comment>
    <comment ref="H14" authorId="20" shapeId="0" xr:uid="{731221D4-C5E4-4D54-93FB-094A5DA20FE7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4" authorId="21" shapeId="0" xr:uid="{142C3072-0BED-447B-B141-CF1378458469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4" authorId="22" shapeId="0" xr:uid="{F3DD5CB1-1DFE-42ED-8DE2-D6BB8DFAFC4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CW14" authorId="19" shapeId="0" xr:uid="{189799B3-EEE9-4B9D-8992-9CC30D14AFD6}">
      <text>
        <r>
          <rPr>
            <sz val="11"/>
            <color theme="1"/>
            <rFont val="Calibri"/>
            <family val="2"/>
            <scheme val="minor"/>
          </rPr>
          <t xml:space="preserve">Sergio Cardozo:
Escritorio $600.000
Ensamble escritorio $100.000
</t>
        </r>
      </text>
    </comment>
    <comment ref="B15" authorId="23" shapeId="0" xr:uid="{3D7DE692-98CE-4EC2-91B0-867F8425086C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5" authorId="24" shapeId="0" xr:uid="{894B94F1-575C-4840-84F6-FA1D6D86847A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5" authorId="25" shapeId="0" xr:uid="{BAC07508-2D27-4109-A8E5-73A1DCE65027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5" authorId="26" shapeId="0" xr:uid="{577FEF67-EE9C-4F1F-9DE9-A1B76849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X15" authorId="27" shapeId="0" xr:uid="{75C12011-8AC1-47DB-9731-D826B5651527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5" authorId="28" shapeId="0" xr:uid="{E796D69B-FE1D-4DFF-A9B6-440306F54F95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5" authorId="29" shapeId="0" xr:uid="{862465E3-0C6E-4878-9BFF-DFFD673813F2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H16" authorId="30" shapeId="0" xr:uid="{356283ED-3250-4347-8C07-FD101FCEEDEF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8" authorId="31" shapeId="0" xr:uid="{4864B9D4-D2AD-4E71-8E21-FA8C4B9E9571}">
      <text>
        <t>[Threaded comment]
Your version of Excel allows you to read this threaded comment; however, any edits to it will get removed if the file is opened in a newer version of Excel. Learn more: https://go.microsoft.com/fwlink/?linkid=870924
Comment:
    CarliMay
Paula912!</t>
      </text>
    </comment>
    <comment ref="AO18" authorId="32" shapeId="0" xr:uid="{E1A3EDAB-CDDC-4CC9-84C0-62B32FF4F4D9}">
      <text>
        <t>[Threaded comment]
Your version of Excel allows you to read this threaded comment; however, any edits to it will get removed if the file is opened in a newer version of Excel. Learn more: https://go.microsoft.com/fwlink/?linkid=870924
Comment:
    LinaMOntes</t>
      </text>
    </comment>
    <comment ref="L19" authorId="33" shapeId="0" xr:uid="{D98EDC29-303C-45B0-8559-A2DAAD487A9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Quedo de User</t>
      </text>
    </comment>
    <comment ref="N19" authorId="34" shapeId="0" xr:uid="{D615FCA5-5E10-4242-BA05-4F8E477B5F6C}">
      <text>
        <t>[Threaded comment]
Your version of Excel allows you to read this threaded comment; however, any edits to it will get removed if the file is opened in a newer version of Excel. Learn more: https://go.microsoft.com/fwlink/?linkid=870924
Comment:
    M4</t>
      </text>
    </comment>
    <comment ref="L21" authorId="35" shapeId="0" xr:uid="{76DCA973-B776-4ED5-BE42-10F9E25FE257}">
      <text>
        <t>[Threaded comment]
Your version of Excel allows you to read this threaded comment; however, any edits to it will get removed if the file is opened in a newer version of Excel. Learn more: https://go.microsoft.com/fwlink/?linkid=870924
Comment:
    Arabella_
melanie1222</t>
      </text>
    </comment>
    <comment ref="H22" authorId="36" shapeId="0" xr:uid="{11BFC995-58B0-425E-ABCB-CF32410D551A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AW22" authorId="37" shapeId="0" xr:uid="{295F27C0-7790-4512-BF5C-7294128E2083}">
      <text>
        <t>[Threaded comment]
Your version of Excel allows you to read this threaded comment; however, any edits to it will get removed if the file is opened in a newer version of Excel. Learn more: https://go.microsoft.com/fwlink/?linkid=870924
Comment:
    KourtneyLobo</t>
      </text>
    </comment>
    <comment ref="BO22" authorId="38" shapeId="0" xr:uid="{529ACD04-0657-4C3A-B7EA-AB19A46ABD8F}">
      <text>
        <t>[Threaded comment]
Your version of Excel allows you to read this threaded comment; however, any edits to it will get removed if the file is opened in a newer version of Excel. Learn more: https://go.microsoft.com/fwlink/?linkid=870924
Comment:
    kourtneylobo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tc={64B0CCD3-68E3-4F06-8FBA-121141D1DDB6}</author>
    <author>tc={B9328485-A8D5-41B3-9543-0AEBD9445E49}</author>
    <author>julian valdivieso</author>
    <author>tc={9054B2F5-8668-4F12-B3B3-98685320E862}</author>
    <author>tc={4F09B757-5594-4B7B-A89B-3E8CBC8E1595}</author>
    <author>tc={A08D7BB7-A562-48E8-A807-1E5D2EF53192}</author>
    <author>tc={476EBE0F-C395-49EA-8900-F9E918066A79}</author>
    <author>tc={4C9321AE-2BFB-40DA-B6FA-58C1F94B766F}</author>
    <author>tc={44963E02-7339-46F2-AD46-007B70068781}</author>
    <author>tc={08967413-7E87-4376-94A5-1630D3D25E2C}</author>
    <author>tc={22C5F2E5-FC3E-4DDA-845B-174111B06720}</author>
    <author>tc={FEE5E850-55E7-4FFA-A914-18236E267291}</author>
    <author>tc={D2BC8F88-EA49-4D26-B9EC-E1BBEC74F1C8}</author>
    <author>tc={275E463E-8C2A-41D5-B54B-9751649EE9B0}</author>
    <author>tc={62894E77-8D3D-4E05-809A-127751AA497A}</author>
    <author>tc={8D73B3FE-8EA5-4259-851B-457B861E255A}</author>
    <author>tc={E76FB819-9937-44FC-8E53-53683CAF0354}</author>
    <author>tc={15A62566-37AB-4240-B7C5-B8E2AA8ED6C6}</author>
    <author>tc={A5302B0C-F1D8-46BB-98A2-EDD0EA43CFE9}</author>
    <author>tc={98600CF9-98F2-408D-8131-5CED3D19D4B4}</author>
    <author>tc={CD0E82ED-6CA7-406F-A2E5-6F98329A3F38}</author>
    <author>tc={F64DBD36-10CE-49F8-8364-986F813D7D79}</author>
    <author>tc={662B0AB1-DCAC-421F-87CC-894E442A9C7F}</author>
    <author>Sergio Cardozo</author>
    <author>tc={39830D4A-6E55-45B6-8D4E-6AAF3E7D280B}</author>
    <author>tc={03DAA393-0FB3-40CF-B1A5-BB01AD82A66F}</author>
    <author>tc={7B48F07A-E2C7-415E-8CE4-4EAB5E0C6738}</author>
    <author>tc={B5126D36-B531-4166-820C-CB6A27D80623}</author>
    <author>tc={CC160693-ECF6-4E15-9789-DC0552772DE8}</author>
    <author>tc={B7FB214F-640B-4F53-BD3D-48FEB550A167}</author>
    <author>tc={3843DE42-CE8D-463A-80DD-F4F5074D9314}</author>
    <author>tc={2623E5CF-2779-48A1-8483-C38F2BD7077C}</author>
    <author>tc={85B68725-8267-4727-864B-F24CBF80F95F}</author>
    <author>tc={A87E0597-A0F8-4EEB-B383-148D04E1CD17}</author>
    <author>tc={7DAEAF73-5437-4927-9EC6-1D6ABB5877AE}</author>
    <author>tc={14CE2EB3-8C14-408E-A31D-0AD265CA2950}</author>
    <author>tc={AE42EE4E-0A45-4990-9AC9-3B93DFE6D0E6}</author>
    <author>tc={F233AA69-66AE-4CFF-BFF8-B6A0240D7DB4}</author>
    <author>tc={2A771226-F979-42B5-A524-21654F834AC9}</author>
    <author>tc={29286450-31EF-45BB-8F46-AB53EC3CCDB8}</author>
    <author>tc={FD42BB4C-B37C-46C0-BBFB-6E04B95BECE1}</author>
    <author>tc={2316E1D3-24DF-427F-84EA-46EB2FEDD351}</author>
    <author>tc={BEA4E120-3631-44E2-A748-F26D70A7E41C}</author>
    <author>tc={92960F49-E948-4247-A179-74A1BF0086CF}</author>
    <author>tc={644BE6FB-737F-4FE5-859A-118C063B481D}</author>
    <author>tc={E606AFB2-F574-4D4A-8580-D8D6578BEECD}</author>
  </authors>
  <commentList>
    <comment ref="N7" authorId="0" shapeId="0" xr:uid="{64B0CCD3-68E3-4F06-8FBA-121141D1DDB6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B9328485-A8D5-41B3-9543-0AEBD9445E49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AB477159-8267-45A6-9B12-79494D95FAF4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9054B2F5-8668-4F12-B3B3-98685320E862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4F09B757-5594-4B7B-A89B-3E8CBC8E1595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A08D7BB7-A562-48E8-A807-1E5D2EF5319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476EBE0F-C395-49EA-8900-F9E918066A79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4C9321AE-2BFB-40DA-B6FA-58C1F94B766F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44963E02-7339-46F2-AD46-007B70068781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08967413-7E87-4376-94A5-1630D3D25E2C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22C5F2E5-FC3E-4DDA-845B-174111B06720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FEE5E850-55E7-4FFA-A914-18236E267291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D2BC8F88-EA49-4D26-B9EC-E1BBEC74F1C8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AO8" authorId="13" shapeId="0" xr:uid="{275E463E-8C2A-41D5-B54B-9751649EE9B0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EvaDaniela</t>
      </text>
    </comment>
    <comment ref="BC8" authorId="14" shapeId="0" xr:uid="{62894E77-8D3D-4E05-809A-127751AA497A}">
      <text>
        <t>[Threaded comment]
Your version of Excel allows you to read this threaded comment; however, any edits to it will get removed if the file is opened in a newer version of Excel. Learn more: https://go.microsoft.com/fwlink/?linkid=870924
Comment:
    Falto *parte* de agosto</t>
      </text>
    </comment>
    <comment ref="BU8" authorId="15" shapeId="0" xr:uid="{8D73B3FE-8EA5-4259-851B-457B861E255A}">
      <text>
        <t>[Threaded comment]
Your version of Excel allows you to read this threaded comment; however, any edits to it will get removed if the file is opened in a newer version of Excel. Learn more: https://go.microsoft.com/fwlink/?linkid=870924
Comment:
    9NFn6u25</t>
      </text>
    </comment>
    <comment ref="H9" authorId="16" shapeId="0" xr:uid="{E76FB819-9937-44FC-8E53-53683CAF0354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7" shapeId="0" xr:uid="{15A62566-37AB-4240-B7C5-B8E2AA8ED6C6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BU9" authorId="18" shapeId="0" xr:uid="{A5302B0C-F1D8-46BB-98A2-EDD0EA43CFE9}">
      <text>
        <t>[Threaded comment]
Your version of Excel allows you to read this threaded comment; however, any edits to it will get removed if the file is opened in a newer version of Excel. Learn more: https://go.microsoft.com/fwlink/?linkid=870924
Comment:
    AoFNv76v9206</t>
      </text>
    </comment>
    <comment ref="N10" authorId="19" shapeId="0" xr:uid="{98600CF9-98F2-408D-8131-5CED3D19D4B4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20" shapeId="0" xr:uid="{CD0E82ED-6CA7-406F-A2E5-6F98329A3F38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BU11" authorId="21" shapeId="0" xr:uid="{F64DBD36-10CE-49F8-8364-986F813D7D79}">
      <text>
        <t>[Threaded comment]
Your version of Excel allows you to read this threaded comment; however, any edits to it will get removed if the file is opened in a newer version of Excel. Learn more: https://go.microsoft.com/fwlink/?linkid=870924
Comment:
    JT4o8u9i</t>
      </text>
    </comment>
    <comment ref="H12" authorId="22" shapeId="0" xr:uid="{662B0AB1-DCAC-421F-87CC-894E442A9C7F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CW13" authorId="23" shapeId="0" xr:uid="{D660D119-B6D9-4055-B3E7-5B4CD3162BA3}">
      <text>
        <r>
          <rPr>
            <sz val="11"/>
            <color theme="1"/>
            <rFont val="Calibri"/>
            <family val="2"/>
            <scheme val="minor"/>
          </rPr>
          <t>Sergio Cardozo:
Referida Andrea</t>
        </r>
      </text>
    </comment>
    <comment ref="H14" authorId="24" shapeId="0" xr:uid="{39830D4A-6E55-45B6-8D4E-6AAF3E7D280B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4" authorId="25" shapeId="0" xr:uid="{03DAA393-0FB3-40CF-B1A5-BB01AD82A66F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4" authorId="26" shapeId="0" xr:uid="{7B48F07A-E2C7-415E-8CE4-4EAB5E0C6738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CW14" authorId="23" shapeId="0" xr:uid="{FB6D6063-E474-49F3-958F-377CD35F37EB}">
      <text>
        <r>
          <rPr>
            <sz val="11"/>
            <color theme="1"/>
            <rFont val="Calibri"/>
            <family val="2"/>
            <scheme val="minor"/>
          </rPr>
          <t>Sergio Cardozo:
RubyRyder:Extra juicio</t>
        </r>
      </text>
    </comment>
    <comment ref="B15" authorId="27" shapeId="0" xr:uid="{B5126D36-B531-4166-820C-CB6A27D80623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5" authorId="28" shapeId="0" xr:uid="{CC160693-ECF6-4E15-9789-DC0552772DE8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5" authorId="29" shapeId="0" xr:uid="{B7FB214F-640B-4F53-BD3D-48FEB550A167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5" authorId="30" shapeId="0" xr:uid="{3843DE42-CE8D-463A-80DD-F4F5074D9314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X15" authorId="31" shapeId="0" xr:uid="{2623E5CF-2779-48A1-8483-C38F2BD7077C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5" authorId="32" shapeId="0" xr:uid="{85B68725-8267-4727-864B-F24CBF80F95F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5" authorId="33" shapeId="0" xr:uid="{A87E0597-A0F8-4EEB-B383-148D04E1CD17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U15" authorId="34" shapeId="0" xr:uid="{7DAEAF73-5437-4927-9EC6-1D6ABB5877AE}">
      <text>
        <t>[Threaded comment]
Your version of Excel allows you to read this threaded comment; however, any edits to it will get removed if the file is opened in a newer version of Excel. Learn more: https://go.microsoft.com/fwlink/?linkid=870924
Comment:
    :'$V5@iB550w</t>
      </text>
    </comment>
    <comment ref="H16" authorId="35" shapeId="0" xr:uid="{14CE2EB3-8C14-408E-A31D-0AD265CA2950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BC17" authorId="36" shapeId="0" xr:uid="{AE42EE4E-0A45-4990-9AC9-3B93DFE6D0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L18" authorId="37" shapeId="0" xr:uid="{F233AA69-66AE-4CFF-BFF8-B6A0240D7DB4}">
      <text>
        <t>[Threaded comment]
Your version of Excel allows you to read this threaded comment; however, any edits to it will get removed if the file is opened in a newer version of Excel. Learn more: https://go.microsoft.com/fwlink/?linkid=870924
Comment:
    CarliMay
Paula912!</t>
      </text>
    </comment>
    <comment ref="AO18" authorId="38" shapeId="0" xr:uid="{2A771226-F979-42B5-A524-21654F834AC9}">
      <text>
        <t>[Threaded comment]
Your version of Excel allows you to read this threaded comment; however, any edits to it will get removed if the file is opened in a newer version of Excel. Learn more: https://go.microsoft.com/fwlink/?linkid=870924
Comment:
    LinaMOntes</t>
      </text>
    </comment>
    <comment ref="L19" authorId="39" shapeId="0" xr:uid="{29286450-31EF-45BB-8F46-AB53EC3CCDB8}">
      <text>
        <t>[Threaded comment]
Your version of Excel allows you to read this threaded comment; however, any edits to it will get removed if the file is opened in a newer version of Excel. Learn more: https://go.microsoft.com/fwlink/?linkid=870924
Comment:
    Quedo de User</t>
      </text>
    </comment>
    <comment ref="N19" authorId="40" shapeId="0" xr:uid="{FD42BB4C-B37C-46C0-BBFB-6E04B95BECE1}">
      <text>
        <t>[Threaded comment]
Your version of Excel allows you to read this threaded comment; however, any edits to it will get removed if the file is opened in a newer version of Excel. Learn more: https://go.microsoft.com/fwlink/?linkid=870924
Comment:
    M4</t>
      </text>
    </comment>
    <comment ref="L21" authorId="41" shapeId="0" xr:uid="{2316E1D3-24DF-427F-84EA-46EB2FEDD351}">
      <text>
        <t>[Threaded comment]
Your version of Excel allows you to read this threaded comment; however, any edits to it will get removed if the file is opened in a newer version of Excel. Learn more: https://go.microsoft.com/fwlink/?linkid=870924
Comment:
    Arabella_
melanie1222</t>
      </text>
    </comment>
    <comment ref="BU21" authorId="42" shapeId="0" xr:uid="{BEA4E120-3631-44E2-A748-F26D70A7E41C}">
      <text>
        <t>[Threaded comment]
Your version of Excel allows you to read this threaded comment; however, any edits to it will get removed if the file is opened in a newer version of Excel. Learn more: https://go.microsoft.com/fwlink/?linkid=870924
Comment:
    x91FJoF3</t>
      </text>
    </comment>
    <comment ref="H22" authorId="43" shapeId="0" xr:uid="{92960F49-E948-4247-A179-74A1BF0086CF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AW22" authorId="44" shapeId="0" xr:uid="{644BE6FB-737F-4FE5-859A-118C063B481D}">
      <text>
        <t>[Threaded comment]
Your version of Excel allows you to read this threaded comment; however, any edits to it will get removed if the file is opened in a newer version of Excel. Learn more: https://go.microsoft.com/fwlink/?linkid=870924
Comment:
    KourtneyLobo</t>
      </text>
    </comment>
    <comment ref="BO22" authorId="45" shapeId="0" xr:uid="{E606AFB2-F574-4D4A-8580-D8D6578BEECD}">
      <text>
        <t>[Threaded comment]
Your version of Excel allows you to read this threaded comment; however, any edits to it will get removed if the file is opened in a newer version of Excel. Learn more: https://go.microsoft.com/fwlink/?linkid=870924
Comment:
    kourtneylobo</t>
      </text>
    </comment>
    <comment ref="CK24" authorId="2" shapeId="0" xr:uid="{830ADF71-128C-44B7-A322-BA16EFE61914}">
      <text>
        <r>
          <rPr>
            <b/>
            <sz val="9"/>
            <color indexed="81"/>
            <rFont val="Tahoma"/>
            <charset val="1"/>
          </rPr>
          <t>julian valdivieso:</t>
        </r>
        <r>
          <rPr>
            <sz val="9"/>
            <color indexed="81"/>
            <rFont val="Tahoma"/>
            <charset val="1"/>
          </rPr>
          <t xml:space="preserve">
enviado nequi</t>
        </r>
      </text>
    </comment>
    <comment ref="CK25" authorId="2" shapeId="0" xr:uid="{C85F2FE5-2034-4DE2-9499-25A6D50E8132}">
      <text>
        <r>
          <rPr>
            <b/>
            <sz val="9"/>
            <color indexed="81"/>
            <rFont val="Tahoma"/>
            <charset val="1"/>
          </rPr>
          <t>julian valdivieso:</t>
        </r>
        <r>
          <rPr>
            <sz val="9"/>
            <color indexed="81"/>
            <rFont val="Tahoma"/>
            <charset val="1"/>
          </rPr>
          <t xml:space="preserve">
enviado nequi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tc={527F9EC8-1EE9-4ADC-8313-372A129DC08B}</author>
    <author>tc={4F750B5A-D238-453F-8F25-370C5632AC1F}</author>
    <author>julian valdivieso</author>
    <author>tc={82676F45-7C97-4338-863A-F9B3EDE2D6C7}</author>
    <author>tc={E1082C81-3557-453B-BF25-182AD6E1E199}</author>
    <author>tc={90F09A80-6E56-4BFD-A02C-0DAC67F51C89}</author>
    <author>tc={CBEAD534-9C69-4886-980E-5E889190F4C7}</author>
    <author>tc={8D28EEE7-6C27-40E9-8845-A5BEF44C6964}</author>
    <author>tc={C92B3220-E280-4FB0-BC7C-C6B158760A6C}</author>
    <author>tc={FA9E9AB2-8765-4662-887F-8F67FD48F240}</author>
    <author>tc={464D26CB-8BD3-4F11-BF6B-1AD35FBA47D6}</author>
    <author>tc={FFC30240-30D9-47B6-B0F8-63478F6B4B19}</author>
    <author>tc={1A2D308A-A43C-4FC6-9706-C889820EBC8D}</author>
    <author>tc={828E55A4-FD14-4C38-A65C-750DD9F21DC2}</author>
    <author>tc={388FAD47-899B-4124-A76C-C7B015C1CEA2}</author>
    <author>tc={81D4DA56-C842-4B42-8A5F-BBD3DFD15E80}</author>
    <author>tc={BAC9EF7F-6E17-424F-B8D9-86F750EF2A0A}</author>
    <author>tc={DBBD6E40-6F3D-408B-AA2A-F7AC688C202C}</author>
    <author>tc={90FACFF4-FF1B-4074-98FD-868A8F000FE2}</author>
    <author>tc={EFA544C9-E272-44B6-8B95-2926A082A8B5}</author>
    <author>tc={BD3459B2-149C-4506-B482-16899914E233}</author>
    <author>tc={AF33BF46-AFCE-4224-9A67-F4DE32943089}</author>
    <author>tc={004F7175-BF51-4BB3-ABF2-9D4BB780AB86}</author>
    <author>Sergio Cardozo</author>
    <author>tc={0A688BFE-2F50-4F53-ABA9-6B5B3EFBBF1D}</author>
    <author>tc={8C6FF1E2-5C03-4BDF-A8BD-3D48CE4F4EE0}</author>
    <author>tc={65E789E0-9D00-41CA-9C6A-2F9509E04816}</author>
    <author>tc={2CF975B7-A1F0-4663-BF32-24F1A2F83F7F}</author>
    <author>tc={91FA0420-DC20-4B94-A985-86CE6D40590F}</author>
    <author>tc={458E7C13-A281-4608-B134-6353B9F547B6}</author>
    <author>tc={91EDD056-FF5C-4975-9B9D-549EE65F6075}</author>
    <author>tc={8C0BCBD3-8D29-4BE5-9448-7AAC691251D5}</author>
    <author>tc={9DC24598-D2BC-4DA3-9B33-D22C1DBDEB4D}</author>
    <author>tc={E84A117C-A074-4E54-B445-69CDC04E0157}</author>
    <author>tc={38809B6A-1A59-4DBB-9A73-915CCAFD8BAF}</author>
    <author>tc={11679B2F-E1D4-4E1A-A621-A7D81399F6C1}</author>
    <author>tc={E173AF28-E547-4B93-BE08-6188D74E8C03}</author>
    <author>tc={2DF314CC-305A-470C-86A8-522C0A828FFC}</author>
    <author>tc={70B2765C-B0B3-448B-86E3-6BEC50848961}</author>
    <author>tc={15F7552C-A61A-4714-AE50-FCB1AE9FFD18}</author>
    <author>tc={F6822961-48D0-4EE2-B319-9DE778570FD4}</author>
    <author>tc={E57F24A5-A54E-4BFD-A07E-71A754D06D09}</author>
    <author>tc={3612CEF4-41B9-4A11-9335-539C1C55AA85}</author>
    <author>tc={9221EDEB-8CE6-4091-B712-CB932BC9DF30}</author>
    <author>tc={EC3899DD-B527-43FB-91EE-4D0A757B2A63}</author>
    <author>tc={53F74654-687B-4F6C-ADE7-F4C26229D0A6}</author>
  </authors>
  <commentList>
    <comment ref="N7" authorId="0" shapeId="0" xr:uid="{527F9EC8-1EE9-4ADC-8313-372A129DC08B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4F750B5A-D238-453F-8F25-370C5632AC1F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8543FAD5-64E5-4C04-9B36-FE940BEB300B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82676F45-7C97-4338-863A-F9B3EDE2D6C7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E1082C81-3557-453B-BF25-182AD6E1E199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90F09A80-6E56-4BFD-A02C-0DAC67F51C89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CBEAD534-9C69-4886-980E-5E889190F4C7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8D28EEE7-6C27-40E9-8845-A5BEF44C6964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C92B3220-E280-4FB0-BC7C-C6B158760A6C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FA9E9AB2-8765-4662-887F-8F67FD48F240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464D26CB-8BD3-4F11-BF6B-1AD35FBA47D6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FFC30240-30D9-47B6-B0F8-63478F6B4B19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1A2D308A-A43C-4FC6-9706-C889820EBC8D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AO8" authorId="13" shapeId="0" xr:uid="{828E55A4-FD14-4C38-A65C-750DD9F21DC2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EvaDaniela</t>
      </text>
    </comment>
    <comment ref="BU8" authorId="14" shapeId="0" xr:uid="{388FAD47-899B-4124-A76C-C7B015C1CEA2}">
      <text>
        <t>[Threaded comment]
Your version of Excel allows you to read this threaded comment; however, any edits to it will get removed if the file is opened in a newer version of Excel. Learn more: https://go.microsoft.com/fwlink/?linkid=870924
Comment:
    9NFn6u25</t>
      </text>
    </comment>
    <comment ref="H9" authorId="15" shapeId="0" xr:uid="{81D4DA56-C842-4B42-8A5F-BBD3DFD15E80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6" shapeId="0" xr:uid="{BAC9EF7F-6E17-424F-B8D9-86F750EF2A0A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BU9" authorId="17" shapeId="0" xr:uid="{DBBD6E40-6F3D-408B-AA2A-F7AC688C202C}">
      <text>
        <t>[Threaded comment]
Your version of Excel allows you to read this threaded comment; however, any edits to it will get removed if the file is opened in a newer version of Excel. Learn more: https://go.microsoft.com/fwlink/?linkid=870924
Comment:
    AoFNv76v9206</t>
      </text>
    </comment>
    <comment ref="N10" authorId="18" shapeId="0" xr:uid="{90FACFF4-FF1B-4074-98FD-868A8F000FE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19" shapeId="0" xr:uid="{EFA544C9-E272-44B6-8B95-2926A082A8B5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BU11" authorId="20" shapeId="0" xr:uid="{BD3459B2-149C-4506-B482-16899914E233}">
      <text>
        <t>[Threaded comment]
Your version of Excel allows you to read this threaded comment; however, any edits to it will get removed if the file is opened in a newer version of Excel. Learn more: https://go.microsoft.com/fwlink/?linkid=870924
Comment:
    JT4o8u9i</t>
      </text>
    </comment>
    <comment ref="H12" authorId="21" shapeId="0" xr:uid="{AF33BF46-AFCE-4224-9A67-F4DE329430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AU13" authorId="22" shapeId="0" xr:uid="{004F7175-BF51-4BB3-ABF2-9D4BB780AB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CW13" authorId="23" shapeId="0" xr:uid="{C529FB74-0C87-4298-84FC-6BC3A0945EA7}">
      <text>
        <r>
          <rPr>
            <sz val="11"/>
            <color theme="1"/>
            <rFont val="Calibri"/>
            <family val="2"/>
            <scheme val="minor"/>
          </rPr>
          <t>Sergio Cardozo:
CarolineLux
KellySanders
SabrinaCollins
HollyRogers
KendraNoa
AngelicaWinter</t>
        </r>
      </text>
    </comment>
    <comment ref="H14" authorId="24" shapeId="0" xr:uid="{0A688BFE-2F50-4F53-ABA9-6B5B3EFB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4" authorId="25" shapeId="0" xr:uid="{8C6FF1E2-5C03-4BDF-A8BD-3D48CE4F4EE0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4" authorId="26" shapeId="0" xr:uid="{65E789E0-9D00-41CA-9C6A-2F9509E04816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CW14" authorId="23" shapeId="0" xr:uid="{BB105B05-8537-4066-A741-6CDB7C576A7D}">
      <text>
        <r>
          <rPr>
            <sz val="11"/>
            <color theme="1"/>
            <rFont val="Calibri"/>
            <family val="2"/>
            <scheme val="minor"/>
          </rPr>
          <t>Sergio Cardozo:
Elementos aseo general
Reparación baños</t>
        </r>
      </text>
    </comment>
    <comment ref="B15" authorId="27" shapeId="0" xr:uid="{2CF975B7-A1F0-4663-BF32-24F1A2F83F7F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5" authorId="28" shapeId="0" xr:uid="{91FA0420-DC20-4B94-A985-86CE6D40590F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5" authorId="29" shapeId="0" xr:uid="{458E7C13-A281-4608-B134-6353B9F547B6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5" authorId="30" shapeId="0" xr:uid="{91EDD056-FF5C-4975-9B9D-549EE65F6075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X15" authorId="31" shapeId="0" xr:uid="{8C0BCBD3-8D29-4BE5-9448-7AAC691251D5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5" authorId="32" shapeId="0" xr:uid="{9DC24598-D2BC-4DA3-9B33-D22C1DBDEB4D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5" authorId="33" shapeId="0" xr:uid="{E84A117C-A074-4E54-B445-69CDC04E0157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U15" authorId="34" shapeId="0" xr:uid="{38809B6A-1A59-4DBB-9A73-915CCAFD8BAF}">
      <text>
        <t>[Threaded comment]
Your version of Excel allows you to read this threaded comment; however, any edits to it will get removed if the file is opened in a newer version of Excel. Learn more: https://go.microsoft.com/fwlink/?linkid=870924
Comment:
    :'$V5@iB550w</t>
      </text>
    </comment>
    <comment ref="H16" authorId="35" shapeId="0" xr:uid="{11679B2F-E1D4-4E1A-A621-A7D81399F6C1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BC17" authorId="36" shapeId="0" xr:uid="{E173AF28-E547-4B93-BE08-6188D74E8C03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L18" authorId="37" shapeId="0" xr:uid="{2DF314CC-305A-470C-86A8-522C0A828FFC}">
      <text>
        <t>[Threaded comment]
Your version of Excel allows you to read this threaded comment; however, any edits to it will get removed if the file is opened in a newer version of Excel. Learn more: https://go.microsoft.com/fwlink/?linkid=870924
Comment:
    CarliMay
Paula912!</t>
      </text>
    </comment>
    <comment ref="AO18" authorId="38" shapeId="0" xr:uid="{70B2765C-B0B3-448B-86E3-6BEC50848961}">
      <text>
        <t>[Threaded comment]
Your version of Excel allows you to read this threaded comment; however, any edits to it will get removed if the file is opened in a newer version of Excel. Learn more: https://go.microsoft.com/fwlink/?linkid=870924
Comment:
    LinaMOntes</t>
      </text>
    </comment>
    <comment ref="L19" authorId="39" shapeId="0" xr:uid="{15F7552C-A61A-4714-AE50-FCB1AE9FFD18}">
      <text>
        <t>[Threaded comment]
Your version of Excel allows you to read this threaded comment; however, any edits to it will get removed if the file is opened in a newer version of Excel. Learn more: https://go.microsoft.com/fwlink/?linkid=870924
Comment:
    Quedo de User</t>
      </text>
    </comment>
    <comment ref="N19" authorId="40" shapeId="0" xr:uid="{F6822961-48D0-4EE2-B319-9DE778570FD4}">
      <text>
        <t>[Threaded comment]
Your version of Excel allows you to read this threaded comment; however, any edits to it will get removed if the file is opened in a newer version of Excel. Learn more: https://go.microsoft.com/fwlink/?linkid=870924
Comment:
    M4</t>
      </text>
    </comment>
    <comment ref="L21" authorId="41" shapeId="0" xr:uid="{E57F24A5-A54E-4BFD-A07E-71A754D06D09}">
      <text>
        <t>[Threaded comment]
Your version of Excel allows you to read this threaded comment; however, any edits to it will get removed if the file is opened in a newer version of Excel. Learn more: https://go.microsoft.com/fwlink/?linkid=870924
Comment:
    Arabella_
melanie1222</t>
      </text>
    </comment>
    <comment ref="BU21" authorId="42" shapeId="0" xr:uid="{3612CEF4-41B9-4A11-9335-539C1C55AA85}">
      <text>
        <t>[Threaded comment]
Your version of Excel allows you to read this threaded comment; however, any edits to it will get removed if the file is opened in a newer version of Excel. Learn more: https://go.microsoft.com/fwlink/?linkid=870924
Comment:
    x91FJoF3</t>
      </text>
    </comment>
    <comment ref="H22" authorId="43" shapeId="0" xr:uid="{9221EDEB-8CE6-4091-B712-CB932BC9DF30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AW22" authorId="44" shapeId="0" xr:uid="{EC3899DD-B527-43FB-91EE-4D0A757B2A63}">
      <text>
        <t>[Threaded comment]
Your version of Excel allows you to read this threaded comment; however, any edits to it will get removed if the file is opened in a newer version of Excel. Learn more: https://go.microsoft.com/fwlink/?linkid=870924
Comment:
    KourtneyLobo</t>
      </text>
    </comment>
    <comment ref="BO22" authorId="45" shapeId="0" xr:uid="{53F74654-687B-4F6C-ADE7-F4C26229D0A6}">
      <text>
        <t>[Threaded comment]
Your version of Excel allows you to read this threaded comment; however, any edits to it will get removed if the file is opened in a newer version of Excel. Learn more: https://go.microsoft.com/fwlink/?linkid=870924
Comment:
    kourtneylobo</t>
      </text>
    </comment>
    <comment ref="CK24" authorId="2" shapeId="0" xr:uid="{AD8D7F32-D95D-4F71-B981-B9CF0C0844DA}">
      <text>
        <r>
          <rPr>
            <b/>
            <sz val="9"/>
            <color indexed="81"/>
            <rFont val="Tahoma"/>
            <charset val="1"/>
          </rPr>
          <t>julian valdivieso:</t>
        </r>
        <r>
          <rPr>
            <sz val="9"/>
            <color indexed="81"/>
            <rFont val="Tahoma"/>
            <charset val="1"/>
          </rPr>
          <t xml:space="preserve">
enviado nequi</t>
        </r>
      </text>
    </comment>
    <comment ref="CK25" authorId="2" shapeId="0" xr:uid="{B664EB1F-4864-43AB-A120-5A9A77BF71E8}">
      <text>
        <r>
          <rPr>
            <b/>
            <sz val="9"/>
            <color indexed="81"/>
            <rFont val="Tahoma"/>
            <charset val="1"/>
          </rPr>
          <t>julian valdivieso:</t>
        </r>
        <r>
          <rPr>
            <sz val="9"/>
            <color indexed="81"/>
            <rFont val="Tahoma"/>
            <charset val="1"/>
          </rPr>
          <t xml:space="preserve">
enviado nequi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tc={690A464E-ABF5-4AB7-971B-B07EA54793A8}</author>
    <author>tc={B36AD6C5-5B4D-408C-9356-743B0AA80D95}</author>
    <author>julian valdivieso</author>
    <author>tc={2A03A8CE-DC8E-487A-A16E-462C5946E118}</author>
    <author>tc={2EB84D3F-4AF5-40E4-AE23-25647C9E1C2D}</author>
    <author>tc={8C461215-482D-43AD-A92E-45DCDD48D4B7}</author>
    <author>tc={8BEAE60B-B001-4932-807C-B003E625EAC9}</author>
    <author>tc={F7F70A5E-5586-4C45-991D-16739859176C}</author>
    <author>tc={C32755C0-D61F-4858-9639-43ED4C152359}</author>
    <author>tc={559FB78C-E9ED-4341-86D3-23EA5AC9D85F}</author>
    <author>tc={65491DD2-49A7-435E-9B28-BCDCF99FB9B6}</author>
    <author>tc={CBF62CFB-714C-4C41-8DA4-141195A740FB}</author>
    <author>tc={6098DD2E-1905-4A83-9A54-A53D201A7B87}</author>
    <author>tc={D9F02F0A-DE94-4A8B-8DEC-F3EACBFCA58B}</author>
    <author>tc={4D522E39-4AD8-40FC-8C5F-62CC69C54605}</author>
    <author>tc={FCB91850-E81C-4B1B-A404-6D0444E5B693}</author>
    <author>tc={9402594F-1A54-40D3-8DA6-73E06483EA11}</author>
    <author>tc={B5914B87-CC24-4E7C-BD57-5E4DD55A96C8}</author>
    <author>tc={367ACF1E-3DE5-4342-BC07-1A3FB5ED9CED}</author>
    <author>tc={1670771E-D9B8-47C1-839B-9330F0E4AE03}</author>
    <author>tc={C32939AF-391A-4553-B623-EE3A124953A6}</author>
    <author>tc={E74DADEA-6745-4464-B9DC-B59C7321B365}</author>
    <author>tc={0535653C-CFBB-45B4-9866-0F72E4791679}</author>
    <author>tc={F7B79015-4892-445F-AE72-A4CB9CC1FD03}</author>
    <author>tc={7E12D6CF-05DC-4DB5-9FD7-005903AE458F}</author>
    <author>tc={1C361812-61BF-4912-89B1-B86E5A8BCA4E}</author>
    <author>Sergio Cardozo</author>
    <author>tc={EF4B19B0-E0EB-4B7B-BE5A-BCF1D110CAD4}</author>
    <author>tc={1F3B0CD3-14A8-40B1-AB9E-BEFBEA7F05E5}</author>
    <author>tc={7E63A5A2-2D93-46EC-8F9C-61E795713B27}</author>
    <author>tc={7FD354D9-9DB4-4903-954B-7E52BDBBDDCD}</author>
    <author>tc={4F0B91A4-C538-4EF3-B737-865CB905CEB9}</author>
    <author>tc={5AB0A442-3883-493F-85BE-091BC7DA875E}</author>
    <author>tc={6C5CF49A-0E5F-466D-BD78-B2DCAB2D8539}</author>
    <author>tc={A2E6E0F2-323E-426D-A4EE-57A90FF29D8A}</author>
    <author>tc={F5B558D2-0DF9-43EF-BCB8-F1380225A04D}</author>
    <author>tc={FDC0D092-7C77-4BD8-B824-A1884519A357}</author>
    <author>tc={D59442AF-6E29-4960-BF1E-CF88D8CF5AE0}</author>
    <author>tc={762D0E79-DC5D-4379-84C4-92FB6E233240}</author>
    <author>tc={579A0D4A-DF5D-4B30-949E-1C24836DE2CF}</author>
    <author>tc={FC180575-7458-4CFF-944B-61F78D5B30E9}</author>
    <author>tc={9CC2FFBF-B29B-4CB3-B621-B6D426477899}</author>
    <author>tc={DA2868E8-221F-460F-AB09-627B580DE070}</author>
    <author>tc={14F46D69-B242-4748-B4E0-A10D6F1BC654}</author>
    <author>tc={833D84CC-C39E-4F16-A1EB-8B89FF01B393}</author>
    <author>tc={1BD47674-C276-4CC8-8C7A-77CC1946968D}</author>
    <author>tc={6B8EE2B1-41D5-4A30-97E8-5E9A1559D99D}</author>
    <author>tc={360EFEC8-5C6C-4E06-9EC1-5E3D48A057B0}</author>
    <author>tc={D36E8A35-A627-4741-B42D-B5BD45DDEC21}</author>
    <author>tc={9C85BAD3-1930-4123-92B4-465EED23FB56}</author>
    <author>tc={4180D584-F466-4AA3-AAA4-9699F8C1B69C}</author>
    <author>tc={2D96DFB9-D3B0-4807-8EC6-0458D15AE14F}</author>
  </authors>
  <commentList>
    <comment ref="N7" authorId="0" shapeId="0" xr:uid="{690A464E-ABF5-4AB7-971B-B07EA54793A8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kendraxnoa 
ana57228</t>
      </text>
    </comment>
    <comment ref="X7" authorId="1" shapeId="0" xr:uid="{B36AD6C5-5B4D-408C-9356-743B0AA80D95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</t>
      </text>
    </comment>
    <comment ref="AO7" authorId="2" shapeId="0" xr:uid="{E3DCCAA0-3206-4A37-B4F9-2D5454D1F4FF}">
      <text>
        <r>
          <rPr>
            <b/>
            <sz val="9"/>
            <color indexed="81"/>
            <rFont val="Tahoma"/>
            <family val="2"/>
          </rPr>
          <t>julian valdivieso:</t>
        </r>
        <r>
          <rPr>
            <sz val="9"/>
            <color indexed="81"/>
            <rFont val="Tahoma"/>
            <family val="2"/>
          </rPr>
          <t xml:space="preserve">
creditos secret</t>
        </r>
      </text>
    </comment>
    <comment ref="AP7" authorId="3" shapeId="0" xr:uid="{2A03A8CE-DC8E-487A-A16E-462C5946E118}">
      <text>
        <t>[Threaded comment]
Your version of Excel allows you to read this threaded comment; however, any edits to it will get removed if the file is opened in a newer version of Excel. Learn more: https://go.microsoft.com/fwlink/?linkid=870924
Comment:
    20.74 creditos secrefirends</t>
      </text>
    </comment>
    <comment ref="AQ7" authorId="4" shapeId="0" xr:uid="{2EB84D3F-4AF5-40E4-AE23-25647C9E1C2D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Kendra_Noa</t>
      </text>
    </comment>
    <comment ref="AU7" authorId="5" shapeId="0" xr:uid="{8C461215-482D-43AD-A92E-45DCDD48D4B7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7" authorId="6" shapeId="0" xr:uid="{8BEAE60B-B001-4932-807C-B003E625EAC9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 
ana572281</t>
      </text>
    </comment>
    <comment ref="BA7" authorId="7" shapeId="0" xr:uid="{F7F70A5E-5586-4C45-991D-16739859176C}">
      <text>
        <t>[Threaded comment]
Your version of Excel allows you to read this threaded comment; however, any edits to it will get removed if the file is opened in a newer version of Excel. Learn more: https://go.microsoft.com/fwlink/?linkid=870924
Comment:
    kendranoa1@tuemailya.com</t>
      </text>
    </comment>
    <comment ref="BO7" authorId="8" shapeId="0" xr:uid="{C32755C0-D61F-4858-9639-43ED4C152359}">
      <text>
        <t>[Threaded comment]
Your version of Excel allows you to read this threaded comment; however, any edits to it will get removed if the file is opened in a newer version of Excel. Learn more: https://go.microsoft.com/fwlink/?linkid=870924
Comment:
    ana572288</t>
      </text>
    </comment>
    <comment ref="CC7" authorId="9" shapeId="0" xr:uid="{559FB78C-E9ED-4341-86D3-23EA5AC9D85F}">
      <text>
        <t>[Threaded comment]
Your version of Excel allows you to read this threaded comment; however, any edits to it will get removed if the file is opened in a newer version of Excel. Learn more: https://go.microsoft.com/fwlink/?linkid=870924
Comment:
    secrefriends</t>
      </text>
    </comment>
    <comment ref="L8" authorId="10" shapeId="0" xr:uid="{65491DD2-49A7-435E-9B28-BCDCF99FB9B6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Silvia518!</t>
      </text>
    </comment>
    <comment ref="R8" authorId="11" shapeId="0" xr:uid="{CBF62CFB-714C-4C41-8DA4-141195A740FB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EvaDoster
Reply:
    No la usa</t>
      </text>
    </comment>
    <comment ref="T8" authorId="12" shapeId="0" xr:uid="{6098DD2E-1905-4A83-9A54-A53D201A7B87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Evadavee</t>
      </text>
    </comment>
    <comment ref="AO8" authorId="13" shapeId="0" xr:uid="{D9F02F0A-DE94-4A8B-8DEC-F3EACBFCA58B}">
      <text>
        <t>[Threaded comment]
Your version of Excel allows you to read this threaded comment; however, any edits to it will get removed if the file is opened in a newer version of Excel. Learn more: https://go.microsoft.com/fwlink/?linkid=870924
Comment:
    EvaDaniela</t>
      </text>
    </comment>
    <comment ref="BU8" authorId="14" shapeId="0" xr:uid="{4D522E39-4AD8-40FC-8C5F-62CC69C54605}">
      <text>
        <t>[Threaded comment]
Your version of Excel allows you to read this threaded comment; however, any edits to it will get removed if the file is opened in a newer version of Excel. Learn more: https://go.microsoft.com/fwlink/?linkid=870924
Comment:
    9NFn6u25</t>
      </text>
    </comment>
    <comment ref="H9" authorId="15" shapeId="0" xr:uid="{FCB91850-E81C-4B1B-A404-6D0444E5B693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9" authorId="16" shapeId="0" xr:uid="{9402594F-1A54-40D3-8DA6-73E06483EA11}">
      <text>
        <t>[Threaded comment]
Your version of Excel allows you to read this threaded comment; however, any edits to it will get removed if the file is opened in a newer version of Excel. Learn more: https://go.microsoft.com/fwlink/?linkid=870924
Comment:
    ZoeyxHarperx</t>
      </text>
    </comment>
    <comment ref="BO9" authorId="17" shapeId="0" xr:uid="{B5914B87-CC24-4E7C-BD57-5E4DD55A96C8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BU9" authorId="18" shapeId="0" xr:uid="{367ACF1E-3DE5-4342-BC07-1A3FB5ED9CED}">
      <text>
        <t>[Threaded comment]
Your version of Excel allows you to read this threaded comment; however, any edits to it will get removed if the file is opened in a newer version of Excel. Learn more: https://go.microsoft.com/fwlink/?linkid=870924
Comment:
    AoFNv76v9206</t>
      </text>
    </comment>
    <comment ref="N10" authorId="19" shapeId="0" xr:uid="{1670771E-D9B8-47C1-839B-9330F0E4AE03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Q10" authorId="20" shapeId="0" xr:uid="{C32939AF-391A-4553-B623-EE3A124953A6}">
      <text>
        <t>[Threaded comment]
Your version of Excel allows you to read this threaded comment; however, any edits to it will get removed if the file is opened in a newer version of Excel. Learn more: https://go.microsoft.com/fwlink/?linkid=870924
Comment:
    Katie_Night</t>
      </text>
    </comment>
    <comment ref="BU11" authorId="21" shapeId="0" xr:uid="{E74DADEA-6745-4464-B9DC-B59C7321B365}">
      <text>
        <t>[Threaded comment]
Your version of Excel allows you to read this threaded comment; however, any edits to it will get removed if the file is opened in a newer version of Excel. Learn more: https://go.microsoft.com/fwlink/?linkid=870924
Comment:
    JT4o8u9i</t>
      </text>
    </comment>
    <comment ref="H12" authorId="22" shapeId="0" xr:uid="{0535653C-CFBB-45B4-9866-0F72E4791679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H13" authorId="23" shapeId="0" xr:uid="{F7B79015-4892-445F-AE72-A4CB9CC1FD03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AU13" authorId="24" shapeId="0" xr:uid="{7E12D6CF-05DC-4DB5-9FD7-005903AE458F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BO13" authorId="25" shapeId="0" xr:uid="{1C361812-61BF-4912-89B1-B86E5A8BCA4E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CW13" authorId="26" shapeId="0" xr:uid="{3E3E1B64-5AEF-4BB4-85D2-1F4745B3A851}">
      <text>
        <r>
          <rPr>
            <sz val="11"/>
            <color theme="1"/>
            <rFont val="Calibri"/>
            <family val="2"/>
            <scheme val="minor"/>
          </rPr>
          <t>Sergio Cardozo:
CarolineLux
KellySanders
SabrinaCollins
HollyRogers
KendraNoa
AngelicaWinter</t>
        </r>
      </text>
    </comment>
    <comment ref="H14" authorId="27" shapeId="0" xr:uid="{EF4B19B0-E0EB-4B7B-BE5A-BCF1D110CAD4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L14" authorId="28" shapeId="0" xr:uid="{1F3B0CD3-14A8-40B1-AB9E-BEFBEA7F05E5}">
      <text>
        <t>[Threaded comment]
Your version of Excel allows you to read this threaded comment; however, any edits to it will get removed if the file is opened in a newer version of Excel. Learn more: https://go.microsoft.com/fwlink/?linkid=870924
Comment:
    BiancaxCastle</t>
      </text>
    </comment>
    <comment ref="N14" authorId="29" shapeId="0" xr:uid="{7E63A5A2-2D93-46EC-8F9C-61E795713B27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CW14" authorId="26" shapeId="0" xr:uid="{FF308DEB-E033-4EB9-8E01-00379474559B}">
      <text>
        <r>
          <rPr>
            <sz val="11"/>
            <color theme="1"/>
            <rFont val="Calibri"/>
            <family val="2"/>
            <scheme val="minor"/>
          </rPr>
          <t>Sergio Cardozo:
Elementos aseo general
Reparación baños</t>
        </r>
      </text>
    </comment>
    <comment ref="B15" authorId="30" shapeId="0" xr:uid="{7FD354D9-9DB4-4903-954B-7E52BDBBDDCD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D15" authorId="31" shapeId="0" xr:uid="{4F0B91A4-C538-4EF3-B737-865CB905CEB9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H15" authorId="32" shapeId="0" xr:uid="{5AB0A442-3883-493F-85BE-091BC7DA875E}">
      <text>
        <t>[Threaded comment]
Your version of Excel allows you to read this threaded comment; however, any edits to it will get removed if the file is opened in a newer version of Excel. Learn more: https://go.microsoft.com/fwlink/?linkid=870924
Comment:
    $MO12eliz</t>
      </text>
    </comment>
    <comment ref="N15" authorId="33" shapeId="0" xr:uid="{6C5CF49A-0E5F-466D-BD78-B2DCAB2D8539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X15" authorId="34" shapeId="0" xr:uid="{A2E6E0F2-323E-426D-A4EE-57A90FF29D8A}">
      <text>
        <t>[Threaded comment]
Your version of Excel allows you to read this threaded comment; however, any edits to it will get removed if the file is opened in a newer version of Excel. Learn more: https://go.microsoft.com/fwlink/?linkid=870924
Comment:
    MaitexFlores</t>
      </text>
    </comment>
    <comment ref="AK15" authorId="35" shapeId="0" xr:uid="{F5B558D2-0DF9-43EF-BCB8-F1380225A04D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G15" authorId="36" shapeId="0" xr:uid="{FDC0D092-7C77-4BD8-B824-A1884519A357}">
      <text>
        <t>[Threaded comment]
Your version of Excel allows you to read this threaded comment; however, any edits to it will get removed if the file is opened in a newer version of Excel. Learn more: https://go.microsoft.com/fwlink/?linkid=870924
Comment:
    MichellFlowers</t>
      </text>
    </comment>
    <comment ref="BU15" authorId="37" shapeId="0" xr:uid="{D59442AF-6E29-4960-BF1E-CF88D8CF5AE0}">
      <text>
        <t>[Threaded comment]
Your version of Excel allows you to read this threaded comment; however, any edits to it will get removed if the file is opened in a newer version of Excel. Learn more: https://go.microsoft.com/fwlink/?linkid=870924
Comment:
    :'$V5@iB550w</t>
      </text>
    </comment>
    <comment ref="H16" authorId="38" shapeId="0" xr:uid="{762D0E79-DC5D-4379-84C4-92FB6E233240}">
      <text>
        <t>[Threaded comment]
Your version of Excel allows you to read this threaded comment; however, any edits to it will get removed if the file is opened in a newer version of Excel. Learn more: https://go.microsoft.com/fwlink/?linkid=870924
Comment:
    Reactivar</t>
      </text>
    </comment>
    <comment ref="T17" authorId="39" shapeId="0" xr:uid="{579A0D4A-DF5D-4B30-949E-1C24836DE2CF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BC17" authorId="40" shapeId="0" xr:uid="{FC180575-7458-4CFF-944B-61F78D5B3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BO17" authorId="41" shapeId="0" xr:uid="{9CC2FFBF-B29B-4CB3-B621-B6D426477899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L18" authorId="42" shapeId="0" xr:uid="{DA2868E8-221F-460F-AB09-627B580DE070}">
      <text>
        <t>[Threaded comment]
Your version of Excel allows you to read this threaded comment; however, any edits to it will get removed if the file is opened in a newer version of Excel. Learn more: https://go.microsoft.com/fwlink/?linkid=870924
Comment:
    CarliMay
Paula912!</t>
      </text>
    </comment>
    <comment ref="AO18" authorId="43" shapeId="0" xr:uid="{14F46D69-B242-4748-B4E0-A10D6F1BC654}">
      <text>
        <t>[Threaded comment]
Your version of Excel allows you to read this threaded comment; however, any edits to it will get removed if the file is opened in a newer version of Excel. Learn more: https://go.microsoft.com/fwlink/?linkid=870924
Comment:
    LinaMOntes</t>
      </text>
    </comment>
    <comment ref="L19" authorId="44" shapeId="0" xr:uid="{833D84CC-C39E-4F16-A1EB-8B89FF01B393}">
      <text>
        <t>[Threaded comment]
Your version of Excel allows you to read this threaded comment; however, any edits to it will get removed if the file is opened in a newer version of Excel. Learn more: https://go.microsoft.com/fwlink/?linkid=870924
Comment:
    Quedo de User</t>
      </text>
    </comment>
    <comment ref="N19" authorId="45" shapeId="0" xr:uid="{1BD47674-C276-4CC8-8C7A-77CC1946968D}">
      <text>
        <t>[Threaded comment]
Your version of Excel allows you to read this threaded comment; however, any edits to it will get removed if the file is opened in a newer version of Excel. Learn more: https://go.microsoft.com/fwlink/?linkid=870924
Comment:
    M4</t>
      </text>
    </comment>
    <comment ref="L21" authorId="46" shapeId="0" xr:uid="{6B8EE2B1-41D5-4A30-97E8-5E9A1559D99D}">
      <text>
        <t>[Threaded comment]
Your version of Excel allows you to read this threaded comment; however, any edits to it will get removed if the file is opened in a newer version of Excel. Learn more: https://go.microsoft.com/fwlink/?linkid=870924
Comment:
    Arabella_
melanie1222</t>
      </text>
    </comment>
    <comment ref="BU21" authorId="47" shapeId="0" xr:uid="{360EFEC8-5C6C-4E06-9EC1-5E3D48A057B0}">
      <text>
        <t>[Threaded comment]
Your version of Excel allows you to read this threaded comment; however, any edits to it will get removed if the file is opened in a newer version of Excel. Learn more: https://go.microsoft.com/fwlink/?linkid=870924
Comment:
    x91FJoF3</t>
      </text>
    </comment>
    <comment ref="H22" authorId="48" shapeId="0" xr:uid="{D36E8A35-A627-4741-B42D-B5BD45DDEC21}">
      <text>
        <t>[Threaded comment]
Your version of Excel allows you to read this threaded comment; however, any edits to it will get removed if the file is opened in a newer version of Excel. Learn more: https://go.microsoft.com/fwlink/?linkid=870924
Comment:
    Re activar</t>
      </text>
    </comment>
    <comment ref="T22" authorId="49" shapeId="0" xr:uid="{9C85BAD3-1930-4123-92B4-465EED23FB56}">
      <text>
        <t>[Threaded comment]
Your version of Excel allows you to read this threaded comment; however, any edits to it will get removed if the file is opened in a newer version of Excel. Learn more: https://go.microsoft.com/fwlink/?linkid=870924
Comment:
    No la usa</t>
      </text>
    </comment>
    <comment ref="AW22" authorId="50" shapeId="0" xr:uid="{4180D584-F466-4AA3-AAA4-9699F8C1B69C}">
      <text>
        <t>[Threaded comment]
Your version of Excel allows you to read this threaded comment; however, any edits to it will get removed if the file is opened in a newer version of Excel. Learn more: https://go.microsoft.com/fwlink/?linkid=870924
Comment:
    KourtneyLobo</t>
      </text>
    </comment>
    <comment ref="BO22" authorId="51" shapeId="0" xr:uid="{2D96DFB9-D3B0-4807-8EC6-0458D15AE14F}">
      <text>
        <t>[Threaded comment]
Your version of Excel allows you to read this threaded comment; however, any edits to it will get removed if the file is opened in a newer version of Excel. Learn more: https://go.microsoft.com/fwlink/?linkid=870924
Comment:
    kourtneylobo
Reply:
    No la usa</t>
      </text>
    </comment>
    <comment ref="CK24" authorId="2" shapeId="0" xr:uid="{A9659596-BC92-4600-B355-9D300DE0F19D}">
      <text>
        <r>
          <rPr>
            <b/>
            <sz val="9"/>
            <color indexed="81"/>
            <rFont val="Tahoma"/>
            <charset val="1"/>
          </rPr>
          <t>julian valdivieso:</t>
        </r>
        <r>
          <rPr>
            <sz val="9"/>
            <color indexed="81"/>
            <rFont val="Tahoma"/>
            <charset val="1"/>
          </rPr>
          <t xml:space="preserve">
enviado nequi</t>
        </r>
      </text>
    </comment>
    <comment ref="CK25" authorId="2" shapeId="0" xr:uid="{64516C38-A0C2-4F71-95E5-0D0AD286953A}">
      <text>
        <r>
          <rPr>
            <b/>
            <sz val="9"/>
            <color indexed="81"/>
            <rFont val="Tahoma"/>
            <charset val="1"/>
          </rPr>
          <t>julian valdivieso:</t>
        </r>
        <r>
          <rPr>
            <sz val="9"/>
            <color indexed="81"/>
            <rFont val="Tahoma"/>
            <charset val="1"/>
          </rPr>
          <t xml:space="preserve">
enviado nequi</t>
        </r>
      </text>
    </comment>
    <comment ref="CK26" authorId="2" shapeId="0" xr:uid="{7B06907B-2753-415F-A53B-23415A68DD72}">
      <text>
        <r>
          <rPr>
            <b/>
            <sz val="9"/>
            <color indexed="81"/>
            <rFont val="Tahoma"/>
            <charset val="1"/>
          </rPr>
          <t>julian valdivieso:</t>
        </r>
        <r>
          <rPr>
            <sz val="9"/>
            <color indexed="81"/>
            <rFont val="Tahoma"/>
            <charset val="1"/>
          </rPr>
          <t xml:space="preserve">
enviado nequi</t>
        </r>
      </text>
    </comment>
    <comment ref="CK27" authorId="2" shapeId="0" xr:uid="{814E4CE4-1FF2-43C9-A585-4E3FEDA84A5E}">
      <text>
        <r>
          <rPr>
            <b/>
            <sz val="9"/>
            <color indexed="81"/>
            <rFont val="Tahoma"/>
            <charset val="1"/>
          </rPr>
          <t>julian valdivieso:</t>
        </r>
        <r>
          <rPr>
            <sz val="9"/>
            <color indexed="81"/>
            <rFont val="Tahoma"/>
            <charset val="1"/>
          </rPr>
          <t xml:space="preserve">
enviado nequi</t>
        </r>
      </text>
    </comment>
    <comment ref="CK28" authorId="2" shapeId="0" xr:uid="{35762984-7F20-4649-BC9C-621BF96AFBCA}">
      <text>
        <r>
          <rPr>
            <b/>
            <sz val="9"/>
            <color indexed="81"/>
            <rFont val="Tahoma"/>
            <charset val="1"/>
          </rPr>
          <t>julian valdivieso:</t>
        </r>
        <r>
          <rPr>
            <sz val="9"/>
            <color indexed="81"/>
            <rFont val="Tahoma"/>
            <charset val="1"/>
          </rPr>
          <t xml:space="preserve">
enviado nequi</t>
        </r>
      </text>
    </comment>
  </commentList>
</comments>
</file>

<file path=xl/sharedStrings.xml><?xml version="1.0" encoding="utf-8"?>
<sst xmlns="http://schemas.openxmlformats.org/spreadsheetml/2006/main" count="2052" uniqueCount="219">
  <si>
    <t>RATES</t>
  </si>
  <si>
    <t>En 15na a veces cambia los nombres a español</t>
  </si>
  <si>
    <t>Euro</t>
  </si>
  <si>
    <t>BP7BT7BX7</t>
  </si>
  <si>
    <t>DÓLAR</t>
  </si>
  <si>
    <t>GBP</t>
  </si>
  <si>
    <t>EUR</t>
  </si>
  <si>
    <t>HUF</t>
  </si>
  <si>
    <t>Cosmo</t>
  </si>
  <si>
    <t>todas deben tener</t>
  </si>
  <si>
    <t>Todas tienen</t>
  </si>
  <si>
    <t>Clave</t>
  </si>
  <si>
    <t>Correo</t>
  </si>
  <si>
    <t>DX</t>
  </si>
  <si>
    <t>XMO</t>
  </si>
  <si>
    <t>VX</t>
  </si>
  <si>
    <t>Skyprivated</t>
  </si>
  <si>
    <t>CMD</t>
  </si>
  <si>
    <t>Camlust</t>
  </si>
  <si>
    <t>Amateur</t>
  </si>
  <si>
    <t>Jasmin</t>
  </si>
  <si>
    <t>Mijin</t>
  </si>
  <si>
    <t>Dirty Fans</t>
  </si>
  <si>
    <t>CC</t>
  </si>
  <si>
    <t>Br Off</t>
  </si>
  <si>
    <t>Hegre</t>
  </si>
  <si>
    <t>Aduldwork</t>
  </si>
  <si>
    <t>SuperFoon</t>
  </si>
  <si>
    <t>FLIRTBEES</t>
  </si>
  <si>
    <t>Mow</t>
  </si>
  <si>
    <t>Modelka</t>
  </si>
  <si>
    <t>APN HUF</t>
  </si>
  <si>
    <t>FireCast</t>
  </si>
  <si>
    <t>SECRET</t>
  </si>
  <si>
    <t>MFC | CHATUR | STRIP</t>
  </si>
  <si>
    <t>ADELANTOS Totales</t>
  </si>
  <si>
    <t>EPS Mes Adelanto</t>
  </si>
  <si>
    <t>AdelantoP1</t>
  </si>
  <si>
    <t>PagoQ1</t>
  </si>
  <si>
    <t>AdelantoP2</t>
  </si>
  <si>
    <t>PagoQ2</t>
  </si>
  <si>
    <t>SHOPQ1</t>
  </si>
  <si>
    <t>SHOP Q2</t>
  </si>
  <si>
    <t>PUNTAJE</t>
  </si>
  <si>
    <t>ENVIADO PAXUM USD</t>
  </si>
  <si>
    <t>P1</t>
  </si>
  <si>
    <t>P2</t>
  </si>
  <si>
    <t>PROFIT MODELO</t>
  </si>
  <si>
    <t>PROFIT AGENCIA</t>
  </si>
  <si>
    <t>PAGO FINAL MODELO</t>
  </si>
  <si>
    <t>GASTOS</t>
  </si>
  <si>
    <t>PUNTOS 1</t>
  </si>
  <si>
    <t>PUNTOS 2</t>
  </si>
  <si>
    <t>USD 1</t>
  </si>
  <si>
    <t>USD 2</t>
  </si>
  <si>
    <t>P1 EUR</t>
  </si>
  <si>
    <t>P2 EUR</t>
  </si>
  <si>
    <t>USD 12</t>
  </si>
  <si>
    <t>USD 23</t>
  </si>
  <si>
    <t>USD</t>
  </si>
  <si>
    <t>P1 EUR4</t>
  </si>
  <si>
    <t>P2 EUR5</t>
  </si>
  <si>
    <t>USD 16</t>
  </si>
  <si>
    <t>USD 27</t>
  </si>
  <si>
    <t>EUR8</t>
  </si>
  <si>
    <t>USD9</t>
  </si>
  <si>
    <t>P1 EUR10</t>
  </si>
  <si>
    <t>P2 EUR11</t>
  </si>
  <si>
    <t>USD 112</t>
  </si>
  <si>
    <t>USD 213</t>
  </si>
  <si>
    <t>BONUS 6%</t>
  </si>
  <si>
    <t>USD 114</t>
  </si>
  <si>
    <t>USD 215</t>
  </si>
  <si>
    <t>P1 75%</t>
  </si>
  <si>
    <t>P2 75%</t>
  </si>
  <si>
    <t>USD 116</t>
  </si>
  <si>
    <t>USD 217</t>
  </si>
  <si>
    <t>P12</t>
  </si>
  <si>
    <t>P24</t>
  </si>
  <si>
    <t>USD 120</t>
  </si>
  <si>
    <t>USD 221</t>
  </si>
  <si>
    <t>P1 EUR5</t>
  </si>
  <si>
    <t>P2 EUR6</t>
  </si>
  <si>
    <t>USD 124</t>
  </si>
  <si>
    <t>USD 225</t>
  </si>
  <si>
    <t>P126</t>
  </si>
  <si>
    <t>P227</t>
  </si>
  <si>
    <t>P128</t>
  </si>
  <si>
    <t>P229</t>
  </si>
  <si>
    <t>P22</t>
  </si>
  <si>
    <t>Total</t>
  </si>
  <si>
    <t>P23</t>
  </si>
  <si>
    <t>Total32</t>
  </si>
  <si>
    <t>P14</t>
  </si>
  <si>
    <t>P25</t>
  </si>
  <si>
    <t>BRL</t>
  </si>
  <si>
    <t>USD35</t>
  </si>
  <si>
    <t>P17</t>
  </si>
  <si>
    <t>P28</t>
  </si>
  <si>
    <t>P1 GBP</t>
  </si>
  <si>
    <t>P2 GBP</t>
  </si>
  <si>
    <t>USD 138</t>
  </si>
  <si>
    <t>USD 239</t>
  </si>
  <si>
    <t>Eur2</t>
  </si>
  <si>
    <t>VIP</t>
  </si>
  <si>
    <t>Eur240</t>
  </si>
  <si>
    <t>VIP41</t>
  </si>
  <si>
    <t>points</t>
  </si>
  <si>
    <t>TOTAL42</t>
  </si>
  <si>
    <t>P29</t>
  </si>
  <si>
    <t>EurP2</t>
  </si>
  <si>
    <t>P1 USD</t>
  </si>
  <si>
    <t xml:space="preserve">USD </t>
  </si>
  <si>
    <t>P1 TKNS</t>
  </si>
  <si>
    <t>P2 TKNS</t>
  </si>
  <si>
    <t>USD 150</t>
  </si>
  <si>
    <t>USD 251</t>
  </si>
  <si>
    <t>Arriendo</t>
  </si>
  <si>
    <t>ana57228</t>
  </si>
  <si>
    <t>kendranoa</t>
  </si>
  <si>
    <t>Luz</t>
  </si>
  <si>
    <t>Silvia518!</t>
  </si>
  <si>
    <t>EvaDave</t>
  </si>
  <si>
    <t>Agua</t>
  </si>
  <si>
    <t>Laura169!</t>
  </si>
  <si>
    <t>ZoeyHarper</t>
  </si>
  <si>
    <t>Gas</t>
  </si>
  <si>
    <t>Rosisela381!</t>
  </si>
  <si>
    <t>KatieNight</t>
  </si>
  <si>
    <t>psicología</t>
  </si>
  <si>
    <t>Zaydit861!</t>
  </si>
  <si>
    <t>HollyRogers</t>
  </si>
  <si>
    <t>Sergio</t>
  </si>
  <si>
    <t>dajaira612</t>
  </si>
  <si>
    <t>sabrinacollins</t>
  </si>
  <si>
    <t>movistar</t>
  </si>
  <si>
    <t>Andrea515!</t>
  </si>
  <si>
    <t>amykroker</t>
  </si>
  <si>
    <t>Jardinería</t>
  </si>
  <si>
    <t>jeny6840</t>
  </si>
  <si>
    <t>MaryLight</t>
  </si>
  <si>
    <t>Fotografía</t>
  </si>
  <si>
    <t>Gampa298</t>
  </si>
  <si>
    <t>LillyFlame</t>
  </si>
  <si>
    <t>Otros</t>
  </si>
  <si>
    <t>Yeraldine188!</t>
  </si>
  <si>
    <t>BiancaCastle</t>
  </si>
  <si>
    <t>Aseo</t>
  </si>
  <si>
    <t>Diana157!</t>
  </si>
  <si>
    <t>emmarichter</t>
  </si>
  <si>
    <t>Slendy735!</t>
  </si>
  <si>
    <t>roselestrange</t>
  </si>
  <si>
    <t>Solo paginas nuevas</t>
  </si>
  <si>
    <t>Elizabeth881!</t>
  </si>
  <si>
    <t>maiteflores</t>
  </si>
  <si>
    <t>Jeimy171!</t>
  </si>
  <si>
    <t>alissonklein</t>
  </si>
  <si>
    <t>Alejandra662!</t>
  </si>
  <si>
    <t>dakotajohnson</t>
  </si>
  <si>
    <t>No sale en el master de DX, pero si tiene plata...</t>
  </si>
  <si>
    <t>Silvia950!</t>
  </si>
  <si>
    <t>zoeuwu</t>
  </si>
  <si>
    <t>Juliana155!</t>
  </si>
  <si>
    <t>ambarjackson</t>
  </si>
  <si>
    <t>Daira363!</t>
  </si>
  <si>
    <t>loisangel</t>
  </si>
  <si>
    <t>Modlk, CC, Ama</t>
  </si>
  <si>
    <t>Wendy748!</t>
  </si>
  <si>
    <t>kimkraus</t>
  </si>
  <si>
    <t>SF, 777... tal vez DX</t>
  </si>
  <si>
    <t>Daniela946!</t>
  </si>
  <si>
    <t>BlackDahlia</t>
  </si>
  <si>
    <t>TOTAL WEB</t>
  </si>
  <si>
    <t>OUT</t>
  </si>
  <si>
    <t>IN</t>
  </si>
  <si>
    <t>PROFIT</t>
  </si>
  <si>
    <t>Karen450!</t>
  </si>
  <si>
    <t>sarabusch</t>
  </si>
  <si>
    <t>Paula912!</t>
  </si>
  <si>
    <t>xleamontx</t>
  </si>
  <si>
    <t>Johana902!</t>
  </si>
  <si>
    <t>cherryblack</t>
  </si>
  <si>
    <t xml:space="preserve">Revisar VX </t>
  </si>
  <si>
    <t>Camila130!</t>
  </si>
  <si>
    <t>ashleyklein</t>
  </si>
  <si>
    <t>14,0,7</t>
  </si>
  <si>
    <t>Cristina008!</t>
  </si>
  <si>
    <t>rubyryder</t>
  </si>
  <si>
    <t>Geraldine810!</t>
  </si>
  <si>
    <t>madisoncollins</t>
  </si>
  <si>
    <t>Lesly489!</t>
  </si>
  <si>
    <t>emmadarkness</t>
  </si>
  <si>
    <t>Toca pasarla a Cosito (satelites)</t>
  </si>
  <si>
    <t>AngieC963!</t>
  </si>
  <si>
    <t>lindseyceleste</t>
  </si>
  <si>
    <t>Shirley220!</t>
  </si>
  <si>
    <t>Ashleyrouser</t>
  </si>
  <si>
    <t>No pude entrar a la cuenta de kendra</t>
  </si>
  <si>
    <t>BIG7</t>
  </si>
  <si>
    <t>PORCENTAJE 70/30</t>
  </si>
  <si>
    <t>melanie355</t>
  </si>
  <si>
    <t>angelicawinter</t>
  </si>
  <si>
    <t>Angye923!</t>
  </si>
  <si>
    <t>kourtneywolf</t>
  </si>
  <si>
    <t>KarolT616!</t>
  </si>
  <si>
    <t>LudovicaRey</t>
  </si>
  <si>
    <t>JesykaN139!</t>
  </si>
  <si>
    <t>keylalevy</t>
  </si>
  <si>
    <t>LiveCreator</t>
  </si>
  <si>
    <t>LittlePenelope</t>
  </si>
  <si>
    <t>DF fraude</t>
  </si>
  <si>
    <t>0.79</t>
  </si>
  <si>
    <t>226.19</t>
  </si>
  <si>
    <t>YefrainyMD287!</t>
  </si>
  <si>
    <t>carolinelux</t>
  </si>
  <si>
    <t>LuisanaC711!</t>
  </si>
  <si>
    <t>oceanlepard</t>
  </si>
  <si>
    <t>MariaC696!</t>
  </si>
  <si>
    <t>kellysanders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</si>
</sst>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&quot;$&quot;\ #,##0.00;[Red]\-&quot;$&quot;\ #,##0.00"/>
    <numFmt numFmtId="165" formatCode="_-&quot;$&quot;\ * #,##0.00_-;\-&quot;$&quot;\ * #,##0.00_-;_-&quot;$&quot;\ * &quot;-&quot;??_-;_-@_-"/>
    <numFmt numFmtId="166" formatCode="_-&quot;$&quot;* #,##0_-;\-&quot;$&quot;* #,##0_-;_-&quot;$&quot;* &quot;-&quot;_-;_-@_-"/>
    <numFmt numFmtId="167" formatCode="_-[$$-240A]\ * #,##0.00_-;\-[$$-240A]\ * #,##0.00_-;_-[$$-240A]\ * &quot;-&quot;??_-;_-@_-"/>
    <numFmt numFmtId="168" formatCode="0.0000"/>
    <numFmt numFmtId="169" formatCode="_-&quot;$&quot;* #,##0.00_-;\-&quot;$&quot;* #,##0.00_-;_-&quot;$&quot;* &quot;-&quot;_-;_-@_-"/>
    <numFmt numFmtId="170" formatCode="_-&quot;$&quot;\ * #,##0_-;\-&quot;$&quot;\ * #,##0_-;_-&quot;$&quot;\ * &quot;-&quot;??_-;_-@_-"/>
    <numFmt numFmtId="171" formatCode="_-[$$-409]* #,##0_ ;_-[$$-409]* \-#,##0\ ;_-[$$-409]* &quot;-&quot;??_ ;_-@_ "/>
    <numFmt numFmtId="172" formatCode="0.0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Segoe UI"/>
      <family val="2"/>
    </font>
    <font>
      <b/>
      <sz val="20"/>
      <color theme="1"/>
      <name val="Calibri"/>
      <family val="2"/>
      <scheme val="minor"/>
    </font>
    <font>
      <b/>
      <sz val="20"/>
      <color theme="1"/>
      <name val="Calibri"/>
      <family val="2"/>
    </font>
    <font>
      <b/>
      <sz val="20"/>
      <name val="Calibri"/>
      <family val="2"/>
    </font>
    <font>
      <b/>
      <sz val="2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4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rgb="FF0061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Calibri"/>
      <family val="2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Arial"/>
      <family val="2"/>
    </font>
    <font>
      <b/>
      <sz val="10"/>
      <name val="Calibri"/>
      <family val="2"/>
      <scheme val="minor"/>
    </font>
    <font>
      <b/>
      <sz val="11"/>
      <name val="Roboto"/>
    </font>
    <font>
      <b/>
      <sz val="36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8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4"/>
      <color rgb="FF9C6500"/>
      <name val="Roboto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0" tint="-4.9989318521683403E-2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4A8F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rgb="FFFF3399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CFA8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theme="0" tint="-0.14999847407452621"/>
      </patternFill>
    </fill>
    <fill>
      <patternFill patternType="solid">
        <fgColor theme="8" tint="0.39997558519241921"/>
        <bgColor theme="0" tint="-0.14999847407452621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 style="thin">
        <color theme="4" tint="0.39997558519241921"/>
      </left>
      <right style="thin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167" fontId="3" fillId="3" borderId="0" applyNumberFormat="0" applyBorder="0" applyAlignment="0" applyProtection="0"/>
    <xf numFmtId="167" fontId="34" fillId="4" borderId="0" applyNumberFormat="0" applyBorder="0" applyAlignment="0" applyProtection="0"/>
    <xf numFmtId="167" fontId="1" fillId="6" borderId="2" applyNumberFormat="0" applyFont="0" applyAlignment="0" applyProtection="0"/>
    <xf numFmtId="167" fontId="38" fillId="0" borderId="0" applyNumberFormat="0" applyFill="0" applyBorder="0" applyAlignment="0" applyProtection="0"/>
    <xf numFmtId="0" fontId="41" fillId="5" borderId="1" applyNumberFormat="0" applyAlignment="0" applyProtection="0"/>
    <xf numFmtId="0" fontId="44" fillId="4" borderId="0" applyNumberFormat="0" applyBorder="0" applyAlignment="0" applyProtection="0"/>
    <xf numFmtId="0" fontId="38" fillId="0" borderId="0" applyNumberFormat="0" applyFill="0" applyBorder="0" applyAlignment="0" applyProtection="0"/>
    <xf numFmtId="0" fontId="1" fillId="0" borderId="0"/>
  </cellStyleXfs>
  <cellXfs count="233">
    <xf numFmtId="0" fontId="0" fillId="0" borderId="0" xfId="0"/>
    <xf numFmtId="2" fontId="0" fillId="0" borderId="0" xfId="3" applyNumberFormat="1" applyFont="1"/>
    <xf numFmtId="166" fontId="0" fillId="0" borderId="0" xfId="3" applyFont="1"/>
    <xf numFmtId="2" fontId="11" fillId="11" borderId="8" xfId="3" applyNumberFormat="1" applyFont="1" applyFill="1" applyBorder="1" applyAlignment="1">
      <alignment horizontal="center" vertical="center" wrapText="1"/>
    </xf>
    <xf numFmtId="2" fontId="6" fillId="0" borderId="0" xfId="3" applyNumberFormat="1" applyFont="1" applyAlignment="1">
      <alignment horizontal="center" vertical="center"/>
    </xf>
    <xf numFmtId="169" fontId="0" fillId="0" borderId="0" xfId="3" applyNumberFormat="1" applyFont="1" applyAlignment="1">
      <alignment vertical="center"/>
    </xf>
    <xf numFmtId="166" fontId="0" fillId="0" borderId="0" xfId="3" applyFont="1" applyAlignment="1">
      <alignment vertical="center"/>
    </xf>
    <xf numFmtId="169" fontId="6" fillId="0" borderId="0" xfId="3" applyNumberFormat="1" applyFont="1" applyAlignment="1">
      <alignment horizontal="center" vertical="center"/>
    </xf>
    <xf numFmtId="169" fontId="20" fillId="0" borderId="0" xfId="3" applyNumberFormat="1" applyFont="1" applyAlignment="1">
      <alignment vertical="center"/>
    </xf>
    <xf numFmtId="2" fontId="0" fillId="0" borderId="0" xfId="3" applyNumberFormat="1" applyFont="1" applyAlignment="1">
      <alignment horizontal="center" vertical="center"/>
    </xf>
    <xf numFmtId="2" fontId="13" fillId="0" borderId="0" xfId="3" applyNumberFormat="1" applyFont="1" applyAlignment="1">
      <alignment horizontal="center" vertical="center" wrapText="1"/>
    </xf>
    <xf numFmtId="166" fontId="23" fillId="10" borderId="0" xfId="3" applyFont="1" applyFill="1" applyAlignment="1">
      <alignment horizontal="center" vertical="center" wrapText="1"/>
    </xf>
    <xf numFmtId="2" fontId="24" fillId="0" borderId="0" xfId="3" applyNumberFormat="1" applyFont="1"/>
    <xf numFmtId="0" fontId="26" fillId="0" borderId="0" xfId="0" applyFont="1" applyAlignment="1">
      <alignment vertical="top"/>
    </xf>
    <xf numFmtId="0" fontId="28" fillId="0" borderId="0" xfId="0" applyFont="1" applyAlignment="1">
      <alignment vertical="top"/>
    </xf>
    <xf numFmtId="2" fontId="4" fillId="0" borderId="0" xfId="3" applyNumberFormat="1" applyFont="1"/>
    <xf numFmtId="166" fontId="24" fillId="0" borderId="0" xfId="3" applyFont="1"/>
    <xf numFmtId="1" fontId="4" fillId="0" borderId="0" xfId="3" applyNumberFormat="1" applyFont="1" applyAlignment="1">
      <alignment horizontal="center" vertical="center"/>
    </xf>
    <xf numFmtId="2" fontId="0" fillId="0" borderId="11" xfId="3" applyNumberFormat="1" applyFont="1" applyBorder="1"/>
    <xf numFmtId="169" fontId="0" fillId="0" borderId="13" xfId="3" applyNumberFormat="1" applyFont="1" applyBorder="1" applyAlignment="1">
      <alignment vertical="center"/>
    </xf>
    <xf numFmtId="169" fontId="19" fillId="0" borderId="3" xfId="3" applyNumberFormat="1" applyFont="1" applyBorder="1" applyAlignment="1">
      <alignment horizontal="center" vertical="center"/>
    </xf>
    <xf numFmtId="2" fontId="13" fillId="6" borderId="6" xfId="7" applyNumberFormat="1" applyFont="1" applyBorder="1" applyAlignment="1">
      <alignment horizontal="center" vertical="center" wrapText="1"/>
    </xf>
    <xf numFmtId="2" fontId="13" fillId="6" borderId="8" xfId="7" applyNumberFormat="1" applyFont="1" applyBorder="1" applyAlignment="1">
      <alignment horizontal="center" vertical="center" wrapText="1"/>
    </xf>
    <xf numFmtId="2" fontId="12" fillId="6" borderId="8" xfId="7" applyNumberFormat="1" applyFont="1" applyBorder="1" applyAlignment="1">
      <alignment horizontal="center" vertical="center" wrapText="1"/>
    </xf>
    <xf numFmtId="2" fontId="13" fillId="6" borderId="7" xfId="7" applyNumberFormat="1" applyFont="1" applyBorder="1" applyAlignment="1">
      <alignment horizontal="center" vertical="center" wrapText="1"/>
    </xf>
    <xf numFmtId="2" fontId="0" fillId="0" borderId="9" xfId="3" applyNumberFormat="1" applyFont="1" applyBorder="1"/>
    <xf numFmtId="2" fontId="14" fillId="7" borderId="0" xfId="0" applyNumberFormat="1" applyFont="1" applyFill="1" applyAlignment="1">
      <alignment horizontal="left" vertical="center"/>
    </xf>
    <xf numFmtId="2" fontId="36" fillId="14" borderId="18" xfId="3" applyNumberFormat="1" applyFont="1" applyFill="1" applyBorder="1" applyAlignment="1">
      <alignment horizontal="center" vertical="center"/>
    </xf>
    <xf numFmtId="0" fontId="40" fillId="14" borderId="18" xfId="8" applyNumberFormat="1" applyFont="1" applyFill="1" applyBorder="1" applyAlignment="1">
      <alignment horizontal="center" vertical="center"/>
    </xf>
    <xf numFmtId="2" fontId="39" fillId="14" borderId="18" xfId="3" applyNumberFormat="1" applyFont="1" applyFill="1" applyBorder="1" applyAlignment="1">
      <alignment horizontal="center" vertical="center"/>
    </xf>
    <xf numFmtId="2" fontId="39" fillId="14" borderId="0" xfId="3" applyNumberFormat="1" applyFont="1" applyFill="1"/>
    <xf numFmtId="0" fontId="2" fillId="5" borderId="1" xfId="4" applyNumberFormat="1" applyFill="1" applyBorder="1"/>
    <xf numFmtId="2" fontId="5" fillId="0" borderId="0" xfId="3" applyNumberFormat="1" applyFont="1" applyAlignment="1">
      <alignment horizontal="center" vertical="center"/>
    </xf>
    <xf numFmtId="2" fontId="6" fillId="7" borderId="0" xfId="3" applyNumberFormat="1" applyFont="1" applyFill="1" applyAlignment="1">
      <alignment horizontal="center" vertical="center"/>
    </xf>
    <xf numFmtId="2" fontId="37" fillId="7" borderId="0" xfId="3" applyNumberFormat="1" applyFont="1" applyFill="1" applyAlignment="1">
      <alignment horizontal="center" vertical="center"/>
    </xf>
    <xf numFmtId="0" fontId="37" fillId="7" borderId="0" xfId="4" applyNumberFormat="1" applyFont="1" applyFill="1" applyAlignment="1">
      <alignment horizontal="center" vertical="center"/>
    </xf>
    <xf numFmtId="2" fontId="0" fillId="7" borderId="0" xfId="3" applyNumberFormat="1" applyFont="1" applyFill="1"/>
    <xf numFmtId="0" fontId="2" fillId="7" borderId="0" xfId="4" applyNumberFormat="1" applyFill="1" applyAlignment="1">
      <alignment wrapText="1"/>
    </xf>
    <xf numFmtId="0" fontId="2" fillId="5" borderId="17" xfId="4" applyNumberFormat="1" applyFill="1" applyBorder="1"/>
    <xf numFmtId="0" fontId="2" fillId="5" borderId="16" xfId="4" applyNumberFormat="1" applyFill="1" applyBorder="1"/>
    <xf numFmtId="2" fontId="25" fillId="0" borderId="0" xfId="3" applyNumberFormat="1" applyFont="1"/>
    <xf numFmtId="166" fontId="27" fillId="0" borderId="0" xfId="3" applyFont="1"/>
    <xf numFmtId="166" fontId="23" fillId="0" borderId="0" xfId="3" applyFont="1"/>
    <xf numFmtId="0" fontId="7" fillId="0" borderId="0" xfId="0" applyFont="1" applyAlignment="1">
      <alignment vertical="center"/>
    </xf>
    <xf numFmtId="0" fontId="43" fillId="0" borderId="0" xfId="0" applyFont="1" applyAlignment="1">
      <alignment wrapText="1"/>
    </xf>
    <xf numFmtId="0" fontId="34" fillId="4" borderId="2" xfId="6" applyNumberFormat="1" applyBorder="1" applyAlignment="1">
      <alignment horizontal="left"/>
    </xf>
    <xf numFmtId="0" fontId="41" fillId="5" borderId="1" xfId="9"/>
    <xf numFmtId="166" fontId="31" fillId="13" borderId="15" xfId="3" applyFont="1" applyFill="1" applyBorder="1" applyAlignment="1"/>
    <xf numFmtId="170" fontId="6" fillId="0" borderId="0" xfId="2" applyNumberFormat="1" applyFont="1"/>
    <xf numFmtId="170" fontId="49" fillId="12" borderId="11" xfId="2" applyNumberFormat="1" applyFont="1" applyFill="1" applyBorder="1" applyAlignment="1">
      <alignment horizontal="center" vertical="center" wrapText="1"/>
    </xf>
    <xf numFmtId="2" fontId="47" fillId="12" borderId="0" xfId="3" applyNumberFormat="1" applyFont="1" applyFill="1" applyBorder="1" applyAlignment="1">
      <alignment horizontal="center" vertical="center" wrapText="1"/>
    </xf>
    <xf numFmtId="2" fontId="47" fillId="12" borderId="10" xfId="3" applyNumberFormat="1" applyFont="1" applyFill="1" applyBorder="1" applyAlignment="1">
      <alignment horizontal="center" vertical="center" wrapText="1"/>
    </xf>
    <xf numFmtId="2" fontId="37" fillId="16" borderId="0" xfId="3" applyNumberFormat="1" applyFont="1" applyFill="1" applyBorder="1" applyAlignment="1">
      <alignment horizontal="center" vertical="center" wrapText="1"/>
    </xf>
    <xf numFmtId="170" fontId="6" fillId="17" borderId="15" xfId="2" applyNumberFormat="1" applyFont="1" applyFill="1" applyBorder="1" applyAlignment="1">
      <alignment horizontal="center" vertical="center"/>
    </xf>
    <xf numFmtId="170" fontId="15" fillId="17" borderId="15" xfId="2" applyNumberFormat="1" applyFont="1" applyFill="1" applyBorder="1"/>
    <xf numFmtId="170" fontId="4" fillId="8" borderId="15" xfId="2" applyNumberFormat="1" applyFont="1" applyFill="1" applyBorder="1"/>
    <xf numFmtId="0" fontId="32" fillId="3" borderId="15" xfId="5" applyNumberFormat="1" applyFont="1" applyBorder="1" applyAlignment="1">
      <alignment horizontal="left"/>
    </xf>
    <xf numFmtId="166" fontId="33" fillId="3" borderId="15" xfId="3" applyFont="1" applyFill="1" applyBorder="1" applyAlignment="1">
      <alignment vertical="center"/>
    </xf>
    <xf numFmtId="0" fontId="35" fillId="4" borderId="15" xfId="6" applyNumberFormat="1" applyFont="1" applyBorder="1" applyAlignment="1">
      <alignment horizontal="left"/>
    </xf>
    <xf numFmtId="0" fontId="48" fillId="9" borderId="15" xfId="3" applyNumberFormat="1" applyFont="1" applyFill="1" applyBorder="1" applyAlignment="1">
      <alignment horizontal="left"/>
    </xf>
    <xf numFmtId="2" fontId="15" fillId="11" borderId="8" xfId="3" applyNumberFormat="1" applyFont="1" applyFill="1" applyBorder="1" applyAlignment="1">
      <alignment horizontal="center" vertical="center"/>
    </xf>
    <xf numFmtId="165" fontId="15" fillId="17" borderId="18" xfId="2" applyFont="1" applyFill="1" applyBorder="1" applyAlignment="1">
      <alignment horizontal="center" vertical="center"/>
    </xf>
    <xf numFmtId="2" fontId="17" fillId="0" borderId="8" xfId="3" applyNumberFormat="1" applyFont="1" applyBorder="1" applyAlignment="1">
      <alignment horizontal="center" vertical="center"/>
    </xf>
    <xf numFmtId="2" fontId="0" fillId="0" borderId="8" xfId="3" applyNumberFormat="1" applyFont="1" applyBorder="1"/>
    <xf numFmtId="170" fontId="50" fillId="8" borderId="18" xfId="2" applyNumberFormat="1" applyFont="1" applyFill="1" applyBorder="1" applyAlignment="1" applyProtection="1">
      <alignment horizontal="left"/>
      <protection locked="0"/>
    </xf>
    <xf numFmtId="170" fontId="6" fillId="17" borderId="20" xfId="2" applyNumberFormat="1" applyFont="1" applyFill="1" applyBorder="1" applyAlignment="1">
      <alignment horizontal="center" vertical="center"/>
    </xf>
    <xf numFmtId="170" fontId="15" fillId="17" borderId="20" xfId="2" applyNumberFormat="1" applyFont="1" applyFill="1" applyBorder="1"/>
    <xf numFmtId="170" fontId="4" fillId="8" borderId="20" xfId="2" applyNumberFormat="1" applyFont="1" applyFill="1" applyBorder="1"/>
    <xf numFmtId="165" fontId="6" fillId="0" borderId="15" xfId="2" applyFont="1" applyBorder="1" applyAlignment="1">
      <alignment horizontal="center" vertical="center"/>
    </xf>
    <xf numFmtId="2" fontId="6" fillId="0" borderId="15" xfId="3" applyNumberFormat="1" applyFont="1" applyBorder="1"/>
    <xf numFmtId="166" fontId="18" fillId="2" borderId="15" xfId="3" applyFont="1" applyFill="1" applyBorder="1"/>
    <xf numFmtId="0" fontId="34" fillId="4" borderId="19" xfId="6" applyNumberFormat="1" applyBorder="1" applyAlignment="1"/>
    <xf numFmtId="170" fontId="6" fillId="0" borderId="15" xfId="2" applyNumberFormat="1" applyFont="1" applyFill="1" applyBorder="1" applyAlignment="1">
      <alignment horizontal="center" vertical="center"/>
    </xf>
    <xf numFmtId="170" fontId="15" fillId="0" borderId="20" xfId="2" applyNumberFormat="1" applyFont="1" applyFill="1" applyBorder="1"/>
    <xf numFmtId="170" fontId="15" fillId="0" borderId="15" xfId="2" applyNumberFormat="1" applyFont="1" applyFill="1" applyBorder="1"/>
    <xf numFmtId="165" fontId="15" fillId="0" borderId="18" xfId="2" applyFont="1" applyFill="1" applyBorder="1" applyAlignment="1">
      <alignment horizontal="center" vertical="center"/>
    </xf>
    <xf numFmtId="170" fontId="48" fillId="9" borderId="15" xfId="2" applyNumberFormat="1" applyFont="1" applyFill="1" applyBorder="1" applyAlignment="1"/>
    <xf numFmtId="165" fontId="15" fillId="15" borderId="12" xfId="2" applyFont="1" applyFill="1" applyBorder="1" applyAlignment="1">
      <alignment horizontal="center" vertical="center"/>
    </xf>
    <xf numFmtId="2" fontId="21" fillId="0" borderId="0" xfId="3" applyNumberFormat="1" applyFont="1"/>
    <xf numFmtId="2" fontId="52" fillId="0" borderId="0" xfId="8" applyNumberFormat="1" applyFont="1"/>
    <xf numFmtId="170" fontId="19" fillId="0" borderId="0" xfId="2" applyNumberFormat="1" applyFont="1"/>
    <xf numFmtId="2" fontId="6" fillId="11" borderId="14" xfId="3" applyNumberFormat="1" applyFont="1" applyFill="1" applyBorder="1" applyAlignment="1">
      <alignment horizontal="center" vertical="center"/>
    </xf>
    <xf numFmtId="2" fontId="51" fillId="19" borderId="21" xfId="3" applyNumberFormat="1" applyFont="1" applyFill="1" applyBorder="1" applyAlignment="1">
      <alignment horizontal="center" vertical="center"/>
    </xf>
    <xf numFmtId="2" fontId="51" fillId="19" borderId="6" xfId="3" applyNumberFormat="1" applyFont="1" applyFill="1" applyBorder="1" applyAlignment="1">
      <alignment horizontal="center" vertical="center"/>
    </xf>
    <xf numFmtId="2" fontId="22" fillId="19" borderId="6" xfId="3" applyNumberFormat="1" applyFont="1" applyFill="1" applyBorder="1" applyAlignment="1">
      <alignment horizontal="center" vertical="center"/>
    </xf>
    <xf numFmtId="2" fontId="22" fillId="19" borderId="21" xfId="3" applyNumberFormat="1" applyFont="1" applyFill="1" applyBorder="1" applyAlignment="1">
      <alignment horizontal="center" vertical="center"/>
    </xf>
    <xf numFmtId="2" fontId="51" fillId="19" borderId="26" xfId="3" applyNumberFormat="1" applyFont="1" applyFill="1" applyBorder="1" applyAlignment="1">
      <alignment horizontal="center" vertical="center"/>
    </xf>
    <xf numFmtId="2" fontId="0" fillId="0" borderId="0" xfId="3" applyNumberFormat="1" applyFont="1" applyFill="1"/>
    <xf numFmtId="0" fontId="15" fillId="0" borderId="25" xfId="0" applyFont="1" applyBorder="1"/>
    <xf numFmtId="2" fontId="6" fillId="0" borderId="14" xfId="3" applyNumberFormat="1" applyFont="1" applyFill="1" applyBorder="1" applyAlignment="1">
      <alignment horizontal="center" vertical="center"/>
    </xf>
    <xf numFmtId="2" fontId="6" fillId="0" borderId="15" xfId="3" applyNumberFormat="1" applyFont="1" applyFill="1" applyBorder="1"/>
    <xf numFmtId="170" fontId="4" fillId="0" borderId="20" xfId="2" applyNumberFormat="1" applyFont="1" applyFill="1" applyBorder="1"/>
    <xf numFmtId="2" fontId="41" fillId="5" borderId="1" xfId="9" applyNumberFormat="1"/>
    <xf numFmtId="2" fontId="34" fillId="4" borderId="0" xfId="6" applyNumberFormat="1" applyBorder="1" applyAlignment="1">
      <alignment horizontal="left" vertical="center"/>
    </xf>
    <xf numFmtId="0" fontId="34" fillId="4" borderId="1" xfId="6" applyNumberFormat="1" applyBorder="1"/>
    <xf numFmtId="0" fontId="41" fillId="5" borderId="1" xfId="9" applyNumberFormat="1"/>
    <xf numFmtId="2" fontId="5" fillId="21" borderId="18" xfId="3" applyNumberFormat="1" applyFont="1" applyFill="1" applyBorder="1" applyAlignment="1">
      <alignment horizontal="center" vertical="center"/>
    </xf>
    <xf numFmtId="0" fontId="5" fillId="21" borderId="18" xfId="3" applyNumberFormat="1" applyFont="1" applyFill="1" applyBorder="1" applyAlignment="1">
      <alignment horizontal="center" vertical="center"/>
    </xf>
    <xf numFmtId="2" fontId="53" fillId="20" borderId="22" xfId="3" applyNumberFormat="1" applyFont="1" applyFill="1" applyBorder="1" applyAlignment="1">
      <alignment horizontal="center" vertical="center"/>
    </xf>
    <xf numFmtId="2" fontId="53" fillId="22" borderId="22" xfId="3" applyNumberFormat="1" applyFont="1" applyFill="1" applyBorder="1" applyAlignment="1">
      <alignment horizontal="center" vertical="center"/>
    </xf>
    <xf numFmtId="2" fontId="53" fillId="20" borderId="23" xfId="3" applyNumberFormat="1" applyFont="1" applyFill="1" applyBorder="1"/>
    <xf numFmtId="2" fontId="53" fillId="20" borderId="24" xfId="3" applyNumberFormat="1" applyFont="1" applyFill="1" applyBorder="1"/>
    <xf numFmtId="165" fontId="53" fillId="20" borderId="22" xfId="2" applyFont="1" applyFill="1" applyBorder="1" applyAlignment="1">
      <alignment horizontal="center" wrapText="1"/>
    </xf>
    <xf numFmtId="2" fontId="53" fillId="20" borderId="22" xfId="0" applyNumberFormat="1" applyFont="1" applyFill="1" applyBorder="1" applyAlignment="1">
      <alignment horizontal="center"/>
    </xf>
    <xf numFmtId="2" fontId="53" fillId="20" borderId="22" xfId="3" applyNumberFormat="1" applyFont="1" applyFill="1" applyBorder="1"/>
    <xf numFmtId="43" fontId="53" fillId="22" borderId="22" xfId="1" applyFont="1" applyFill="1" applyBorder="1" applyAlignment="1">
      <alignment horizontal="center" vertical="center"/>
    </xf>
    <xf numFmtId="1" fontId="53" fillId="20" borderId="22" xfId="3" applyNumberFormat="1" applyFont="1" applyFill="1" applyBorder="1" applyAlignment="1">
      <alignment horizontal="center" vertical="center"/>
    </xf>
    <xf numFmtId="2" fontId="53" fillId="20" borderId="18" xfId="3" applyNumberFormat="1" applyFont="1" applyFill="1" applyBorder="1" applyAlignment="1">
      <alignment horizontal="center" vertical="center"/>
    </xf>
    <xf numFmtId="2" fontId="53" fillId="22" borderId="22" xfId="0" applyNumberFormat="1" applyFont="1" applyFill="1" applyBorder="1" applyAlignment="1">
      <alignment horizontal="center"/>
    </xf>
    <xf numFmtId="1" fontId="53" fillId="22" borderId="22" xfId="3" applyNumberFormat="1" applyFont="1" applyFill="1" applyBorder="1" applyAlignment="1">
      <alignment horizontal="center" vertical="center"/>
    </xf>
    <xf numFmtId="2" fontId="53" fillId="20" borderId="15" xfId="3" applyNumberFormat="1" applyFont="1" applyFill="1" applyBorder="1"/>
    <xf numFmtId="2" fontId="53" fillId="22" borderId="15" xfId="3" applyNumberFormat="1" applyFont="1" applyFill="1" applyBorder="1"/>
    <xf numFmtId="1" fontId="53" fillId="20" borderId="15" xfId="3" applyNumberFormat="1" applyFont="1" applyFill="1" applyBorder="1"/>
    <xf numFmtId="1" fontId="53" fillId="22" borderId="15" xfId="3" applyNumberFormat="1" applyFont="1" applyFill="1" applyBorder="1"/>
    <xf numFmtId="170" fontId="15" fillId="15" borderId="12" xfId="2" applyNumberFormat="1" applyFont="1" applyFill="1" applyBorder="1" applyAlignment="1">
      <alignment horizontal="center" vertical="center"/>
    </xf>
    <xf numFmtId="171" fontId="30" fillId="8" borderId="18" xfId="2" applyNumberFormat="1" applyFont="1" applyFill="1" applyBorder="1" applyAlignment="1" applyProtection="1">
      <alignment horizontal="right"/>
      <protection locked="0"/>
    </xf>
    <xf numFmtId="171" fontId="4" fillId="8" borderId="20" xfId="2" applyNumberFormat="1" applyFont="1" applyFill="1" applyBorder="1"/>
    <xf numFmtId="171" fontId="4" fillId="0" borderId="20" xfId="2" applyNumberFormat="1" applyFont="1" applyFill="1" applyBorder="1"/>
    <xf numFmtId="171" fontId="4" fillId="8" borderId="15" xfId="2" applyNumberFormat="1" applyFont="1" applyFill="1" applyBorder="1"/>
    <xf numFmtId="2" fontId="53" fillId="22" borderId="15" xfId="3" applyNumberFormat="1" applyFont="1" applyFill="1" applyBorder="1" applyAlignment="1">
      <alignment horizontal="center" vertical="center"/>
    </xf>
    <xf numFmtId="2" fontId="53" fillId="20" borderId="15" xfId="0" applyNumberFormat="1" applyFont="1" applyFill="1" applyBorder="1" applyAlignment="1">
      <alignment horizontal="center" wrapText="1"/>
    </xf>
    <xf numFmtId="2" fontId="53" fillId="20" borderId="15" xfId="3" applyNumberFormat="1" applyFont="1" applyFill="1" applyBorder="1" applyAlignment="1">
      <alignment horizontal="center" vertical="center"/>
    </xf>
    <xf numFmtId="0" fontId="53" fillId="22" borderId="15" xfId="0" applyFont="1" applyFill="1" applyBorder="1"/>
    <xf numFmtId="0" fontId="53" fillId="20" borderId="15" xfId="0" applyFont="1" applyFill="1" applyBorder="1"/>
    <xf numFmtId="2" fontId="16" fillId="0" borderId="8" xfId="3" applyNumberFormat="1" applyFont="1" applyFill="1" applyBorder="1" applyAlignment="1">
      <alignment horizontal="center" vertical="center"/>
    </xf>
    <xf numFmtId="170" fontId="54" fillId="0" borderId="20" xfId="2" applyNumberFormat="1" applyFont="1" applyFill="1" applyBorder="1"/>
    <xf numFmtId="171" fontId="55" fillId="0" borderId="0" xfId="3" applyNumberFormat="1" applyFont="1"/>
    <xf numFmtId="171" fontId="4" fillId="0" borderId="0" xfId="3" applyNumberFormat="1" applyFont="1"/>
    <xf numFmtId="2" fontId="51" fillId="19" borderId="11" xfId="3" applyNumberFormat="1" applyFont="1" applyFill="1" applyBorder="1" applyAlignment="1">
      <alignment horizontal="center" vertical="center"/>
    </xf>
    <xf numFmtId="2" fontId="51" fillId="19" borderId="27" xfId="3" applyNumberFormat="1" applyFont="1" applyFill="1" applyBorder="1" applyAlignment="1">
      <alignment horizontal="center" vertical="center"/>
    </xf>
    <xf numFmtId="164" fontId="53" fillId="20" borderId="15" xfId="0" applyNumberFormat="1" applyFont="1" applyFill="1" applyBorder="1" applyAlignment="1">
      <alignment horizontal="center" wrapText="1"/>
    </xf>
    <xf numFmtId="164" fontId="53" fillId="22" borderId="15" xfId="0" applyNumberFormat="1" applyFont="1" applyFill="1" applyBorder="1" applyAlignment="1">
      <alignment horizontal="center" wrapText="1"/>
    </xf>
    <xf numFmtId="0" fontId="7" fillId="0" borderId="0" xfId="0" applyFont="1"/>
    <xf numFmtId="170" fontId="15" fillId="0" borderId="15" xfId="2" applyNumberFormat="1" applyFont="1" applyBorder="1"/>
    <xf numFmtId="1" fontId="37" fillId="23" borderId="1" xfId="9" applyNumberFormat="1" applyFont="1" applyFill="1" applyAlignment="1">
      <alignment horizontal="center" vertical="center"/>
    </xf>
    <xf numFmtId="168" fontId="37" fillId="23" borderId="1" xfId="9" applyNumberFormat="1" applyFont="1" applyFill="1" applyAlignment="1">
      <alignment horizontal="center" vertical="center"/>
    </xf>
    <xf numFmtId="0" fontId="37" fillId="23" borderId="1" xfId="9" applyFont="1" applyFill="1" applyAlignment="1">
      <alignment horizontal="center" vertical="center"/>
    </xf>
    <xf numFmtId="2" fontId="37" fillId="23" borderId="1" xfId="9" applyNumberFormat="1" applyFont="1" applyFill="1" applyAlignment="1">
      <alignment horizontal="center" vertical="center"/>
    </xf>
    <xf numFmtId="1" fontId="42" fillId="24" borderId="1" xfId="9" applyNumberFormat="1" applyFont="1" applyFill="1" applyAlignment="1">
      <alignment horizontal="center" vertical="center"/>
    </xf>
    <xf numFmtId="168" fontId="42" fillId="24" borderId="1" xfId="9" applyNumberFormat="1" applyFont="1" applyFill="1" applyAlignment="1">
      <alignment horizontal="center" vertical="center"/>
    </xf>
    <xf numFmtId="2" fontId="42" fillId="24" borderId="1" xfId="9" applyNumberFormat="1" applyFont="1" applyFill="1" applyAlignment="1">
      <alignment horizontal="center" vertical="center"/>
    </xf>
    <xf numFmtId="2" fontId="51" fillId="7" borderId="21" xfId="3" applyNumberFormat="1" applyFont="1" applyFill="1" applyBorder="1" applyAlignment="1">
      <alignment horizontal="center" vertical="center"/>
    </xf>
    <xf numFmtId="2" fontId="53" fillId="7" borderId="22" xfId="3" applyNumberFormat="1" applyFont="1" applyFill="1" applyBorder="1"/>
    <xf numFmtId="166" fontId="6" fillId="2" borderId="15" xfId="3" applyFont="1" applyFill="1" applyBorder="1"/>
    <xf numFmtId="1" fontId="50" fillId="25" borderId="1" xfId="9" applyNumberFormat="1" applyFont="1" applyFill="1" applyAlignment="1">
      <alignment horizontal="center" vertical="center"/>
    </xf>
    <xf numFmtId="168" fontId="50" fillId="25" borderId="1" xfId="9" applyNumberFormat="1" applyFont="1" applyFill="1" applyAlignment="1">
      <alignment horizontal="center" vertical="center"/>
    </xf>
    <xf numFmtId="2" fontId="50" fillId="25" borderId="1" xfId="9" applyNumberFormat="1" applyFont="1" applyFill="1" applyAlignment="1">
      <alignment horizontal="center" vertical="center"/>
    </xf>
    <xf numFmtId="172" fontId="6" fillId="2" borderId="15" xfId="3" applyNumberFormat="1" applyFont="1" applyFill="1" applyBorder="1"/>
    <xf numFmtId="2" fontId="51" fillId="7" borderId="6" xfId="3" applyNumberFormat="1" applyFont="1" applyFill="1" applyBorder="1" applyAlignment="1">
      <alignment horizontal="center" vertical="center"/>
    </xf>
    <xf numFmtId="2" fontId="53" fillId="7" borderId="22" xfId="3" applyNumberFormat="1" applyFont="1" applyFill="1" applyBorder="1" applyAlignment="1">
      <alignment horizontal="center" vertical="center"/>
    </xf>
    <xf numFmtId="1" fontId="37" fillId="26" borderId="1" xfId="9" applyNumberFormat="1" applyFont="1" applyFill="1" applyAlignment="1">
      <alignment horizontal="center" vertical="center"/>
    </xf>
    <xf numFmtId="168" fontId="37" fillId="26" borderId="1" xfId="9" applyNumberFormat="1" applyFont="1" applyFill="1" applyAlignment="1">
      <alignment horizontal="center" vertical="center"/>
    </xf>
    <xf numFmtId="0" fontId="37" fillId="26" borderId="1" xfId="9" applyFont="1" applyFill="1" applyAlignment="1">
      <alignment horizontal="center" vertical="center"/>
    </xf>
    <xf numFmtId="2" fontId="37" fillId="26" borderId="1" xfId="9" applyNumberFormat="1" applyFont="1" applyFill="1" applyAlignment="1">
      <alignment horizontal="center" vertical="center"/>
    </xf>
    <xf numFmtId="1" fontId="37" fillId="27" borderId="1" xfId="9" applyNumberFormat="1" applyFont="1" applyFill="1" applyAlignment="1">
      <alignment horizontal="center" vertical="center"/>
    </xf>
    <xf numFmtId="168" fontId="37" fillId="27" borderId="1" xfId="9" applyNumberFormat="1" applyFont="1" applyFill="1" applyAlignment="1">
      <alignment horizontal="center" vertical="center"/>
    </xf>
    <xf numFmtId="0" fontId="37" fillId="27" borderId="1" xfId="9" applyNumberFormat="1" applyFont="1" applyFill="1" applyAlignment="1">
      <alignment horizontal="center" vertical="center"/>
    </xf>
    <xf numFmtId="2" fontId="37" fillId="27" borderId="1" xfId="9" applyNumberFormat="1" applyFont="1" applyFill="1" applyAlignment="1">
      <alignment horizontal="center" vertical="center"/>
    </xf>
    <xf numFmtId="1" fontId="50" fillId="28" borderId="1" xfId="9" applyNumberFormat="1" applyFont="1" applyFill="1" applyAlignment="1">
      <alignment horizontal="center" vertical="center"/>
    </xf>
    <xf numFmtId="168" fontId="50" fillId="28" borderId="1" xfId="9" applyNumberFormat="1" applyFont="1" applyFill="1" applyAlignment="1">
      <alignment horizontal="center" vertical="center"/>
    </xf>
    <xf numFmtId="2" fontId="50" fillId="28" borderId="1" xfId="9" applyNumberFormat="1" applyFont="1" applyFill="1" applyAlignment="1">
      <alignment horizontal="center" vertical="center"/>
    </xf>
    <xf numFmtId="2" fontId="0" fillId="0" borderId="11" xfId="3" applyNumberFormat="1" applyFont="1" applyBorder="1" applyAlignment="1">
      <alignment wrapText="1"/>
    </xf>
    <xf numFmtId="1" fontId="37" fillId="13" borderId="1" xfId="9" applyNumberFormat="1" applyFont="1" applyFill="1" applyAlignment="1">
      <alignment horizontal="center" vertical="center"/>
    </xf>
    <xf numFmtId="168" fontId="37" fillId="13" borderId="1" xfId="9" applyNumberFormat="1" applyFont="1" applyFill="1" applyAlignment="1">
      <alignment horizontal="center" vertical="center"/>
    </xf>
    <xf numFmtId="0" fontId="37" fillId="13" borderId="1" xfId="9" applyNumberFormat="1" applyFont="1" applyFill="1" applyAlignment="1">
      <alignment horizontal="center" vertical="center"/>
    </xf>
    <xf numFmtId="2" fontId="37" fillId="13" borderId="1" xfId="9" applyNumberFormat="1" applyFont="1" applyFill="1" applyAlignment="1">
      <alignment horizontal="center" vertical="center"/>
    </xf>
    <xf numFmtId="1" fontId="50" fillId="29" borderId="1" xfId="9" applyNumberFormat="1" applyFont="1" applyFill="1" applyAlignment="1">
      <alignment horizontal="center" vertical="center"/>
    </xf>
    <xf numFmtId="168" fontId="50" fillId="29" borderId="1" xfId="9" applyNumberFormat="1" applyFont="1" applyFill="1" applyAlignment="1">
      <alignment horizontal="center" vertical="center"/>
    </xf>
    <xf numFmtId="2" fontId="50" fillId="29" borderId="1" xfId="9" applyNumberFormat="1" applyFont="1" applyFill="1" applyAlignment="1">
      <alignment horizontal="center" vertical="center"/>
    </xf>
    <xf numFmtId="0" fontId="19" fillId="30" borderId="0" xfId="0" applyFont="1" applyFill="1"/>
    <xf numFmtId="0" fontId="19" fillId="31" borderId="0" xfId="0" applyFont="1" applyFill="1" applyAlignment="1">
      <alignment horizontal="left"/>
    </xf>
    <xf numFmtId="2" fontId="56" fillId="29" borderId="11" xfId="3" applyNumberFormat="1" applyFont="1" applyFill="1" applyBorder="1"/>
    <xf numFmtId="2" fontId="21" fillId="0" borderId="0" xfId="3" applyNumberFormat="1" applyFont="1" applyAlignment="1">
      <alignment wrapText="1"/>
    </xf>
    <xf numFmtId="43" fontId="53" fillId="29" borderId="22" xfId="1" applyFont="1" applyFill="1" applyBorder="1" applyAlignment="1">
      <alignment horizontal="center" vertical="center"/>
    </xf>
    <xf numFmtId="1" fontId="37" fillId="32" borderId="1" xfId="9" applyNumberFormat="1" applyFont="1" applyFill="1" applyAlignment="1">
      <alignment horizontal="center" vertical="center"/>
    </xf>
    <xf numFmtId="168" fontId="37" fillId="32" borderId="1" xfId="9" applyNumberFormat="1" applyFont="1" applyFill="1" applyAlignment="1">
      <alignment horizontal="center" vertical="center"/>
    </xf>
    <xf numFmtId="0" fontId="37" fillId="32" borderId="1" xfId="9" applyNumberFormat="1" applyFont="1" applyFill="1" applyAlignment="1">
      <alignment horizontal="center" vertical="center"/>
    </xf>
    <xf numFmtId="2" fontId="37" fillId="32" borderId="1" xfId="9" applyNumberFormat="1" applyFont="1" applyFill="1" applyAlignment="1">
      <alignment horizontal="center" vertical="center"/>
    </xf>
    <xf numFmtId="2" fontId="38" fillId="5" borderId="1" xfId="8" applyNumberFormat="1" applyFill="1" applyBorder="1"/>
    <xf numFmtId="1" fontId="50" fillId="33" borderId="1" xfId="9" applyNumberFormat="1" applyFont="1" applyFill="1" applyAlignment="1">
      <alignment horizontal="center" vertical="center"/>
    </xf>
    <xf numFmtId="168" fontId="50" fillId="33" borderId="1" xfId="9" applyNumberFormat="1" applyFont="1" applyFill="1" applyAlignment="1">
      <alignment horizontal="center" vertical="center"/>
    </xf>
    <xf numFmtId="2" fontId="50" fillId="33" borderId="1" xfId="9" applyNumberFormat="1" applyFont="1" applyFill="1" applyAlignment="1">
      <alignment horizontal="center" vertical="center"/>
    </xf>
    <xf numFmtId="0" fontId="37" fillId="32" borderId="1" xfId="9" applyFont="1" applyFill="1" applyAlignment="1">
      <alignment horizontal="center" vertical="center"/>
    </xf>
    <xf numFmtId="1" fontId="37" fillId="34" borderId="1" xfId="9" applyNumberFormat="1" applyFont="1" applyFill="1" applyAlignment="1">
      <alignment horizontal="center" vertical="center"/>
    </xf>
    <xf numFmtId="168" fontId="37" fillId="34" borderId="1" xfId="9" applyNumberFormat="1" applyFont="1" applyFill="1" applyAlignment="1">
      <alignment horizontal="center" vertical="center"/>
    </xf>
    <xf numFmtId="0" fontId="37" fillId="34" borderId="1" xfId="9" applyNumberFormat="1" applyFont="1" applyFill="1" applyAlignment="1">
      <alignment horizontal="center" vertical="center"/>
    </xf>
    <xf numFmtId="2" fontId="37" fillId="34" borderId="1" xfId="9" applyNumberFormat="1" applyFont="1" applyFill="1" applyAlignment="1">
      <alignment horizontal="center" vertical="center"/>
    </xf>
    <xf numFmtId="1" fontId="50" fillId="10" borderId="1" xfId="9" applyNumberFormat="1" applyFont="1" applyFill="1" applyAlignment="1">
      <alignment horizontal="center" vertical="center"/>
    </xf>
    <xf numFmtId="168" fontId="50" fillId="10" borderId="1" xfId="9" applyNumberFormat="1" applyFont="1" applyFill="1" applyAlignment="1">
      <alignment horizontal="center" vertical="center"/>
    </xf>
    <xf numFmtId="2" fontId="50" fillId="10" borderId="1" xfId="9" applyNumberFormat="1" applyFont="1" applyFill="1" applyAlignment="1">
      <alignment horizontal="center" vertical="center"/>
    </xf>
    <xf numFmtId="1" fontId="37" fillId="35" borderId="1" xfId="9" applyNumberFormat="1" applyFont="1" applyFill="1" applyAlignment="1">
      <alignment horizontal="center" vertical="center"/>
    </xf>
    <xf numFmtId="168" fontId="37" fillId="35" borderId="1" xfId="9" applyNumberFormat="1" applyFont="1" applyFill="1" applyAlignment="1">
      <alignment horizontal="center" vertical="center"/>
    </xf>
    <xf numFmtId="0" fontId="37" fillId="35" borderId="1" xfId="9" applyNumberFormat="1" applyFont="1" applyFill="1" applyAlignment="1">
      <alignment horizontal="center" vertical="center"/>
    </xf>
    <xf numFmtId="2" fontId="37" fillId="35" borderId="1" xfId="9" applyNumberFormat="1" applyFont="1" applyFill="1" applyAlignment="1">
      <alignment horizontal="center" vertical="center"/>
    </xf>
    <xf numFmtId="2" fontId="53" fillId="29" borderId="22" xfId="3" applyNumberFormat="1" applyFont="1" applyFill="1" applyBorder="1" applyAlignment="1">
      <alignment horizontal="center" vertical="center"/>
    </xf>
    <xf numFmtId="43" fontId="53" fillId="14" borderId="22" xfId="1" applyFont="1" applyFill="1" applyBorder="1" applyAlignment="1">
      <alignment horizontal="center" vertical="center"/>
    </xf>
    <xf numFmtId="1" fontId="37" fillId="36" borderId="1" xfId="9" applyNumberFormat="1" applyFont="1" applyFill="1" applyAlignment="1">
      <alignment horizontal="center" vertical="center"/>
    </xf>
    <xf numFmtId="168" fontId="37" fillId="36" borderId="1" xfId="9" applyNumberFormat="1" applyFont="1" applyFill="1" applyAlignment="1">
      <alignment horizontal="center" vertical="center"/>
    </xf>
    <xf numFmtId="0" fontId="37" fillId="36" borderId="1" xfId="9" applyNumberFormat="1" applyFont="1" applyFill="1" applyAlignment="1">
      <alignment horizontal="center" vertical="center"/>
    </xf>
    <xf numFmtId="2" fontId="37" fillId="36" borderId="1" xfId="9" applyNumberFormat="1" applyFont="1" applyFill="1" applyAlignment="1">
      <alignment horizontal="center" vertical="center"/>
    </xf>
    <xf numFmtId="1" fontId="50" fillId="37" borderId="1" xfId="9" applyNumberFormat="1" applyFont="1" applyFill="1" applyAlignment="1">
      <alignment horizontal="center" vertical="center"/>
    </xf>
    <xf numFmtId="168" fontId="50" fillId="37" borderId="1" xfId="9" applyNumberFormat="1" applyFont="1" applyFill="1" applyAlignment="1">
      <alignment horizontal="center" vertical="center"/>
    </xf>
    <xf numFmtId="2" fontId="50" fillId="37" borderId="1" xfId="9" applyNumberFormat="1" applyFont="1" applyFill="1" applyAlignment="1">
      <alignment horizontal="center" vertical="center"/>
    </xf>
    <xf numFmtId="2" fontId="0" fillId="0" borderId="0" xfId="3" applyNumberFormat="1" applyFont="1" applyAlignment="1">
      <alignment wrapText="1"/>
    </xf>
    <xf numFmtId="2" fontId="11" fillId="18" borderId="6" xfId="3" applyNumberFormat="1" applyFont="1" applyFill="1" applyBorder="1" applyAlignment="1">
      <alignment horizontal="center" vertical="center"/>
    </xf>
    <xf numFmtId="2" fontId="11" fillId="18" borderId="8" xfId="3" applyNumberFormat="1" applyFont="1" applyFill="1" applyBorder="1" applyAlignment="1">
      <alignment horizontal="center" vertical="center"/>
    </xf>
    <xf numFmtId="2" fontId="8" fillId="18" borderId="8" xfId="3" applyNumberFormat="1" applyFont="1" applyFill="1" applyBorder="1" applyAlignment="1">
      <alignment horizontal="center" vertical="center"/>
    </xf>
    <xf numFmtId="2" fontId="11" fillId="18" borderId="7" xfId="3" applyNumberFormat="1" applyFont="1" applyFill="1" applyBorder="1" applyAlignment="1">
      <alignment horizontal="center" vertical="center"/>
    </xf>
    <xf numFmtId="2" fontId="11" fillId="18" borderId="4" xfId="3" applyNumberFormat="1" applyFont="1" applyFill="1" applyBorder="1" applyAlignment="1">
      <alignment horizontal="center" vertical="center" wrapText="1"/>
    </xf>
    <xf numFmtId="2" fontId="11" fillId="18" borderId="9" xfId="3" applyNumberFormat="1" applyFont="1" applyFill="1" applyBorder="1" applyAlignment="1">
      <alignment horizontal="center" vertical="center" wrapText="1"/>
    </xf>
    <xf numFmtId="2" fontId="9" fillId="18" borderId="28" xfId="3" applyNumberFormat="1" applyFont="1" applyFill="1" applyBorder="1" applyAlignment="1">
      <alignment horizontal="center" vertical="center"/>
    </xf>
    <xf numFmtId="2" fontId="9" fillId="18" borderId="29" xfId="3" applyNumberFormat="1" applyFont="1" applyFill="1" applyBorder="1" applyAlignment="1">
      <alignment horizontal="center" vertical="center"/>
    </xf>
    <xf numFmtId="2" fontId="9" fillId="18" borderId="30" xfId="3" applyNumberFormat="1" applyFont="1" applyFill="1" applyBorder="1" applyAlignment="1">
      <alignment horizontal="center" vertical="center"/>
    </xf>
    <xf numFmtId="1" fontId="11" fillId="18" borderId="4" xfId="3" applyNumberFormat="1" applyFont="1" applyFill="1" applyBorder="1" applyAlignment="1">
      <alignment horizontal="center" vertical="center"/>
    </xf>
    <xf numFmtId="1" fontId="11" fillId="18" borderId="5" xfId="3" applyNumberFormat="1" applyFont="1" applyFill="1" applyBorder="1" applyAlignment="1">
      <alignment horizontal="center" vertical="center"/>
    </xf>
    <xf numFmtId="2" fontId="10" fillId="18" borderId="6" xfId="3" applyNumberFormat="1" applyFont="1" applyFill="1" applyBorder="1" applyAlignment="1">
      <alignment horizontal="center" vertical="center"/>
    </xf>
    <xf numFmtId="2" fontId="10" fillId="18" borderId="8" xfId="3" applyNumberFormat="1" applyFont="1" applyFill="1" applyBorder="1" applyAlignment="1">
      <alignment horizontal="center" vertical="center"/>
    </xf>
    <xf numFmtId="2" fontId="8" fillId="18" borderId="6" xfId="3" applyNumberFormat="1" applyFont="1" applyFill="1" applyBorder="1" applyAlignment="1">
      <alignment horizontal="center" vertical="center" wrapText="1"/>
    </xf>
    <xf numFmtId="2" fontId="8" fillId="18" borderId="7" xfId="3" applyNumberFormat="1" applyFont="1" applyFill="1" applyBorder="1" applyAlignment="1">
      <alignment horizontal="center" vertical="center" wrapText="1"/>
    </xf>
    <xf numFmtId="2" fontId="11" fillId="18" borderId="6" xfId="3" applyNumberFormat="1" applyFont="1" applyFill="1" applyBorder="1" applyAlignment="1">
      <alignment horizontal="center" vertical="center" wrapText="1"/>
    </xf>
    <xf numFmtId="2" fontId="11" fillId="18" borderId="7" xfId="3" applyNumberFormat="1" applyFont="1" applyFill="1" applyBorder="1" applyAlignment="1">
      <alignment horizontal="center" vertical="center" wrapText="1"/>
    </xf>
    <xf numFmtId="2" fontId="11" fillId="18" borderId="8" xfId="3" applyNumberFormat="1" applyFont="1" applyFill="1" applyBorder="1" applyAlignment="1">
      <alignment horizontal="center" vertical="center" wrapText="1"/>
    </xf>
    <xf numFmtId="2" fontId="10" fillId="18" borderId="7" xfId="3" applyNumberFormat="1" applyFont="1" applyFill="1" applyBorder="1" applyAlignment="1">
      <alignment horizontal="center" vertical="center"/>
    </xf>
    <xf numFmtId="2" fontId="12" fillId="18" borderId="6" xfId="3" applyNumberFormat="1" applyFont="1" applyFill="1" applyBorder="1" applyAlignment="1">
      <alignment horizontal="center" vertical="center" wrapText="1"/>
    </xf>
    <xf numFmtId="2" fontId="12" fillId="18" borderId="8" xfId="3" applyNumberFormat="1" applyFont="1" applyFill="1" applyBorder="1" applyAlignment="1">
      <alignment horizontal="center" vertical="center" wrapText="1"/>
    </xf>
    <xf numFmtId="2" fontId="29" fillId="6" borderId="6" xfId="7" applyNumberFormat="1" applyFont="1" applyBorder="1" applyAlignment="1">
      <alignment horizontal="center" vertical="center" wrapText="1"/>
    </xf>
    <xf numFmtId="2" fontId="29" fillId="6" borderId="8" xfId="7" applyNumberFormat="1" applyFont="1" applyBorder="1" applyAlignment="1">
      <alignment horizontal="center" vertical="center" wrapText="1"/>
    </xf>
    <xf numFmtId="2" fontId="11" fillId="18" borderId="4" xfId="3" applyNumberFormat="1" applyFont="1" applyFill="1" applyBorder="1" applyAlignment="1">
      <alignment horizontal="center" vertical="center"/>
    </xf>
    <xf numFmtId="2" fontId="11" fillId="18" borderId="9" xfId="3" applyNumberFormat="1" applyFont="1" applyFill="1" applyBorder="1" applyAlignment="1">
      <alignment horizontal="center" vertical="center"/>
    </xf>
    <xf numFmtId="2" fontId="11" fillId="18" borderId="5" xfId="3" applyNumberFormat="1" applyFont="1" applyFill="1" applyBorder="1" applyAlignment="1">
      <alignment horizontal="center" vertical="center"/>
    </xf>
    <xf numFmtId="2" fontId="11" fillId="18" borderId="5" xfId="3" applyNumberFormat="1" applyFont="1" applyFill="1" applyBorder="1" applyAlignment="1">
      <alignment horizontal="center" vertical="center" wrapText="1"/>
    </xf>
    <xf numFmtId="2" fontId="10" fillId="18" borderId="4" xfId="3" applyNumberFormat="1" applyFont="1" applyFill="1" applyBorder="1" applyAlignment="1">
      <alignment horizontal="center" vertical="center"/>
    </xf>
    <xf numFmtId="2" fontId="10" fillId="18" borderId="5" xfId="3" applyNumberFormat="1" applyFont="1" applyFill="1" applyBorder="1" applyAlignment="1">
      <alignment horizontal="center" vertical="center"/>
    </xf>
  </cellXfs>
  <cellStyles count="13">
    <cellStyle name="Cálculo" xfId="9" builtinId="22"/>
    <cellStyle name="Encabezado 4" xfId="4" builtinId="19"/>
    <cellStyle name="Hipervínculo" xfId="8" builtinId="8"/>
    <cellStyle name="Hipervínculo 2" xfId="11" xr:uid="{EB087CE3-FFCF-43E2-859D-6CE3AD5E5C93}"/>
    <cellStyle name="Incorrecto" xfId="5" builtinId="27"/>
    <cellStyle name="Millares" xfId="1" builtinId="3"/>
    <cellStyle name="Moneda" xfId="2" builtinId="4"/>
    <cellStyle name="Moneda [0]" xfId="3" builtinId="7"/>
    <cellStyle name="Neutral" xfId="6" builtinId="28"/>
    <cellStyle name="Neutral 2" xfId="10" xr:uid="{CAAA041D-3863-4B1E-A21F-8ED5BE025D10}"/>
    <cellStyle name="Normal" xfId="0" builtinId="0"/>
    <cellStyle name="Normal 3" xfId="12" xr:uid="{E54CF28B-1AAC-46C1-8374-8E97C4B5C61C}"/>
    <cellStyle name="Notas" xfId="7" builtinId="10"/>
  </cellStyles>
  <dxfs count="295"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studio.imlive.com/#/Studio/Statistics/StudioPerformance" TargetMode="External"/><Relationship Id="rId3" Type="http://schemas.openxmlformats.org/officeDocument/2006/relationships/hyperlink" Target="https://www.mondocamgirls.com/en/areacamgirl.html" TargetMode="External"/><Relationship Id="rId7" Type="http://schemas.openxmlformats.org/officeDocument/2006/relationships/hyperlink" Target="https://showsoft.777livecams.com/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hyperlink" Target="http://admin.910work.com/eng/performer_search.php?action=view&amp;menu_type=py&amp;user_all=1&amp;search_type=pf_timecard&amp;points_type=&amp;display_type=hist&amp;search=Search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://www.amateurcommunity.com/studio/?site=amateurs&amp;exec=add" TargetMode="External"/><Relationship Id="rId5" Type="http://schemas.openxmlformats.org/officeDocument/2006/relationships/hyperlink" Target="https://es.mydirtyhobby.com/statistics/" TargetMode="External"/><Relationship Id="rId15" Type="http://schemas.openxmlformats.org/officeDocument/2006/relationships/hyperlink" Target="https://www.camcontacts.com/studio/logon.html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s://master.vxmodels.com/login?from=/listing" TargetMode="Externa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F228F3-2DCB-4988-ABAE-338EB3F40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DB3F3D9-3D68-452C-9C8C-F97095A57F83}"/>
            </a:ext>
            <a:ext uri="{147F2762-F138-4A5C-976F-8EAC2B608ADB}">
              <a16:predDERef xmlns:a16="http://schemas.microsoft.com/office/drawing/2014/main" pred="{8EF228F3-2DCB-4988-ABAE-338EB3F40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6F0B697-18DC-41AE-9C95-94D9B33481A6}"/>
            </a:ext>
            <a:ext uri="{147F2762-F138-4A5C-976F-8EAC2B608ADB}">
              <a16:predDERef xmlns:a16="http://schemas.microsoft.com/office/drawing/2014/main" pred="{ADB3F3D9-3D68-452C-9C8C-F97095A57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BA25EC0-1BD1-41E7-8ADF-ACB8D12F8D6F}"/>
            </a:ext>
            <a:ext uri="{147F2762-F138-4A5C-976F-8EAC2B608ADB}">
              <a16:predDERef xmlns:a16="http://schemas.microsoft.com/office/drawing/2014/main" pred="{B6F0B697-18DC-41AE-9C95-94D9B3348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4631198-E218-4097-BAFE-6A2169918B5D}"/>
            </a:ext>
            <a:ext uri="{147F2762-F138-4A5C-976F-8EAC2B608ADB}">
              <a16:predDERef xmlns:a16="http://schemas.microsoft.com/office/drawing/2014/main" pred="{6BA25EC0-1BD1-41E7-8ADF-ACB8D12F8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3F78E6-DEA9-4883-BF21-5958004D897E}"/>
            </a:ext>
            <a:ext uri="{147F2762-F138-4A5C-976F-8EAC2B608ADB}">
              <a16:predDERef xmlns:a16="http://schemas.microsoft.com/office/drawing/2014/main" pred="{44631198-E218-4097-BAFE-6A2169918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20531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3A315AA-C50F-42AC-9111-F60725BFEBCF}"/>
            </a:ext>
            <a:ext uri="{147F2762-F138-4A5C-976F-8EAC2B608ADB}">
              <a16:predDERef xmlns:a16="http://schemas.microsoft.com/office/drawing/2014/main" pred="{F73F78E6-DEA9-4883-BF21-5958004D8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08769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1A68FA9-44BB-4E14-9411-6ED7C141819C}"/>
            </a:ext>
            <a:ext uri="{147F2762-F138-4A5C-976F-8EAC2B608ADB}">
              <a16:predDERef xmlns:a16="http://schemas.microsoft.com/office/drawing/2014/main" pred="{23A315AA-C50F-42AC-9111-F60725BFE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55741" y="284811"/>
          <a:ext cx="2339259" cy="4191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8EBF54-730B-423E-A615-BCF8A3CC6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7D1D49-D237-4965-A58B-2AFCF88059A7}"/>
            </a:ext>
            <a:ext uri="{147F2762-F138-4A5C-976F-8EAC2B608ADB}">
              <a16:predDERef xmlns:a16="http://schemas.microsoft.com/office/drawing/2014/main" pred="{ED8EBF54-730B-423E-A615-BCF8A3CC6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D76001F-9BB3-481F-9F94-155BEEF51F37}"/>
            </a:ext>
            <a:ext uri="{147F2762-F138-4A5C-976F-8EAC2B608ADB}">
              <a16:predDERef xmlns:a16="http://schemas.microsoft.com/office/drawing/2014/main" pred="{1E7D1D49-D237-4965-A58B-2AFCF8805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4F135DD-329F-4221-8AA3-6546ECD6696B}"/>
            </a:ext>
            <a:ext uri="{147F2762-F138-4A5C-976F-8EAC2B608ADB}">
              <a16:predDERef xmlns:a16="http://schemas.microsoft.com/office/drawing/2014/main" pred="{3D76001F-9BB3-481F-9F94-155BEEF5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60CE389-97CC-4130-AD95-E02C758E893E}"/>
            </a:ext>
            <a:ext uri="{147F2762-F138-4A5C-976F-8EAC2B608ADB}">
              <a16:predDERef xmlns:a16="http://schemas.microsoft.com/office/drawing/2014/main" pred="{34F135DD-329F-4221-8AA3-6546ECD66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25EA73C-D76B-4E7E-B950-190BDC927657}"/>
            </a:ext>
            <a:ext uri="{147F2762-F138-4A5C-976F-8EAC2B608ADB}">
              <a16:predDERef xmlns:a16="http://schemas.microsoft.com/office/drawing/2014/main" pred="{F60CE389-97CC-4130-AD95-E02C758E8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20531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68F467-4708-4BE3-A416-EC654D3FDD68}"/>
            </a:ext>
            <a:ext uri="{147F2762-F138-4A5C-976F-8EAC2B608ADB}">
              <a16:predDERef xmlns:a16="http://schemas.microsoft.com/office/drawing/2014/main" pred="{725EA73C-D76B-4E7E-B950-190BDC927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08769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454E989-4D60-4306-BD3C-4771A9A4BFBC}"/>
            </a:ext>
            <a:ext uri="{147F2762-F138-4A5C-976F-8EAC2B608ADB}">
              <a16:predDERef xmlns:a16="http://schemas.microsoft.com/office/drawing/2014/main" pred="{9368F467-4708-4BE3-A416-EC654D3FD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55741" y="284811"/>
          <a:ext cx="2339259" cy="4191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63E847-67CB-46D5-B13C-B3A2B337F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99C4CC-DF99-4A3C-8671-514EDD54DC36}"/>
            </a:ext>
            <a:ext uri="{147F2762-F138-4A5C-976F-8EAC2B608ADB}">
              <a16:predDERef xmlns:a16="http://schemas.microsoft.com/office/drawing/2014/main" pred="{C163E847-67CB-46D5-B13C-B3A2B337F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36C3F9E-B1B1-45F0-B7EF-253DF34F1F73}"/>
            </a:ext>
            <a:ext uri="{147F2762-F138-4A5C-976F-8EAC2B608ADB}">
              <a16:predDERef xmlns:a16="http://schemas.microsoft.com/office/drawing/2014/main" pred="{8399C4CC-DF99-4A3C-8671-514EDD54D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B15005D-CCF5-4212-9DFA-D4B234F7D1FB}"/>
            </a:ext>
            <a:ext uri="{147F2762-F138-4A5C-976F-8EAC2B608ADB}">
              <a16:predDERef xmlns:a16="http://schemas.microsoft.com/office/drawing/2014/main" pred="{036C3F9E-B1B1-45F0-B7EF-253DF34F1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0A74451-993A-4411-BEAC-52A94FCD85D8}"/>
            </a:ext>
            <a:ext uri="{147F2762-F138-4A5C-976F-8EAC2B608ADB}">
              <a16:predDERef xmlns:a16="http://schemas.microsoft.com/office/drawing/2014/main" pred="{9B15005D-CCF5-4212-9DFA-D4B234F7D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6F0565E-0E09-451C-9A12-36E7E9961E29}"/>
            </a:ext>
            <a:ext uri="{147F2762-F138-4A5C-976F-8EAC2B608ADB}">
              <a16:predDERef xmlns:a16="http://schemas.microsoft.com/office/drawing/2014/main" pred="{A0A74451-993A-4411-BEAC-52A94FCD8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39006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007D2F5-4CF6-4EA6-8B53-7E3D3B6E50BB}"/>
            </a:ext>
            <a:ext uri="{147F2762-F138-4A5C-976F-8EAC2B608ADB}">
              <a16:predDERef xmlns:a16="http://schemas.microsoft.com/office/drawing/2014/main" pred="{C6F0565E-0E09-451C-9A12-36E7E9961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27244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9DFD0CB-E8B4-41CD-90B7-7F05C281B6A3}"/>
            </a:ext>
            <a:ext uri="{147F2762-F138-4A5C-976F-8EAC2B608ADB}">
              <a16:predDERef xmlns:a16="http://schemas.microsoft.com/office/drawing/2014/main" pred="{2007D2F5-4CF6-4EA6-8B53-7E3D3B6E5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4216" y="284811"/>
          <a:ext cx="2339259" cy="4191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15A62E-44BF-443C-A499-C40A0F4A9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C855FD-F37C-4D29-A427-601984E6600B}"/>
            </a:ext>
            <a:ext uri="{147F2762-F138-4A5C-976F-8EAC2B608ADB}">
              <a16:predDERef xmlns:a16="http://schemas.microsoft.com/office/drawing/2014/main" pred="{C163E847-67CB-46D5-B13C-B3A2B337F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C8F0C1-9B3E-43F0-8B9D-AF63E8D01533}"/>
            </a:ext>
            <a:ext uri="{147F2762-F138-4A5C-976F-8EAC2B608ADB}">
              <a16:predDERef xmlns:a16="http://schemas.microsoft.com/office/drawing/2014/main" pred="{8399C4CC-DF99-4A3C-8671-514EDD54D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CF6FD2C-057D-4B4E-8983-FCA8D9043890}"/>
            </a:ext>
            <a:ext uri="{147F2762-F138-4A5C-976F-8EAC2B608ADB}">
              <a16:predDERef xmlns:a16="http://schemas.microsoft.com/office/drawing/2014/main" pred="{036C3F9E-B1B1-45F0-B7EF-253DF34F1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8BBCBB7-17EE-4240-BA94-CCCC6AB2F698}"/>
            </a:ext>
            <a:ext uri="{147F2762-F138-4A5C-976F-8EAC2B608ADB}">
              <a16:predDERef xmlns:a16="http://schemas.microsoft.com/office/drawing/2014/main" pred="{9B15005D-CCF5-4212-9DFA-D4B234F7D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CB5A9FC-AD48-4513-BFD1-E518222238DB}"/>
            </a:ext>
            <a:ext uri="{147F2762-F138-4A5C-976F-8EAC2B608ADB}">
              <a16:predDERef xmlns:a16="http://schemas.microsoft.com/office/drawing/2014/main" pred="{A0A74451-993A-4411-BEAC-52A94FCD8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39006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4D0DF8A-7BE8-49CE-B18B-1FD2BC500BA2}"/>
            </a:ext>
            <a:ext uri="{147F2762-F138-4A5C-976F-8EAC2B608ADB}">
              <a16:predDERef xmlns:a16="http://schemas.microsoft.com/office/drawing/2014/main" pred="{C6F0565E-0E09-451C-9A12-36E7E9961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27244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7811FCA-1B87-415A-A778-5C8607D45EF0}"/>
            </a:ext>
            <a:ext uri="{147F2762-F138-4A5C-976F-8EAC2B608ADB}">
              <a16:predDERef xmlns:a16="http://schemas.microsoft.com/office/drawing/2014/main" pred="{2007D2F5-4CF6-4EA6-8B53-7E3D3B6E5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02641" y="284811"/>
          <a:ext cx="2339259" cy="41915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106FD-F0CB-4527-A5A4-8F039E482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6374F9-0087-415C-84FA-624C478A27AE}"/>
            </a:ext>
            <a:ext uri="{147F2762-F138-4A5C-976F-8EAC2B608ADB}">
              <a16:predDERef xmlns:a16="http://schemas.microsoft.com/office/drawing/2014/main" pred="{575106FD-F0CB-4527-A5A4-8F039E482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5996497-FF1E-4ECA-90F4-50FEB7A557F2}"/>
            </a:ext>
            <a:ext uri="{147F2762-F138-4A5C-976F-8EAC2B608ADB}">
              <a16:predDERef xmlns:a16="http://schemas.microsoft.com/office/drawing/2014/main" pred="{AB6374F9-0087-415C-84FA-624C478A2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E8A8F35-0CAA-43B8-8362-CDAADB002193}"/>
            </a:ext>
            <a:ext uri="{147F2762-F138-4A5C-976F-8EAC2B608ADB}">
              <a16:predDERef xmlns:a16="http://schemas.microsoft.com/office/drawing/2014/main" pred="{D5996497-FF1E-4ECA-90F4-50FEB7A55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D82DC3E-5529-400B-B4F0-E6EE54A36509}"/>
            </a:ext>
            <a:ext uri="{147F2762-F138-4A5C-976F-8EAC2B608ADB}">
              <a16:predDERef xmlns:a16="http://schemas.microsoft.com/office/drawing/2014/main" pred="{9E8A8F35-0CAA-43B8-8362-CDAADB002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7BA75C0-1216-4892-AD4D-E1ADD097CC0B}"/>
            </a:ext>
            <a:ext uri="{147F2762-F138-4A5C-976F-8EAC2B608ADB}">
              <a16:predDERef xmlns:a16="http://schemas.microsoft.com/office/drawing/2014/main" pred="{4D82DC3E-5529-400B-B4F0-E6EE54A36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39006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81B8097-9D13-4C60-98F2-E7314D943EE8}"/>
            </a:ext>
            <a:ext uri="{147F2762-F138-4A5C-976F-8EAC2B608ADB}">
              <a16:predDERef xmlns:a16="http://schemas.microsoft.com/office/drawing/2014/main" pred="{77BA75C0-1216-4892-AD4D-E1ADD097C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27244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388580B-BCE8-451F-BC9F-BD9E1436AF4B}"/>
            </a:ext>
            <a:ext uri="{147F2762-F138-4A5C-976F-8EAC2B608ADB}">
              <a16:predDERef xmlns:a16="http://schemas.microsoft.com/office/drawing/2014/main" pred="{181B8097-9D13-4C60-98F2-E7314D943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02641" y="284811"/>
          <a:ext cx="2339259" cy="41915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2973A04-E642-4D7A-A091-1A29BE9E1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38336F-2658-47B7-92BE-CEDC1A4015BE}"/>
            </a:ext>
            <a:ext uri="{147F2762-F138-4A5C-976F-8EAC2B608ADB}">
              <a16:predDERef xmlns:a16="http://schemas.microsoft.com/office/drawing/2014/main" pred="{D2973A04-E642-4D7A-A091-1A29BE9E1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7BF8E3F-0348-44DF-B929-D9A15FB24E15}"/>
            </a:ext>
            <a:ext uri="{147F2762-F138-4A5C-976F-8EAC2B608ADB}">
              <a16:predDERef xmlns:a16="http://schemas.microsoft.com/office/drawing/2014/main" pred="{E138336F-2658-47B7-92BE-CEDC1A401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D435B89-91BD-4E07-972A-E8A3CA63EA39}"/>
            </a:ext>
            <a:ext uri="{147F2762-F138-4A5C-976F-8EAC2B608ADB}">
              <a16:predDERef xmlns:a16="http://schemas.microsoft.com/office/drawing/2014/main" pred="{67BF8E3F-0348-44DF-B929-D9A15FB24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E460B2C-6922-45E7-A451-46DC5749B2AC}"/>
            </a:ext>
            <a:ext uri="{147F2762-F138-4A5C-976F-8EAC2B608ADB}">
              <a16:predDERef xmlns:a16="http://schemas.microsoft.com/office/drawing/2014/main" pred="{4D435B89-91BD-4E07-972A-E8A3CA63E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90B2672-638C-45A7-AAC5-29564E04EDAB}"/>
            </a:ext>
            <a:ext uri="{147F2762-F138-4A5C-976F-8EAC2B608ADB}">
              <a16:predDERef xmlns:a16="http://schemas.microsoft.com/office/drawing/2014/main" pred="{4E460B2C-6922-45E7-A451-46DC5749B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19831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725770-8502-49DC-B636-7900A8AACD35}"/>
            </a:ext>
            <a:ext uri="{147F2762-F138-4A5C-976F-8EAC2B608ADB}">
              <a16:predDERef xmlns:a16="http://schemas.microsoft.com/office/drawing/2014/main" pred="{B90B2672-638C-45A7-AAC5-29564E04E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08069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B677425-38A9-43D6-A56C-9067D81CC958}"/>
            </a:ext>
            <a:ext uri="{147F2762-F138-4A5C-976F-8EAC2B608ADB}">
              <a16:predDERef xmlns:a16="http://schemas.microsoft.com/office/drawing/2014/main" pred="{E5725770-8502-49DC-B636-7900A8AAC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83466" y="284811"/>
          <a:ext cx="2339259" cy="41915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29CDB4-3942-4A15-839A-88CD86FAF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0648AC-0F8E-4B83-80DE-F78BA954210F}"/>
            </a:ext>
            <a:ext uri="{147F2762-F138-4A5C-976F-8EAC2B608ADB}">
              <a16:predDERef xmlns:a16="http://schemas.microsoft.com/office/drawing/2014/main" pred="{2729CDB4-3942-4A15-839A-88CD86FAF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785D98E-54D6-4453-BAF8-DDCFDB14C78D}"/>
            </a:ext>
            <a:ext uri="{147F2762-F138-4A5C-976F-8EAC2B608ADB}">
              <a16:predDERef xmlns:a16="http://schemas.microsoft.com/office/drawing/2014/main" pred="{710648AC-0F8E-4B83-80DE-F78BA9542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6BEBB8B-2E3F-4477-9DA9-D51463A21C67}"/>
            </a:ext>
            <a:ext uri="{147F2762-F138-4A5C-976F-8EAC2B608ADB}">
              <a16:predDERef xmlns:a16="http://schemas.microsoft.com/office/drawing/2014/main" pred="{5785D98E-54D6-4453-BAF8-DDCFDB14C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220373-9AA1-44E5-83E8-BF71CA625DD9}"/>
            </a:ext>
            <a:ext uri="{147F2762-F138-4A5C-976F-8EAC2B608ADB}">
              <a16:predDERef xmlns:a16="http://schemas.microsoft.com/office/drawing/2014/main" pred="{A6BEBB8B-2E3F-4477-9DA9-D51463A21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ED7EB6C-CB27-4B84-994A-73CDD55C4D9A}"/>
            </a:ext>
            <a:ext uri="{147F2762-F138-4A5C-976F-8EAC2B608ADB}">
              <a16:predDERef xmlns:a16="http://schemas.microsoft.com/office/drawing/2014/main" pred="{00220373-9AA1-44E5-83E8-BF71CA625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19831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AB04114-5604-42A9-BF12-E69B8A0F29F5}"/>
            </a:ext>
            <a:ext uri="{147F2762-F138-4A5C-976F-8EAC2B608ADB}">
              <a16:predDERef xmlns:a16="http://schemas.microsoft.com/office/drawing/2014/main" pred="{1ED7EB6C-CB27-4B84-994A-73CDD55C4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08069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3993BD9-615E-40B1-A9AD-FA4E927BE0E1}"/>
            </a:ext>
            <a:ext uri="{147F2762-F138-4A5C-976F-8EAC2B608ADB}">
              <a16:predDERef xmlns:a16="http://schemas.microsoft.com/office/drawing/2014/main" pred="{0AB04114-5604-42A9-BF12-E69B8A0F2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83466" y="284811"/>
          <a:ext cx="2339259" cy="41915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A18B34-FC4E-44B5-863B-3CD9E0B54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0BF05C-7628-454C-AE6E-06F9F083FD49}"/>
            </a:ext>
            <a:ext uri="{147F2762-F138-4A5C-976F-8EAC2B608ADB}">
              <a16:predDERef xmlns:a16="http://schemas.microsoft.com/office/drawing/2014/main" pred="{9FA18B34-FC4E-44B5-863B-3CD9E0B54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0B3AD1-D9F9-4AEA-9BA8-3CBB3C90D667}"/>
            </a:ext>
            <a:ext uri="{147F2762-F138-4A5C-976F-8EAC2B608ADB}">
              <a16:predDERef xmlns:a16="http://schemas.microsoft.com/office/drawing/2014/main" pred="{F70BF05C-7628-454C-AE6E-06F9F083F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72A9073-5EFA-4CFF-8AE7-D81076432486}"/>
            </a:ext>
            <a:ext uri="{147F2762-F138-4A5C-976F-8EAC2B608ADB}">
              <a16:predDERef xmlns:a16="http://schemas.microsoft.com/office/drawing/2014/main" pred="{ED0B3AD1-D9F9-4AEA-9BA8-3CBB3C90D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F344E96-F605-4A7E-815C-3751CE3ABCF6}"/>
            </a:ext>
            <a:ext uri="{147F2762-F138-4A5C-976F-8EAC2B608ADB}">
              <a16:predDERef xmlns:a16="http://schemas.microsoft.com/office/drawing/2014/main" pred="{B72A9073-5EFA-4CFF-8AE7-D81076432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F6CBB91-95EC-4E32-B22C-2CE91782248A}"/>
            </a:ext>
            <a:ext uri="{147F2762-F138-4A5C-976F-8EAC2B608ADB}">
              <a16:predDERef xmlns:a16="http://schemas.microsoft.com/office/drawing/2014/main" pred="{FF344E96-F605-4A7E-815C-3751CE3AB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19831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266D2AE-B302-4AA6-8937-0518CB106F1A}"/>
            </a:ext>
            <a:ext uri="{147F2762-F138-4A5C-976F-8EAC2B608ADB}">
              <a16:predDERef xmlns:a16="http://schemas.microsoft.com/office/drawing/2014/main" pred="{3F6CBB91-95EC-4E32-B22C-2CE917822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08069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6A5D082-3A86-4035-B794-6C3D40E18A1A}"/>
            </a:ext>
            <a:ext uri="{147F2762-F138-4A5C-976F-8EAC2B608ADB}">
              <a16:predDERef xmlns:a16="http://schemas.microsoft.com/office/drawing/2014/main" pred="{D266D2AE-B302-4AA6-8937-0518CB106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83466" y="284811"/>
          <a:ext cx="2339259" cy="41915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600E48-A1C6-4D92-87DC-367FAE4B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053921-39FF-4F5D-917B-F4013FA7A7E8}"/>
            </a:ext>
            <a:ext uri="{147F2762-F138-4A5C-976F-8EAC2B608ADB}">
              <a16:predDERef xmlns:a16="http://schemas.microsoft.com/office/drawing/2014/main" pred="{0F600E48-A1C6-4D92-87DC-367FAE4B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E52B5B1-E04F-4F01-829C-73E508BA03DC}"/>
            </a:ext>
            <a:ext uri="{147F2762-F138-4A5C-976F-8EAC2B608ADB}">
              <a16:predDERef xmlns:a16="http://schemas.microsoft.com/office/drawing/2014/main" pred="{D0053921-39FF-4F5D-917B-F4013FA7A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4CA8FEB-57A5-4193-89B7-3930DD3B4C0A}"/>
            </a:ext>
            <a:ext uri="{147F2762-F138-4A5C-976F-8EAC2B608ADB}">
              <a16:predDERef xmlns:a16="http://schemas.microsoft.com/office/drawing/2014/main" pred="{1E52B5B1-E04F-4F01-829C-73E508BA0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EC5ED81-7E87-4008-8663-F3FAC382C168}"/>
            </a:ext>
            <a:ext uri="{147F2762-F138-4A5C-976F-8EAC2B608ADB}">
              <a16:predDERef xmlns:a16="http://schemas.microsoft.com/office/drawing/2014/main" pred="{B4CA8FEB-57A5-4193-89B7-3930DD3B4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C41601C-1F93-45E3-A7ED-96968B4AAE97}"/>
            </a:ext>
            <a:ext uri="{147F2762-F138-4A5C-976F-8EAC2B608ADB}">
              <a16:predDERef xmlns:a16="http://schemas.microsoft.com/office/drawing/2014/main" pred="{DEC5ED81-7E87-4008-8663-F3FAC382C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19831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53A6425-956A-4A90-80B8-A34D8BBF030E}"/>
            </a:ext>
            <a:ext uri="{147F2762-F138-4A5C-976F-8EAC2B608ADB}">
              <a16:predDERef xmlns:a16="http://schemas.microsoft.com/office/drawing/2014/main" pred="{EC41601C-1F93-45E3-A7ED-96968B4AA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08069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47EF928-4495-4BA1-9EB3-07F559A188A0}"/>
            </a:ext>
            <a:ext uri="{147F2762-F138-4A5C-976F-8EAC2B608ADB}">
              <a16:predDERef xmlns:a16="http://schemas.microsoft.com/office/drawing/2014/main" pred="{B53A6425-956A-4A90-80B8-A34D8BBF0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83466" y="284811"/>
          <a:ext cx="2339259" cy="41915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BBA762-36F8-4BAA-A70F-161ADA676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CF0690-D12D-4B4E-91A1-42EC62E5627D}"/>
            </a:ext>
            <a:ext uri="{147F2762-F138-4A5C-976F-8EAC2B608ADB}">
              <a16:predDERef xmlns:a16="http://schemas.microsoft.com/office/drawing/2014/main" pred="{EDBBA762-36F8-4BAA-A70F-161ADA676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6A0EA9-1171-480E-8B6E-00A239D3266C}"/>
            </a:ext>
            <a:ext uri="{147F2762-F138-4A5C-976F-8EAC2B608ADB}">
              <a16:predDERef xmlns:a16="http://schemas.microsoft.com/office/drawing/2014/main" pred="{B6CF0690-D12D-4B4E-91A1-42EC62E56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02521E2-9F2F-47C9-AEB0-E4C051011E67}"/>
            </a:ext>
            <a:ext uri="{147F2762-F138-4A5C-976F-8EAC2B608ADB}">
              <a16:predDERef xmlns:a16="http://schemas.microsoft.com/office/drawing/2014/main" pred="{F96A0EA9-1171-480E-8B6E-00A239D32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8FB76F5-BF9B-4E87-A884-8CD7A229BDD7}"/>
            </a:ext>
            <a:ext uri="{147F2762-F138-4A5C-976F-8EAC2B608ADB}">
              <a16:predDERef xmlns:a16="http://schemas.microsoft.com/office/drawing/2014/main" pred="{C02521E2-9F2F-47C9-AEB0-E4C051011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FFB6B82-9C69-4AE8-BBA8-6E2EF9946398}"/>
            </a:ext>
            <a:ext uri="{147F2762-F138-4A5C-976F-8EAC2B608ADB}">
              <a16:predDERef xmlns:a16="http://schemas.microsoft.com/office/drawing/2014/main" pred="{A8FB76F5-BF9B-4E87-A884-8CD7A229B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19831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7356EBA-36BF-4715-A810-CE2E37D43415}"/>
            </a:ext>
            <a:ext uri="{147F2762-F138-4A5C-976F-8EAC2B608ADB}">
              <a16:predDERef xmlns:a16="http://schemas.microsoft.com/office/drawing/2014/main" pred="{DFFB6B82-9C69-4AE8-BBA8-6E2EF9946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08069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3481BA5-A525-433D-BE7B-AD88914245E2}"/>
            </a:ext>
            <a:ext uri="{147F2762-F138-4A5C-976F-8EAC2B608ADB}">
              <a16:predDERef xmlns:a16="http://schemas.microsoft.com/office/drawing/2014/main" pred="{F7356EBA-36BF-4715-A810-CE2E37D43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5041" y="284811"/>
          <a:ext cx="2339259" cy="41915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451457</xdr:colOff>
      <xdr:row>4</xdr:row>
      <xdr:rowOff>79517</xdr:rowOff>
    </xdr:from>
    <xdr:to>
      <xdr:col>4</xdr:col>
      <xdr:colOff>976390</xdr:colOff>
      <xdr:row>4</xdr:row>
      <xdr:rowOff>486657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596422-18BD-4C6D-A16F-E9313B20B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8757" y="717692"/>
          <a:ext cx="1848908" cy="407140"/>
        </a:xfrm>
        <a:prstGeom prst="rect">
          <a:avLst/>
        </a:prstGeom>
      </xdr:spPr>
    </xdr:pic>
    <xdr:clientData/>
  </xdr:twoCellAnchor>
  <xdr:twoCellAnchor editAs="oneCell">
    <xdr:from>
      <xdr:col>7</xdr:col>
      <xdr:colOff>133137</xdr:colOff>
      <xdr:row>4</xdr:row>
      <xdr:rowOff>60575</xdr:rowOff>
    </xdr:from>
    <xdr:to>
      <xdr:col>8</xdr:col>
      <xdr:colOff>1139961</xdr:colOff>
      <xdr:row>4</xdr:row>
      <xdr:rowOff>480210</xdr:rowOff>
    </xdr:to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B32CB1-567F-451A-9481-21320B416481}"/>
            </a:ext>
            <a:ext uri="{147F2762-F138-4A5C-976F-8EAC2B608ADB}">
              <a16:predDERef xmlns:a16="http://schemas.microsoft.com/office/drawing/2014/main" pred="{BB596422-18BD-4C6D-A16F-E9313B20B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6012" y="698750"/>
          <a:ext cx="2206974" cy="419635"/>
        </a:xfrm>
        <a:prstGeom prst="rect">
          <a:avLst/>
        </a:prstGeom>
      </xdr:spPr>
    </xdr:pic>
    <xdr:clientData/>
  </xdr:twoCellAnchor>
  <xdr:twoCellAnchor editAs="oneCell">
    <xdr:from>
      <xdr:col>11</xdr:col>
      <xdr:colOff>100013</xdr:colOff>
      <xdr:row>4</xdr:row>
      <xdr:rowOff>166686</xdr:rowOff>
    </xdr:from>
    <xdr:to>
      <xdr:col>12</xdr:col>
      <xdr:colOff>945109</xdr:colOff>
      <xdr:row>4</xdr:row>
      <xdr:rowOff>508411</xdr:rowOff>
    </xdr:to>
    <xdr:pic>
      <xdr:nvPicPr>
        <xdr:cNvPr id="4" name="Imagen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DC82FAE-8D24-4642-9B45-6F02B99AB230}"/>
            </a:ext>
            <a:ext uri="{147F2762-F138-4A5C-976F-8EAC2B608ADB}">
              <a16:predDERef xmlns:a16="http://schemas.microsoft.com/office/drawing/2014/main" pred="{DBB32CB1-567F-451A-9481-21320B416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5563" y="804861"/>
          <a:ext cx="1892846" cy="341725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4</xdr:row>
      <xdr:rowOff>123826</xdr:rowOff>
    </xdr:from>
    <xdr:to>
      <xdr:col>17</xdr:col>
      <xdr:colOff>1369637</xdr:colOff>
      <xdr:row>5</xdr:row>
      <xdr:rowOff>19050</xdr:rowOff>
    </xdr:to>
    <xdr:pic>
      <xdr:nvPicPr>
        <xdr:cNvPr id="5" name="Imagen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FB0A141-7EB7-4FDB-89C6-94FC54EA1DAA}"/>
            </a:ext>
            <a:ext uri="{147F2762-F138-4A5C-976F-8EAC2B608ADB}">
              <a16:predDERef xmlns:a16="http://schemas.microsoft.com/office/drawing/2014/main" pred="{8DC82FAE-8D24-4642-9B45-6F02B99AB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1275" y="762001"/>
          <a:ext cx="1283912" cy="447674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190500</xdr:colOff>
      <xdr:row>3</xdr:row>
      <xdr:rowOff>114300</xdr:rowOff>
    </xdr:from>
    <xdr:to>
      <xdr:col>20</xdr:col>
      <xdr:colOff>1049685</xdr:colOff>
      <xdr:row>5</xdr:row>
      <xdr:rowOff>21256</xdr:rowOff>
    </xdr:to>
    <xdr:pic>
      <xdr:nvPicPr>
        <xdr:cNvPr id="6" name="Imagen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82C7DD8-4AF7-436A-B28C-044F974DDF73}"/>
            </a:ext>
            <a:ext uri="{147F2762-F138-4A5C-976F-8EAC2B608ADB}">
              <a16:predDERef xmlns:a16="http://schemas.microsoft.com/office/drawing/2014/main" pred="{AFB0A141-7EB7-4FDB-89C6-94FC54EA1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97200" y="590550"/>
          <a:ext cx="2154585" cy="621331"/>
        </a:xfrm>
        <a:prstGeom prst="rect">
          <a:avLst/>
        </a:prstGeom>
      </xdr:spPr>
    </xdr:pic>
    <xdr:clientData/>
  </xdr:twoCellAnchor>
  <xdr:twoCellAnchor editAs="oneCell">
    <xdr:from>
      <xdr:col>36</xdr:col>
      <xdr:colOff>255431</xdr:colOff>
      <xdr:row>1</xdr:row>
      <xdr:rowOff>39140</xdr:rowOff>
    </xdr:from>
    <xdr:to>
      <xdr:col>37</xdr:col>
      <xdr:colOff>641012</xdr:colOff>
      <xdr:row>4</xdr:row>
      <xdr:rowOff>124945</xdr:rowOff>
    </xdr:to>
    <xdr:pic>
      <xdr:nvPicPr>
        <xdr:cNvPr id="7" name="Imagen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84BF995-C59A-440D-84FA-ABF5E15834B6}"/>
            </a:ext>
            <a:ext uri="{147F2762-F138-4A5C-976F-8EAC2B608ADB}">
              <a16:predDERef xmlns:a16="http://schemas.microsoft.com/office/drawing/2014/main" pred="{982C7DD8-4AF7-436A-B28C-044F974DD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19831" y="191540"/>
          <a:ext cx="1376181" cy="571580"/>
        </a:xfrm>
        <a:prstGeom prst="rect">
          <a:avLst/>
        </a:prstGeom>
      </xdr:spPr>
    </xdr:pic>
    <xdr:clientData/>
  </xdr:twoCellAnchor>
  <xdr:twoCellAnchor editAs="oneCell">
    <xdr:from>
      <xdr:col>42</xdr:col>
      <xdr:colOff>362219</xdr:colOff>
      <xdr:row>4</xdr:row>
      <xdr:rowOff>53662</xdr:rowOff>
    </xdr:from>
    <xdr:to>
      <xdr:col>43</xdr:col>
      <xdr:colOff>448285</xdr:colOff>
      <xdr:row>5</xdr:row>
      <xdr:rowOff>133573</xdr:rowOff>
    </xdr:to>
    <xdr:pic>
      <xdr:nvPicPr>
        <xdr:cNvPr id="8" name="Imagen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D801AAF-CAB6-457C-AE2D-7DE2EC7E7262}"/>
            </a:ext>
            <a:ext uri="{147F2762-F138-4A5C-976F-8EAC2B608ADB}">
              <a16:predDERef xmlns:a16="http://schemas.microsoft.com/office/drawing/2014/main" pred="{D84BF995-C59A-440D-84FA-ABF5E1583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08069" y="691837"/>
          <a:ext cx="990941" cy="632361"/>
        </a:xfrm>
        <a:prstGeom prst="rect">
          <a:avLst/>
        </a:prstGeom>
      </xdr:spPr>
    </xdr:pic>
    <xdr:clientData/>
  </xdr:twoCellAnchor>
  <xdr:twoCellAnchor editAs="oneCell">
    <xdr:from>
      <xdr:col>48</xdr:col>
      <xdr:colOff>22941</xdr:colOff>
      <xdr:row>1</xdr:row>
      <xdr:rowOff>132411</xdr:rowOff>
    </xdr:from>
    <xdr:to>
      <xdr:col>50</xdr:col>
      <xdr:colOff>0</xdr:colOff>
      <xdr:row>4</xdr:row>
      <xdr:rowOff>65794</xdr:rowOff>
    </xdr:to>
    <xdr:pic>
      <xdr:nvPicPr>
        <xdr:cNvPr id="9" name="Imagen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110D984-5AEC-4459-9021-F56D3E4923CA}"/>
            </a:ext>
            <a:ext uri="{147F2762-F138-4A5C-976F-8EAC2B608ADB}">
              <a16:predDERef xmlns:a16="http://schemas.microsoft.com/office/drawing/2014/main" pred="{2D801AAF-CAB6-457C-AE2D-7DE2EC7E7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5041" y="284811"/>
          <a:ext cx="2339259" cy="41915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gistro%20de%20asistencia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ómo usar esta plantilla"/>
      <sheetName val="Lista de alumnos"/>
      <sheetName val="Agosto"/>
      <sheetName val="Septiembre"/>
      <sheetName val="Octubre"/>
      <sheetName val="Noviembre"/>
      <sheetName val="Diciembre"/>
      <sheetName val="Enero"/>
      <sheetName val="Febrero"/>
      <sheetName val="Marzo"/>
      <sheetName val="Abril"/>
      <sheetName val="Mayo"/>
      <sheetName val="Junio"/>
      <sheetName val="Julio"/>
      <sheetName val="Informe asistencia de alumnos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ulian valdivieso" id="{31D3E1E2-D342-41C2-8F79-C7E480C0A924}" userId="1d400beda21569b7" providerId="Windows Live"/>
  <person displayName="Axel Martinez" id="{DEE143C2-C236-4AE3-B4C0-EBF106B8F799}" userId="2c58acf5b3aa03d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4FA81938-6803-42C6-9792-882BE50E05FE}">
    <text>kendraxnoa 
ana57228</text>
  </threadedComment>
  <threadedComment ref="X7" dT="2022-04-20T02:53:07.39" personId="{DEE143C2-C236-4AE3-B4C0-EBF106B8F799}" id="{98B35B7A-DE9D-49D3-8869-878519EB2A63}">
    <text>kendranoa</text>
  </threadedComment>
  <threadedComment ref="AP7" dT="2023-03-03T03:12:57.66" personId="{31D3E1E2-D342-41C2-8F79-C7E480C0A924}" id="{C81399F3-FA50-4331-A75B-21D2C3C299D5}">
    <text>20.74 creditos secrefirends</text>
  </threadedComment>
  <threadedComment ref="AQ7" dT="2023-02-17T17:44:49.03" personId="{DEE143C2-C236-4AE3-B4C0-EBF106B8F799}" id="{79779A3B-7368-4B70-AA0F-0742D1AD18CD}">
    <text>Kendra_Noa</text>
  </threadedComment>
  <threadedComment ref="AU7" dT="2024-01-16T22:51:48.67" personId="{DEE143C2-C236-4AE3-B4C0-EBF106B8F799}" id="{E9F9A017-D832-4CFB-82AF-6B950C16D360}">
    <text>No la usa</text>
  </threadedComment>
  <threadedComment ref="AW7" dT="2024-05-06T20:04:13.82" personId="{DEE143C2-C236-4AE3-B4C0-EBF106B8F799}" id="{3551E753-B003-47D3-A895-59327BDE4554}">
    <text>KendraNoa 
ana572281</text>
  </threadedComment>
  <threadedComment ref="BA7" dT="2022-07-01T20:04:28.69" personId="{DEE143C2-C236-4AE3-B4C0-EBF106B8F799}" id="{A2C27B5B-9B37-49E7-97F1-3FE526774230}">
    <text>kendranoa1@tuemailya.com</text>
  </threadedComment>
  <threadedComment ref="BO7" dT="2024-04-17T19:35:50.56" personId="{DEE143C2-C236-4AE3-B4C0-EBF106B8F799}" id="{5813F8C5-A449-4B9C-9C14-0DA4410FE528}">
    <text>ana572288</text>
  </threadedComment>
  <threadedComment ref="CC7" dT="2022-12-17T23:42:54.94" personId="{31D3E1E2-D342-41C2-8F79-C7E480C0A924}" id="{6F870834-8A52-46FD-884D-1C76BC8EA693}">
    <text>secrefriends</text>
  </threadedComment>
  <threadedComment ref="L8" dT="2023-10-18T17:59:30.75" personId="{DEE143C2-C236-4AE3-B4C0-EBF106B8F799}" id="{1DF89382-5623-47B5-904C-0DC40D30481B}">
    <text>Evadoster
Silvia518!</text>
  </threadedComment>
  <threadedComment ref="R8" dT="2023-11-01T01:05:18.17" personId="{DEE143C2-C236-4AE3-B4C0-EBF106B8F799}" id="{93CEAD98-BE09-4330-BE15-B084056A6E94}">
    <text>EvaDoster</text>
  </threadedComment>
  <threadedComment ref="R8" dT="2025-01-01T00:53:25.54" personId="{DEE143C2-C236-4AE3-B4C0-EBF106B8F799}" id="{7C82323C-2F27-493C-B071-25FDD8B9982D}" parentId="{93CEAD98-BE09-4330-BE15-B084056A6E94}">
    <text>No la usa</text>
  </threadedComment>
  <threadedComment ref="T8" dT="2023-11-02T19:31:24.85" personId="{DEE143C2-C236-4AE3-B4C0-EBF106B8F799}" id="{00BAB5E1-68A7-4A30-8679-70ECB24A6489}">
    <text>Evadavee</text>
  </threadedComment>
  <threadedComment ref="H9" dT="2024-05-15T22:31:06.41" personId="{DEE143C2-C236-4AE3-B4C0-EBF106B8F799}" id="{171EC2D2-BC9D-4E0B-B8CD-F4DE62DB7B1C}">
    <text>Reactivar</text>
  </threadedComment>
  <threadedComment ref="L9" dT="2023-12-29T19:26:39.66" personId="{DEE143C2-C236-4AE3-B4C0-EBF106B8F799}" id="{44381BC5-A8AF-4C54-BE48-D28031FCD9DC}">
    <text>ZoeyxHarperx</text>
  </threadedComment>
  <threadedComment ref="N10" dT="2025-01-01T00:21:26.22" personId="{DEE143C2-C236-4AE3-B4C0-EBF106B8F799}" id="{6B393406-9864-4E12-8DB1-4D44CCBC0695}">
    <text>No la usa</text>
  </threadedComment>
  <threadedComment ref="AQ10" dT="2023-10-01T20:28:28.56" personId="{DEE143C2-C236-4AE3-B4C0-EBF106B8F799}" id="{09D2859C-A812-43F1-B1E3-8D4D281BED1A}">
    <text>Katie_Night</text>
  </threadedComment>
  <threadedComment ref="H12" dT="2024-07-15T23:07:37.61" personId="{DEE143C2-C236-4AE3-B4C0-EBF106B8F799}" id="{24C45EBF-A51A-4B3B-975C-EFB065A08A6E}">
    <text>Re activar</text>
  </threadedComment>
  <threadedComment ref="L13" dT="2024-04-17T18:12:52.50" personId="{DEE143C2-C236-4AE3-B4C0-EBF106B8F799}" id="{7B4CCEEA-21F7-45EE-A847-8117BC81FAF9}">
    <text>KellyMontana</text>
  </threadedComment>
  <threadedComment ref="N13" dT="2025-01-01T00:21:34.59" personId="{DEE143C2-C236-4AE3-B4C0-EBF106B8F799}" id="{C3CC46BA-E1D9-4E5D-BD4B-3A21EF9D6BC5}">
    <text>No la usa</text>
  </threadedComment>
  <threadedComment ref="N14" dT="2025-02-01T00:39:47.74" personId="{DEE143C2-C236-4AE3-B4C0-EBF106B8F799}" id="{0C81BE67-29D6-4CDC-915F-6AB873AF754F}">
    <text>No la usa</text>
  </threadedComment>
  <threadedComment ref="AW14" dT="2024-05-17T17:19:30.48" personId="{DEE143C2-C236-4AE3-B4C0-EBF106B8F799}" id="{FB6BFD49-F8ED-4D43-B149-79068972D099}">
    <text>MaryxLight</text>
  </threadedComment>
  <threadedComment ref="H16" dT="2024-07-31T22:42:45.86" personId="{DEE143C2-C236-4AE3-B4C0-EBF106B8F799}" id="{2E278F52-73A9-4615-943D-9A4F4679E2E2}">
    <text>reactivar</text>
  </threadedComment>
  <threadedComment ref="L16" dT="2024-07-17T21:13:52.99" personId="{DEE143C2-C236-4AE3-B4C0-EBF106B8F799}" id="{904BB895-08C6-426B-AE45-264F85678DBB}">
    <text>BiancaxCastle</text>
  </threadedComment>
  <threadedComment ref="N16" dT="2025-01-01T00:21:55.45" personId="{DEE143C2-C236-4AE3-B4C0-EBF106B8F799}" id="{82126FC1-9807-4F6E-9241-009DD16FB311}">
    <text>No la usa</text>
  </threadedComment>
  <threadedComment ref="B19" dT="2024-10-15T23:33:56.01" personId="{DEE143C2-C236-4AE3-B4C0-EBF106B8F799}" id="{8BFD15D0-8B0E-446E-B58A-87C3F75F216A}">
    <text>$MO12eliz</text>
  </threadedComment>
  <threadedComment ref="D19" dT="2024-11-04T18:08:20.30" personId="{DEE143C2-C236-4AE3-B4C0-EBF106B8F799}" id="{1CFED7FB-47B9-4AA4-8243-717DF295C276}">
    <text>Maitexflores</text>
  </threadedComment>
  <threadedComment ref="H19" dT="2024-10-02T19:31:56.77" personId="{DEE143C2-C236-4AE3-B4C0-EBF106B8F799}" id="{1ACC0A69-4D9A-423D-9E02-D67D278D1959}">
    <text>$MO12eliz</text>
  </threadedComment>
  <threadedComment ref="N19" dT="2024-11-04T18:27:39.97" personId="{DEE143C2-C236-4AE3-B4C0-EBF106B8F799}" id="{66F33F69-F397-474C-8CF3-6BEBAF39BA99}">
    <text>maitexflores</text>
  </threadedComment>
  <threadedComment ref="AK19" dT="2024-11-04T18:08:01.82" personId="{DEE143C2-C236-4AE3-B4C0-EBF106B8F799}" id="{406ECDC4-CD9C-4999-8757-76689876A2CA}">
    <text>MichellFlowers</text>
  </threadedComment>
  <threadedComment ref="BG19" dT="2024-11-04T18:08:58.70" personId="{DEE143C2-C236-4AE3-B4C0-EBF106B8F799}" id="{2B7967EB-DEE5-4B00-8441-37385C290791}">
    <text>MichellFlowers</text>
  </threadedComment>
  <threadedComment ref="H21" dT="2024-11-30T23:40:35.51" personId="{DEE143C2-C236-4AE3-B4C0-EBF106B8F799}" id="{C3571701-F579-4D23-8C54-CF3C9692393C}">
    <text>Reactivar</text>
  </threadedComment>
  <threadedComment ref="D22" dT="2025-01-18T20:09:12.12" personId="{DEE143C2-C236-4AE3-B4C0-EBF106B8F799}" id="{82B9288B-FF2D-48B6-984A-73D41302282C}">
    <text>ZoeUwU</text>
  </threadedComment>
  <threadedComment ref="AW22" dT="2025-01-18T20:00:04.27" personId="{DEE143C2-C236-4AE3-B4C0-EBF106B8F799}" id="{BC81D6D8-890B-4E74-A876-BC66C3A58AF7}">
    <text>zoexuwu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BD684329-587C-4420-AF13-F0C122BD5565}">
    <text>kendraxnoa 
ana57228</text>
  </threadedComment>
  <threadedComment ref="X7" dT="2022-04-20T02:53:07.39" personId="{DEE143C2-C236-4AE3-B4C0-EBF106B8F799}" id="{59F8705F-45CB-4287-B382-0F8C9F3A1CB7}">
    <text>kendranoa</text>
  </threadedComment>
  <threadedComment ref="AP7" dT="2023-03-03T03:12:57.66" personId="{31D3E1E2-D342-41C2-8F79-C7E480C0A924}" id="{19A334AC-8E8B-45E5-BB3D-6943CD9B303D}">
    <text>20.74 creditos secrefirends</text>
  </threadedComment>
  <threadedComment ref="AQ7" dT="2023-02-17T17:44:49.03" personId="{DEE143C2-C236-4AE3-B4C0-EBF106B8F799}" id="{9EDCBD08-E42A-454B-BE9C-E6244C299401}">
    <text>Kendra_Noa</text>
  </threadedComment>
  <threadedComment ref="AU7" dT="2024-01-16T22:51:48.67" personId="{DEE143C2-C236-4AE3-B4C0-EBF106B8F799}" id="{DB47118A-8458-4686-A6FC-95A5208D9076}">
    <text>No la usa</text>
  </threadedComment>
  <threadedComment ref="AW7" dT="2024-05-06T20:04:13.82" personId="{DEE143C2-C236-4AE3-B4C0-EBF106B8F799}" id="{D5B0C4A8-120C-454B-AF36-01EF85CDAF03}">
    <text>KendraNoa 
ana572281</text>
  </threadedComment>
  <threadedComment ref="BA7" dT="2022-07-01T20:04:28.69" personId="{DEE143C2-C236-4AE3-B4C0-EBF106B8F799}" id="{6DE7D888-A292-46F2-AB84-1728D100FB70}">
    <text>kendranoa1@tuemailya.com</text>
  </threadedComment>
  <threadedComment ref="BO7" dT="2024-04-17T19:35:50.56" personId="{DEE143C2-C236-4AE3-B4C0-EBF106B8F799}" id="{6D11BED6-8A56-4A47-95B2-B866063FE7AB}">
    <text>ana572288</text>
  </threadedComment>
  <threadedComment ref="CC7" dT="2022-12-17T23:42:54.94" personId="{31D3E1E2-D342-41C2-8F79-C7E480C0A924}" id="{48C86ED4-2AB9-42E6-9A3B-008367993055}">
    <text>secrefriends</text>
  </threadedComment>
  <threadedComment ref="L8" dT="2023-10-18T17:59:30.75" personId="{DEE143C2-C236-4AE3-B4C0-EBF106B8F799}" id="{5E802073-799E-4EBE-AC12-E2A340E3676E}">
    <text>Evadoster
Silvia518!</text>
  </threadedComment>
  <threadedComment ref="R8" dT="2023-11-01T01:05:18.17" personId="{DEE143C2-C236-4AE3-B4C0-EBF106B8F799}" id="{8E44E24D-2491-4E8B-A5C7-5E72816BB2EF}">
    <text>EvaDoster</text>
  </threadedComment>
  <threadedComment ref="R8" dT="2025-01-01T00:53:25.54" personId="{DEE143C2-C236-4AE3-B4C0-EBF106B8F799}" id="{A52C8CA3-8538-41F3-B722-4ABA13B27E94}" parentId="{8E44E24D-2491-4E8B-A5C7-5E72816BB2EF}">
    <text>No la usa</text>
  </threadedComment>
  <threadedComment ref="T8" dT="2023-11-02T19:31:24.85" personId="{DEE143C2-C236-4AE3-B4C0-EBF106B8F799}" id="{9A398A5C-5C25-4F7E-85A4-D1067B97315C}">
    <text>Evadavee</text>
  </threadedComment>
  <threadedComment ref="AO8" dT="2025-03-13T02:20:52.90" personId="{DEE143C2-C236-4AE3-B4C0-EBF106B8F799}" id="{561F2102-4341-45E7-940E-23D0B8F1E8A1}">
    <text>EvaDaniela</text>
  </threadedComment>
  <threadedComment ref="H9" dT="2024-05-15T22:31:06.41" personId="{DEE143C2-C236-4AE3-B4C0-EBF106B8F799}" id="{180B2857-896F-4B7B-88D9-803B0BAB5FF6}">
    <text>Reactivar</text>
  </threadedComment>
  <threadedComment ref="L9" dT="2023-12-29T19:26:39.66" personId="{DEE143C2-C236-4AE3-B4C0-EBF106B8F799}" id="{183B5D45-A651-4EE5-AF48-C3042226235F}">
    <text>ZoeyxHarperx</text>
  </threadedComment>
  <threadedComment ref="N10" dT="2025-01-01T00:21:26.22" personId="{DEE143C2-C236-4AE3-B4C0-EBF106B8F799}" id="{2F2B7DCD-2F20-46D1-9211-3DC5BF491EAE}">
    <text>No la usa</text>
  </threadedComment>
  <threadedComment ref="AQ10" dT="2023-10-01T20:28:28.56" personId="{DEE143C2-C236-4AE3-B4C0-EBF106B8F799}" id="{C20C176B-EECD-4B52-8010-23D3DD120A0B}">
    <text>Katie_Night</text>
  </threadedComment>
  <threadedComment ref="H12" dT="2024-07-15T23:07:37.61" personId="{DEE143C2-C236-4AE3-B4C0-EBF106B8F799}" id="{DF7A82D6-7792-45EF-9041-C80131B7D484}">
    <text>Re activar</text>
  </threadedComment>
  <threadedComment ref="L13" dT="2024-04-17T18:12:52.50" personId="{DEE143C2-C236-4AE3-B4C0-EBF106B8F799}" id="{537F70A3-5DD8-4B37-AB6C-152B0F9163A8}">
    <text>KellyMontana</text>
  </threadedComment>
  <threadedComment ref="N13" dT="2025-01-01T00:21:34.59" personId="{DEE143C2-C236-4AE3-B4C0-EBF106B8F799}" id="{C4311B63-A9B2-4949-962A-72808A02C36F}">
    <text>No la usa</text>
  </threadedComment>
  <threadedComment ref="N14" dT="2025-02-01T00:39:47.74" personId="{DEE143C2-C236-4AE3-B4C0-EBF106B8F799}" id="{42595442-F889-441E-B5A5-CF58AEC810B0}">
    <text>No la usa</text>
  </threadedComment>
  <threadedComment ref="AW14" dT="2024-05-17T17:19:30.48" personId="{DEE143C2-C236-4AE3-B4C0-EBF106B8F799}" id="{7C0BAD16-B8EB-45F7-AD78-478A34769E47}">
    <text>MaryxLight</text>
  </threadedComment>
  <threadedComment ref="H15" dT="2025-02-20T21:18:31.77" personId="{DEE143C2-C236-4AE3-B4C0-EBF106B8F799}" id="{D93769B7-6BF5-419B-A44C-7028F4E36FDE}">
    <text>Reactivar</text>
  </threadedComment>
  <threadedComment ref="H16" dT="2024-07-31T22:42:45.86" personId="{DEE143C2-C236-4AE3-B4C0-EBF106B8F799}" id="{573CA19E-4229-4E45-9993-9E5234721B6A}">
    <text>reactivar</text>
  </threadedComment>
  <threadedComment ref="L16" dT="2024-07-17T21:13:52.99" personId="{DEE143C2-C236-4AE3-B4C0-EBF106B8F799}" id="{09C1B08D-18A7-42E8-BB19-6128001556A8}">
    <text>BiancaxCastle</text>
  </threadedComment>
  <threadedComment ref="N16" dT="2025-01-01T00:21:55.45" personId="{DEE143C2-C236-4AE3-B4C0-EBF106B8F799}" id="{0ECD0E4A-7FC2-4DFA-8BDA-A1D311ECCF2C}">
    <text>No la usa</text>
  </threadedComment>
  <threadedComment ref="L17" dT="2025-02-25T19:32:40.84" personId="{DEE143C2-C236-4AE3-B4C0-EBF106B8F799}" id="{33DF65C5-4841-490D-A257-C46D43C2EC23}">
    <text>EmmaxRichter</text>
  </threadedComment>
  <threadedComment ref="B18" dT="2024-10-15T23:33:56.01" personId="{DEE143C2-C236-4AE3-B4C0-EBF106B8F799}" id="{846A64B3-389C-4FAE-B5AF-DEF9BB80BE62}">
    <text>$MO12eliz</text>
  </threadedComment>
  <threadedComment ref="D18" dT="2024-11-04T18:08:20.30" personId="{DEE143C2-C236-4AE3-B4C0-EBF106B8F799}" id="{1F828E4E-C24D-44F7-A825-ADFDE3C542B2}">
    <text>Maitexflores</text>
  </threadedComment>
  <threadedComment ref="H18" dT="2024-10-02T19:31:56.77" personId="{DEE143C2-C236-4AE3-B4C0-EBF106B8F799}" id="{D430984E-1CD7-4718-97AF-444A3255BD38}">
    <text>$MO12eliz</text>
  </threadedComment>
  <threadedComment ref="N18" dT="2024-11-04T18:27:39.97" personId="{DEE143C2-C236-4AE3-B4C0-EBF106B8F799}" id="{A559D03A-EC3F-4DA5-8A6B-F0412F0CA172}">
    <text>maitexflores</text>
  </threadedComment>
  <threadedComment ref="AK18" dT="2024-11-04T18:08:01.82" personId="{DEE143C2-C236-4AE3-B4C0-EBF106B8F799}" id="{12042E2B-0495-423C-AE97-F0F22194D3FD}">
    <text>MichellFlowers</text>
  </threadedComment>
  <threadedComment ref="BG18" dT="2024-11-04T18:08:58.70" personId="{DEE143C2-C236-4AE3-B4C0-EBF106B8F799}" id="{939B5503-0602-4698-8DDF-8AD8FA4298F9}">
    <text>MichellFlowers</text>
  </threadedComment>
  <threadedComment ref="H19" dT="2024-11-30T23:40:35.51" personId="{DEE143C2-C236-4AE3-B4C0-EBF106B8F799}" id="{B18242BB-F7D0-4967-99EB-8B50F4229ECC}">
    <text>Reactivar</text>
  </threadedComment>
  <threadedComment ref="L21" dT="2025-02-25T19:04:23.27" personId="{DEE143C2-C236-4AE3-B4C0-EBF106B8F799}" id="{E786174D-6905-4135-815C-F48DA705216D}">
    <text>SaraBX</text>
  </threadedComment>
  <threadedComment ref="L22" dT="2025-02-25T19:35:28.72" personId="{DEE143C2-C236-4AE3-B4C0-EBF106B8F799}" id="{E2FFFD82-A9D2-4611-B9AE-C425100815D3}">
    <text>LeaMont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1945CE2C-13CE-477D-BCF3-D52E55C31714}">
    <text>kendraxnoa 
ana57228</text>
  </threadedComment>
  <threadedComment ref="X7" dT="2022-04-20T02:53:07.39" personId="{DEE143C2-C236-4AE3-B4C0-EBF106B8F799}" id="{6EEA5D2D-88E0-4A04-B10F-DEB3AFA5D490}">
    <text>kendranoa</text>
  </threadedComment>
  <threadedComment ref="AP7" dT="2023-03-03T03:12:57.66" personId="{31D3E1E2-D342-41C2-8F79-C7E480C0A924}" id="{717A9EDE-6BB4-4607-BA50-D4881479EE94}">
    <text>20.74 creditos secrefirends</text>
  </threadedComment>
  <threadedComment ref="AQ7" dT="2023-02-17T17:44:49.03" personId="{DEE143C2-C236-4AE3-B4C0-EBF106B8F799}" id="{73E961AA-2AF5-4CB2-B014-EBC9B30F0C50}">
    <text>Kendra_Noa</text>
  </threadedComment>
  <threadedComment ref="AU7" dT="2024-01-16T22:51:48.67" personId="{DEE143C2-C236-4AE3-B4C0-EBF106B8F799}" id="{922CD774-EB44-487C-9AD9-565584DA55A6}">
    <text>No la usa</text>
  </threadedComment>
  <threadedComment ref="AW7" dT="2024-05-06T20:04:13.82" personId="{DEE143C2-C236-4AE3-B4C0-EBF106B8F799}" id="{8A9AEB95-EBC2-4430-A0D3-528563E4A35E}">
    <text>KendraNoa 
ana572281</text>
  </threadedComment>
  <threadedComment ref="BA7" dT="2022-07-01T20:04:28.69" personId="{DEE143C2-C236-4AE3-B4C0-EBF106B8F799}" id="{8733B6A4-5D3E-40C2-8B2B-2E75A4AA272C}">
    <text>kendranoa1@tuemailya.com</text>
  </threadedComment>
  <threadedComment ref="BO7" dT="2024-04-17T19:35:50.56" personId="{DEE143C2-C236-4AE3-B4C0-EBF106B8F799}" id="{FA500BA0-A49B-43AA-AC7B-578A0FE23B74}">
    <text>ana572288</text>
  </threadedComment>
  <threadedComment ref="CC7" dT="2022-12-17T23:42:54.94" personId="{31D3E1E2-D342-41C2-8F79-C7E480C0A924}" id="{EDDC317E-2797-4021-824D-A471D81B1207}">
    <text>secrefriends</text>
  </threadedComment>
  <threadedComment ref="L8" dT="2023-10-18T17:59:30.75" personId="{DEE143C2-C236-4AE3-B4C0-EBF106B8F799}" id="{515C68A5-48AA-476C-845B-6AFA8329C054}">
    <text>Evadoster
Silvia518!</text>
  </threadedComment>
  <threadedComment ref="R8" dT="2023-11-01T01:05:18.17" personId="{DEE143C2-C236-4AE3-B4C0-EBF106B8F799}" id="{141C1733-2480-49E5-869C-C80C89DDBE65}">
    <text>EvaDoster</text>
  </threadedComment>
  <threadedComment ref="R8" dT="2025-01-01T00:53:25.54" personId="{DEE143C2-C236-4AE3-B4C0-EBF106B8F799}" id="{736952B8-274D-40F1-8AF4-44EC82D26BAC}" parentId="{141C1733-2480-49E5-869C-C80C89DDBE65}">
    <text>No la usa</text>
  </threadedComment>
  <threadedComment ref="T8" dT="2023-11-02T19:31:24.85" personId="{DEE143C2-C236-4AE3-B4C0-EBF106B8F799}" id="{153B5D03-3CF0-4830-8599-BE9553ED8966}">
    <text>Evadavee</text>
  </threadedComment>
  <threadedComment ref="AO8" dT="2025-03-13T02:20:52.90" personId="{DEE143C2-C236-4AE3-B4C0-EBF106B8F799}" id="{C3A36E0C-124D-4C4A-BC73-77E6EE0F5AB6}">
    <text>EvaDaniela</text>
  </threadedComment>
  <threadedComment ref="H9" dT="2024-05-15T22:31:06.41" personId="{DEE143C2-C236-4AE3-B4C0-EBF106B8F799}" id="{EA0DCF17-9996-4E03-8F87-9403B6CBBFEC}">
    <text>Reactivar</text>
  </threadedComment>
  <threadedComment ref="L9" dT="2023-12-29T19:26:39.66" personId="{DEE143C2-C236-4AE3-B4C0-EBF106B8F799}" id="{1E71AE18-5318-43BA-82C7-5B1DA42C2296}">
    <text>ZoeyxHarperx</text>
  </threadedComment>
  <threadedComment ref="N10" dT="2025-01-01T00:21:26.22" personId="{DEE143C2-C236-4AE3-B4C0-EBF106B8F799}" id="{A254D67C-E349-4142-BF1E-366DC7F655AF}">
    <text>No la usa</text>
  </threadedComment>
  <threadedComment ref="AQ10" dT="2023-10-01T20:28:28.56" personId="{DEE143C2-C236-4AE3-B4C0-EBF106B8F799}" id="{27AD6451-5F7D-42A8-AA17-36C9F87E6A81}">
    <text>Katie_Night</text>
  </threadedComment>
  <threadedComment ref="H12" dT="2024-07-15T23:07:37.61" personId="{DEE143C2-C236-4AE3-B4C0-EBF106B8F799}" id="{02EF9C9C-0C50-493B-AF39-CB4EA74F2A8E}">
    <text>Re activar</text>
  </threadedComment>
  <threadedComment ref="L13" dT="2024-04-17T18:12:52.50" personId="{DEE143C2-C236-4AE3-B4C0-EBF106B8F799}" id="{B4E4D783-14C2-4EE9-9F4D-8C22A2379E3E}">
    <text>KellyMontana</text>
  </threadedComment>
  <threadedComment ref="N13" dT="2025-01-01T00:21:34.59" personId="{DEE143C2-C236-4AE3-B4C0-EBF106B8F799}" id="{010AEFA7-4514-4D4B-A27B-0024B7773916}">
    <text>No la usa</text>
  </threadedComment>
  <threadedComment ref="N14" dT="2025-02-01T00:39:47.74" personId="{DEE143C2-C236-4AE3-B4C0-EBF106B8F799}" id="{E2E6FE31-12B1-49D3-BFAA-3D649E7FE385}">
    <text>No la usa</text>
  </threadedComment>
  <threadedComment ref="AW14" dT="2024-05-17T17:19:30.48" personId="{DEE143C2-C236-4AE3-B4C0-EBF106B8F799}" id="{6C1AF239-7378-4987-AD49-5C269F9896F1}">
    <text>MaryxLight</text>
  </threadedComment>
  <threadedComment ref="H15" dT="2025-02-20T21:18:31.77" personId="{DEE143C2-C236-4AE3-B4C0-EBF106B8F799}" id="{C751B3A4-40E6-4866-9B3B-A80F929DF149}">
    <text>Reactivar</text>
  </threadedComment>
  <threadedComment ref="H16" dT="2024-07-31T22:42:45.86" personId="{DEE143C2-C236-4AE3-B4C0-EBF106B8F799}" id="{9144ECCE-C1C2-47E8-A297-1E1D68741768}">
    <text>reactivar</text>
  </threadedComment>
  <threadedComment ref="L16" dT="2024-07-17T21:13:52.99" personId="{DEE143C2-C236-4AE3-B4C0-EBF106B8F799}" id="{8DC3DFC7-74B5-4408-9CB2-2C81BCFD2091}">
    <text>BiancaxCastle</text>
  </threadedComment>
  <threadedComment ref="N16" dT="2025-01-01T00:21:55.45" personId="{DEE143C2-C236-4AE3-B4C0-EBF106B8F799}" id="{038AD16B-1C1A-44CA-97C7-574F95FAA6C0}">
    <text>No la usa</text>
  </threadedComment>
  <threadedComment ref="L17" dT="2025-02-25T19:32:40.84" personId="{DEE143C2-C236-4AE3-B4C0-EBF106B8F799}" id="{28D28225-C678-446A-88AC-B2F6CC2DE997}">
    <text>EmmaxRichter</text>
  </threadedComment>
  <threadedComment ref="B18" dT="2024-10-15T23:33:56.01" personId="{DEE143C2-C236-4AE3-B4C0-EBF106B8F799}" id="{EFFDBA97-4E19-4DEB-98A9-239690D16505}">
    <text>$MO12eliz</text>
  </threadedComment>
  <threadedComment ref="D18" dT="2024-11-04T18:08:20.30" personId="{DEE143C2-C236-4AE3-B4C0-EBF106B8F799}" id="{BBEF6246-FB30-4E49-B111-944C114ED2EB}">
    <text>Maitexflores</text>
  </threadedComment>
  <threadedComment ref="H18" dT="2024-10-02T19:31:56.77" personId="{DEE143C2-C236-4AE3-B4C0-EBF106B8F799}" id="{CE9B78ED-878F-4830-A0BF-146FF80977D5}">
    <text>$MO12eliz</text>
  </threadedComment>
  <threadedComment ref="N18" dT="2024-11-04T18:27:39.97" personId="{DEE143C2-C236-4AE3-B4C0-EBF106B8F799}" id="{E0115F36-38F9-4EA1-BE8E-E8529FF09A65}">
    <text>maitexflores</text>
  </threadedComment>
  <threadedComment ref="AK18" dT="2024-11-04T18:08:01.82" personId="{DEE143C2-C236-4AE3-B4C0-EBF106B8F799}" id="{863281BC-05DD-462C-A4C2-555B34D12286}">
    <text>MichellFlowers</text>
  </threadedComment>
  <threadedComment ref="BG18" dT="2024-11-04T18:08:58.70" personId="{DEE143C2-C236-4AE3-B4C0-EBF106B8F799}" id="{A38FBF7C-AF86-4BBE-B4EE-C7B4D9FCBE52}">
    <text>MichellFlowers</text>
  </threadedComment>
  <threadedComment ref="H19" dT="2024-11-30T23:40:35.51" personId="{DEE143C2-C236-4AE3-B4C0-EBF106B8F799}" id="{0AF3AEAB-7CA3-40A3-98B6-29F6A49615C0}">
    <text>Reactivar</text>
  </threadedComment>
  <threadedComment ref="L21" dT="2025-02-25T19:35:28.72" personId="{DEE143C2-C236-4AE3-B4C0-EBF106B8F799}" id="{1127EE6A-2113-43F2-A2FB-EC93E26E313A}">
    <text>CarliMay
Paula912!</text>
  </threadedComment>
  <threadedComment ref="L22" dT="2025-03-18T02:30:38.33" personId="{DEE143C2-C236-4AE3-B4C0-EBF106B8F799}" id="{554DA19F-3A80-4E87-BCDC-E8BF63FDFFA1}">
    <text>Cherryxblack</text>
  </threadedComment>
  <threadedComment ref="AQ22" dT="2025-03-25T17:49:02.38" personId="{DEE143C2-C236-4AE3-B4C0-EBF106B8F799}" id="{F2122475-8345-4494-81FF-12DECBBCCA44}">
    <text>CherryBlackx</text>
  </threadedComment>
  <threadedComment ref="BO22" dT="2025-03-18T02:31:47.31" personId="{DEE143C2-C236-4AE3-B4C0-EBF106B8F799}" id="{34D76B92-E4BB-42FF-B31D-D7281545A580}">
    <text>Cherryxblack</text>
  </threadedComment>
  <threadedComment ref="T23" dT="2025-04-02T20:38:18.41" personId="{DEE143C2-C236-4AE3-B4C0-EBF106B8F799}" id="{3A8E4E7B-7A0E-42BB-BAD4-76DA506947E0}">
    <text>ashleyxklein</text>
  </threadedComment>
  <threadedComment ref="AK25" dT="2025-04-02T20:36:59.48" personId="{DEE143C2-C236-4AE3-B4C0-EBF106B8F799}" id="{758A1679-14F0-4798-8C1D-EA31A795D1E8}">
    <text>MadisonxCollins</text>
  </threadedComment>
  <threadedComment ref="BO26" dT="2025-04-02T20:35:40.14" personId="{DEE143C2-C236-4AE3-B4C0-EBF106B8F799}" id="{DF84AF19-9E9D-438E-A41E-C27421C0EDAB}">
    <text>emmadarknes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9DF564C0-F29B-4A20-B721-0033B8FF2CBA}">
    <text>kendraxnoa 
ana57228</text>
  </threadedComment>
  <threadedComment ref="X7" dT="2022-04-20T02:53:07.39" personId="{DEE143C2-C236-4AE3-B4C0-EBF106B8F799}" id="{71114306-0E29-46D9-BC1B-69C0C7B4D162}">
    <text>kendranoa</text>
  </threadedComment>
  <threadedComment ref="AP7" dT="2023-03-03T03:12:57.66" personId="{31D3E1E2-D342-41C2-8F79-C7E480C0A924}" id="{8ACE3FD0-F26A-4CD8-ABFB-DB5CA024003C}">
    <text>20.74 creditos secrefirends</text>
  </threadedComment>
  <threadedComment ref="AQ7" dT="2023-02-17T17:44:49.03" personId="{DEE143C2-C236-4AE3-B4C0-EBF106B8F799}" id="{582BBFCD-E67E-47AA-B52E-D466B46E1C7D}">
    <text>Kendra_Noa</text>
  </threadedComment>
  <threadedComment ref="AU7" dT="2024-01-16T22:51:48.67" personId="{DEE143C2-C236-4AE3-B4C0-EBF106B8F799}" id="{E28E2539-2B5E-44E6-BA9F-0E3D5E9B3B37}">
    <text>No la usa</text>
  </threadedComment>
  <threadedComment ref="AW7" dT="2024-05-06T20:04:13.82" personId="{DEE143C2-C236-4AE3-B4C0-EBF106B8F799}" id="{DD6333D0-2AAD-4374-AF3F-C4B3540CDF9D}">
    <text>KendraNoa 
ana572281</text>
  </threadedComment>
  <threadedComment ref="BA7" dT="2022-07-01T20:04:28.69" personId="{DEE143C2-C236-4AE3-B4C0-EBF106B8F799}" id="{EDB22BAF-FC52-479B-8D7E-C41C93572C72}">
    <text>kendranoa1@tuemailya.com</text>
  </threadedComment>
  <threadedComment ref="BO7" dT="2024-04-17T19:35:50.56" personId="{DEE143C2-C236-4AE3-B4C0-EBF106B8F799}" id="{52F3F4C7-11F2-46B9-B66D-579E748E6A9B}">
    <text>ana572288</text>
  </threadedComment>
  <threadedComment ref="CC7" dT="2022-12-17T23:42:54.94" personId="{31D3E1E2-D342-41C2-8F79-C7E480C0A924}" id="{73848CF2-5D51-46EB-994E-B13EB89A41BE}">
    <text>secrefriends</text>
  </threadedComment>
  <threadedComment ref="L8" dT="2023-10-18T17:59:30.75" personId="{DEE143C2-C236-4AE3-B4C0-EBF106B8F799}" id="{43BDB564-1924-4E9C-A20A-8F52052516CD}">
    <text>Evadoster
Silvia518!</text>
  </threadedComment>
  <threadedComment ref="R8" dT="2023-11-01T01:05:18.17" personId="{DEE143C2-C236-4AE3-B4C0-EBF106B8F799}" id="{53FD105E-F1FA-4AC6-BC8D-BEDA31C02C38}">
    <text>EvaDoster</text>
  </threadedComment>
  <threadedComment ref="R8" dT="2025-01-01T00:53:25.54" personId="{DEE143C2-C236-4AE3-B4C0-EBF106B8F799}" id="{6D719CCE-3AB1-4AAC-AE28-708C4257E4EC}" parentId="{53FD105E-F1FA-4AC6-BC8D-BEDA31C02C38}">
    <text>No la usa</text>
  </threadedComment>
  <threadedComment ref="T8" dT="2023-11-02T19:31:24.85" personId="{DEE143C2-C236-4AE3-B4C0-EBF106B8F799}" id="{99DDF41B-3C43-4EBD-A99F-FEC3BB08186E}">
    <text>Evadavee</text>
  </threadedComment>
  <threadedComment ref="AO8" dT="2025-03-13T02:20:52.90" personId="{DEE143C2-C236-4AE3-B4C0-EBF106B8F799}" id="{23FD0176-1282-4605-84D7-79F8C3C571F3}">
    <text>EvaDaniela</text>
  </threadedComment>
  <threadedComment ref="H9" dT="2024-05-15T22:31:06.41" personId="{DEE143C2-C236-4AE3-B4C0-EBF106B8F799}" id="{9FD16946-020D-4770-B384-375A61C11DD4}">
    <text>Reactivar</text>
  </threadedComment>
  <threadedComment ref="L9" dT="2023-12-29T19:26:39.66" personId="{DEE143C2-C236-4AE3-B4C0-EBF106B8F799}" id="{1F575B3A-C158-46B2-8C3F-21915B50B9CB}">
    <text>ZoeyxHarperx</text>
  </threadedComment>
  <threadedComment ref="N10" dT="2025-01-01T00:21:26.22" personId="{DEE143C2-C236-4AE3-B4C0-EBF106B8F799}" id="{B013BD4D-B155-4C3C-AD94-13921E13EAEC}">
    <text>No la usa</text>
  </threadedComment>
  <threadedComment ref="AQ10" dT="2023-10-01T20:28:28.56" personId="{DEE143C2-C236-4AE3-B4C0-EBF106B8F799}" id="{A6E0F8B3-CACA-4687-99F3-54EDB0B4BE31}">
    <text>Katie_Night</text>
  </threadedComment>
  <threadedComment ref="H12" dT="2024-07-15T23:07:37.61" personId="{DEE143C2-C236-4AE3-B4C0-EBF106B8F799}" id="{F0AE949B-7884-400E-B29B-DE07F711C494}">
    <text>Re activar</text>
  </threadedComment>
  <threadedComment ref="N13" dT="2025-02-01T00:39:47.74" personId="{DEE143C2-C236-4AE3-B4C0-EBF106B8F799}" id="{E4645679-8716-41EE-8920-BB9566B58DAE}">
    <text>No la usa</text>
  </threadedComment>
  <threadedComment ref="AW13" dT="2024-05-17T17:19:30.48" personId="{DEE143C2-C236-4AE3-B4C0-EBF106B8F799}" id="{4E317B2F-31DD-4B73-9FCE-344A1E5EE5A6}">
    <text>MaryxLight</text>
  </threadedComment>
  <threadedComment ref="H15" dT="2024-07-31T22:42:45.86" personId="{DEE143C2-C236-4AE3-B4C0-EBF106B8F799}" id="{DBCAC323-64C0-4560-9F18-36213FD30FFA}">
    <text>reactivar</text>
  </threadedComment>
  <threadedComment ref="L15" dT="2024-07-17T21:13:52.99" personId="{DEE143C2-C236-4AE3-B4C0-EBF106B8F799}" id="{CF0BFB2C-6186-4245-814B-288A187BA42D}">
    <text>BiancaxCastle</text>
  </threadedComment>
  <threadedComment ref="N15" dT="2025-01-01T00:21:55.45" personId="{DEE143C2-C236-4AE3-B4C0-EBF106B8F799}" id="{4FF7BB0D-95F8-42CE-BD3F-BBC720567682}">
    <text>No la usa</text>
  </threadedComment>
  <threadedComment ref="B16" dT="2024-10-15T23:33:56.01" personId="{DEE143C2-C236-4AE3-B4C0-EBF106B8F799}" id="{7F8457E3-B9FB-40B7-93EB-A6CF4AC02EA3}">
    <text>$MO12eliz</text>
  </threadedComment>
  <threadedComment ref="D16" dT="2024-11-04T18:08:20.30" personId="{DEE143C2-C236-4AE3-B4C0-EBF106B8F799}" id="{F1FDFB41-66E7-48D3-AA87-8C0936A9CCF1}">
    <text>Maitexflores</text>
  </threadedComment>
  <threadedComment ref="H16" dT="2024-10-02T19:31:56.77" personId="{DEE143C2-C236-4AE3-B4C0-EBF106B8F799}" id="{ACC6274A-CA8A-498F-A7B7-8CF1198CB999}">
    <text>$MO12eliz</text>
  </threadedComment>
  <threadedComment ref="N16" dT="2024-11-04T18:27:39.97" personId="{DEE143C2-C236-4AE3-B4C0-EBF106B8F799}" id="{25572847-8E04-49BC-8AB8-2F3880E6C763}">
    <text>maitexflores</text>
  </threadedComment>
  <threadedComment ref="AK16" dT="2024-11-04T18:08:01.82" personId="{DEE143C2-C236-4AE3-B4C0-EBF106B8F799}" id="{1692E4DC-1EBE-4080-BDCF-642CD2A9E06F}">
    <text>MichellFlowers</text>
  </threadedComment>
  <threadedComment ref="BG16" dT="2024-11-04T18:08:58.70" personId="{DEE143C2-C236-4AE3-B4C0-EBF106B8F799}" id="{D1619B0D-1DEB-489C-83A0-3B034CEA4D27}">
    <text>MichellFlowers</text>
  </threadedComment>
  <threadedComment ref="H17" dT="2024-11-30T23:40:35.51" personId="{DEE143C2-C236-4AE3-B4C0-EBF106B8F799}" id="{EFDAEE70-8AED-417C-BC10-DE7C284E650D}">
    <text>Reactivar</text>
  </threadedComment>
  <threadedComment ref="L19" dT="2025-02-25T19:35:28.72" personId="{DEE143C2-C236-4AE3-B4C0-EBF106B8F799}" id="{AD684626-E446-4AC5-B6CD-BCBA77693D77}">
    <text>CarliMay
Paula912!</text>
  </threadedComment>
  <threadedComment ref="L20" dT="2025-03-18T02:30:38.33" personId="{DEE143C2-C236-4AE3-B4C0-EBF106B8F799}" id="{941CD648-882E-4846-A676-A40801091FB8}">
    <text>Cherryxblack</text>
  </threadedComment>
  <threadedComment ref="AQ20" dT="2025-03-25T17:49:02.38" personId="{DEE143C2-C236-4AE3-B4C0-EBF106B8F799}" id="{4AB61865-4FEE-4329-950A-EB91367DD45C}">
    <text>CherryBlackx</text>
  </threadedComment>
  <threadedComment ref="BO20" dT="2025-03-18T02:31:47.31" personId="{DEE143C2-C236-4AE3-B4C0-EBF106B8F799}" id="{A7F74ED1-8873-46C2-9461-735778F1187F}">
    <text>Cherryxblack</text>
  </threadedComment>
  <threadedComment ref="T21" dT="2025-04-02T20:38:18.41" personId="{DEE143C2-C236-4AE3-B4C0-EBF106B8F799}" id="{7C4B6B9C-AB8D-40F0-8E02-91FFF6DEC06A}">
    <text>ashleyxklein</text>
  </threadedComment>
  <threadedComment ref="AK23" dT="2025-04-02T20:36:59.48" personId="{DEE143C2-C236-4AE3-B4C0-EBF106B8F799}" id="{739A0BCF-68D4-414A-82C0-B91CDDFFE384}">
    <text>MadisonxCollins</text>
  </threadedComment>
  <threadedComment ref="L24" dT="2025-04-16T01:05:11.99" personId="{DEE143C2-C236-4AE3-B4C0-EBF106B8F799}" id="{CFC41AC0-2E51-4130-9FCC-2057D64F594A}">
    <text>No se ha entregado</text>
  </threadedComment>
  <threadedComment ref="AW24" dT="2025-04-16T22:13:29.05" personId="{DEE143C2-C236-4AE3-B4C0-EBF106B8F799}" id="{FE635554-A5A4-4FA0-B8B7-6F663CE4B6B8}">
    <text>EmmaDarknes</text>
  </threadedComment>
  <threadedComment ref="BC24" dT="2025-04-18T01:56:18.24" personId="{DEE143C2-C236-4AE3-B4C0-EBF106B8F799}" id="{E8B64A85-FFEE-4B71-BD0B-E36A93478BBE}">
    <text>emmaxdarkness
Lesly489!</text>
  </threadedComment>
  <threadedComment ref="BO24" dT="2025-04-02T20:35:40.14" personId="{DEE143C2-C236-4AE3-B4C0-EBF106B8F799}" id="{07C3D686-65E9-4000-8666-B27AE6F8A6FB}">
    <text>emmadarknes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560683DA-D894-4C95-8C37-B1CB2B4C9B5F}">
    <text>kendraxnoa 
ana57228</text>
  </threadedComment>
  <threadedComment ref="X7" dT="2022-04-20T02:53:07.39" personId="{DEE143C2-C236-4AE3-B4C0-EBF106B8F799}" id="{F07ED8FE-48AC-447D-BE57-730A0B26C812}">
    <text>kendranoa</text>
  </threadedComment>
  <threadedComment ref="AP7" dT="2023-03-03T03:12:57.66" personId="{31D3E1E2-D342-41C2-8F79-C7E480C0A924}" id="{0A14E04A-CAFE-4D83-A6E2-2B09E352FD4C}">
    <text>20.74 creditos secrefirends</text>
  </threadedComment>
  <threadedComment ref="AQ7" dT="2023-02-17T17:44:49.03" personId="{DEE143C2-C236-4AE3-B4C0-EBF106B8F799}" id="{FB125558-39A5-4B6C-973D-E8FFBEB61BD3}">
    <text>Kendra_Noa</text>
  </threadedComment>
  <threadedComment ref="AU7" dT="2024-01-16T22:51:48.67" personId="{DEE143C2-C236-4AE3-B4C0-EBF106B8F799}" id="{666E78DE-3290-4409-9631-A6EAA1029BD8}">
    <text>No la usa</text>
  </threadedComment>
  <threadedComment ref="AW7" dT="2024-05-06T20:04:13.82" personId="{DEE143C2-C236-4AE3-B4C0-EBF106B8F799}" id="{906193B3-CA3D-477F-AAF1-9E0AD6815311}">
    <text>KendraNoa 
ana572281</text>
  </threadedComment>
  <threadedComment ref="BA7" dT="2022-07-01T20:04:28.69" personId="{DEE143C2-C236-4AE3-B4C0-EBF106B8F799}" id="{96CDF988-C8B2-4399-AF79-FF1DF4464FE9}">
    <text>kendranoa1@tuemailya.com</text>
  </threadedComment>
  <threadedComment ref="BO7" dT="2024-04-17T19:35:50.56" personId="{DEE143C2-C236-4AE3-B4C0-EBF106B8F799}" id="{93C3BC5B-22B0-4038-A717-9BD6EF3A65D4}">
    <text>ana572288</text>
  </threadedComment>
  <threadedComment ref="CC7" dT="2022-12-17T23:42:54.94" personId="{31D3E1E2-D342-41C2-8F79-C7E480C0A924}" id="{5C0C141E-E0F5-4C30-BDC5-9FE9E6FAA986}">
    <text>secrefriends</text>
  </threadedComment>
  <threadedComment ref="L8" dT="2023-10-18T17:59:30.75" personId="{DEE143C2-C236-4AE3-B4C0-EBF106B8F799}" id="{4DAD50C9-7FA2-4987-BA23-07717D046C02}">
    <text>Evadoster
Silvia518!</text>
  </threadedComment>
  <threadedComment ref="R8" dT="2023-11-01T01:05:18.17" personId="{DEE143C2-C236-4AE3-B4C0-EBF106B8F799}" id="{58CE8CF4-76C4-479C-9602-F17138376FF9}">
    <text>EvaDoster</text>
  </threadedComment>
  <threadedComment ref="R8" dT="2025-01-01T00:53:25.54" personId="{DEE143C2-C236-4AE3-B4C0-EBF106B8F799}" id="{A2BFE062-2207-4E20-BF74-213C4E89ECD4}" parentId="{58CE8CF4-76C4-479C-9602-F17138376FF9}">
    <text>No la usa</text>
  </threadedComment>
  <threadedComment ref="T8" dT="2023-11-02T19:31:24.85" personId="{DEE143C2-C236-4AE3-B4C0-EBF106B8F799}" id="{7B55E184-B7E4-4733-83CA-12FDA71BBFA6}">
    <text>Evadavee</text>
  </threadedComment>
  <threadedComment ref="AO8" dT="2025-03-13T02:20:52.90" personId="{DEE143C2-C236-4AE3-B4C0-EBF106B8F799}" id="{1BC3C586-219E-4FC8-8972-3341E3C0A01E}">
    <text>EvaDaniela</text>
  </threadedComment>
  <threadedComment ref="H9" dT="2024-05-15T22:31:06.41" personId="{DEE143C2-C236-4AE3-B4C0-EBF106B8F799}" id="{BF6EC1E9-C6E8-4526-8C27-9E54A0ABA198}">
    <text>Reactivar</text>
  </threadedComment>
  <threadedComment ref="L9" dT="2023-12-29T19:26:39.66" personId="{DEE143C2-C236-4AE3-B4C0-EBF106B8F799}" id="{91598AEA-B681-472D-9877-C3FE6A2D5507}">
    <text>ZoeyxHarperx</text>
  </threadedComment>
  <threadedComment ref="H10" dT="2025-05-31T22:43:31.92" personId="{DEE143C2-C236-4AE3-B4C0-EBF106B8F799}" id="{FCC24E8E-2FEC-4ACC-A173-718C1B1D2E0E}">
    <text>Reactivar</text>
  </threadedComment>
  <threadedComment ref="N10" dT="2025-01-01T00:21:26.22" personId="{DEE143C2-C236-4AE3-B4C0-EBF106B8F799}" id="{CC9E4809-B5EF-49C8-A738-CC254DC7B5AE}">
    <text>No la usa</text>
  </threadedComment>
  <threadedComment ref="AQ10" dT="2023-10-01T20:28:28.56" personId="{DEE143C2-C236-4AE3-B4C0-EBF106B8F799}" id="{264FDA1C-D767-4CBD-B310-BC435D46EFD5}">
    <text>Katie_Night</text>
  </threadedComment>
  <threadedComment ref="H12" dT="2024-07-15T23:07:37.61" personId="{DEE143C2-C236-4AE3-B4C0-EBF106B8F799}" id="{72AC5266-6683-43B3-AAA8-0CAF89BAA3F2}">
    <text>Re activar</text>
  </threadedComment>
  <threadedComment ref="N13" dT="2025-02-01T00:39:47.74" personId="{DEE143C2-C236-4AE3-B4C0-EBF106B8F799}" id="{51FF1020-9C12-4128-8097-D0FACD5DB116}">
    <text>No la usa</text>
  </threadedComment>
  <threadedComment ref="AW13" dT="2024-05-17T17:19:30.48" personId="{DEE143C2-C236-4AE3-B4C0-EBF106B8F799}" id="{D3A256E9-CA42-43A7-8434-04E2D89CDADB}">
    <text>MaryxLight</text>
  </threadedComment>
  <threadedComment ref="H15" dT="2024-07-31T22:42:45.86" personId="{DEE143C2-C236-4AE3-B4C0-EBF106B8F799}" id="{E6CBE4A4-B08D-4B25-A228-9A8C5BE8EB44}">
    <text>reactivar</text>
  </threadedComment>
  <threadedComment ref="L15" dT="2024-07-17T21:13:52.99" personId="{DEE143C2-C236-4AE3-B4C0-EBF106B8F799}" id="{0AD96603-1E07-4FB0-8F99-DC51BB03B8C3}">
    <text>BiancaxCastle</text>
  </threadedComment>
  <threadedComment ref="N15" dT="2025-01-01T00:21:55.45" personId="{DEE143C2-C236-4AE3-B4C0-EBF106B8F799}" id="{ECFE4BEE-C1D0-47A3-B049-5D4867F468B8}">
    <text>No la usa</text>
  </threadedComment>
  <threadedComment ref="B16" dT="2024-10-15T23:33:56.01" personId="{DEE143C2-C236-4AE3-B4C0-EBF106B8F799}" id="{631D85EB-9B3B-455A-A4E6-FFD431CB6F15}">
    <text>$MO12eliz</text>
  </threadedComment>
  <threadedComment ref="D16" dT="2024-11-04T18:08:20.30" personId="{DEE143C2-C236-4AE3-B4C0-EBF106B8F799}" id="{ED2D142B-DD9E-4567-AE1A-8E867BB44D82}">
    <text>Maitexflores</text>
  </threadedComment>
  <threadedComment ref="H16" dT="2024-10-02T19:31:56.77" personId="{DEE143C2-C236-4AE3-B4C0-EBF106B8F799}" id="{4024695A-4F9E-4A63-AB07-94D8C8E97A11}">
    <text>$MO12eliz</text>
  </threadedComment>
  <threadedComment ref="N16" dT="2024-11-04T18:27:39.97" personId="{DEE143C2-C236-4AE3-B4C0-EBF106B8F799}" id="{6F51E79A-73BA-4E53-8963-66DD722C2575}">
    <text>maitexflores</text>
  </threadedComment>
  <threadedComment ref="AK16" dT="2024-11-04T18:08:01.82" personId="{DEE143C2-C236-4AE3-B4C0-EBF106B8F799}" id="{A5ADF017-96EA-474E-8387-F8EF084BB1B3}">
    <text>MichellFlowers</text>
  </threadedComment>
  <threadedComment ref="BG16" dT="2024-11-04T18:08:58.70" personId="{DEE143C2-C236-4AE3-B4C0-EBF106B8F799}" id="{B722A471-1FDB-4316-A160-42C3A4E6BF53}">
    <text>MichellFlowers</text>
  </threadedComment>
  <threadedComment ref="H17" dT="2024-11-30T23:40:35.51" personId="{DEE143C2-C236-4AE3-B4C0-EBF106B8F799}" id="{46E57B5C-3445-44E9-B5E4-90DCA4F93414}">
    <text>Reactivar</text>
  </threadedComment>
  <threadedComment ref="L19" dT="2025-02-25T19:35:28.72" personId="{DEE143C2-C236-4AE3-B4C0-EBF106B8F799}" id="{5957CBA2-4291-49F2-BD5A-F4BDCD653D9B}">
    <text>CarliMay
Paula912!</text>
  </threadedComment>
  <threadedComment ref="L20" dT="2025-03-18T02:30:38.33" personId="{DEE143C2-C236-4AE3-B4C0-EBF106B8F799}" id="{58EFAB18-9419-4128-A0EF-F782388F62DB}">
    <text>Cherryxblack</text>
  </threadedComment>
  <threadedComment ref="AQ20" dT="2025-03-25T17:49:02.38" personId="{DEE143C2-C236-4AE3-B4C0-EBF106B8F799}" id="{0164E488-EE38-4F64-852C-00F83F93D738}">
    <text>CherryBlackx</text>
  </threadedComment>
  <threadedComment ref="BG20" dT="2025-06-03T22:35:29.98" personId="{DEE143C2-C236-4AE3-B4C0-EBF106B8F799}" id="{C08A258B-2F63-4F15-B7A0-8D505EE000D3}">
    <text>Cherry Black</text>
  </threadedComment>
  <threadedComment ref="BO20" dT="2025-03-18T02:31:47.31" personId="{DEE143C2-C236-4AE3-B4C0-EBF106B8F799}" id="{B5BDB886-1B97-4EDC-B4F2-19B4F41BA6FD}">
    <text>Cherryxblack</text>
  </threadedComment>
  <threadedComment ref="T21" dT="2025-04-02T20:38:18.41" personId="{DEE143C2-C236-4AE3-B4C0-EBF106B8F799}" id="{3472A6E5-3BAC-4897-A80E-C982D90B4A47}">
    <text>ashleyxklein</text>
  </threadedComment>
  <threadedComment ref="L22" dT="2025-05-16T03:45:16.05" personId="{DEE143C2-C236-4AE3-B4C0-EBF106B8F799}" id="{6ADB7F46-E777-4F7A-B6F8-1A89E0E4EC9C}">
    <text>Quedo de User</text>
  </threadedComment>
  <threadedComment ref="L23" dT="2025-05-16T03:45:47.71" personId="{DEE143C2-C236-4AE3-B4C0-EBF106B8F799}" id="{6E201CF6-7D14-409C-868D-2E41A6F80422}">
    <text>Quedo user</text>
  </threadedComment>
  <threadedComment ref="AK23" dT="2025-04-02T20:36:59.48" personId="{DEE143C2-C236-4AE3-B4C0-EBF106B8F799}" id="{FEA0A29F-AB15-43C1-8F8C-EE21BE34C0EB}">
    <text>MadisonxCollins</text>
  </threadedComment>
  <threadedComment ref="L24" dT="2025-04-16T01:05:11.99" personId="{DEE143C2-C236-4AE3-B4C0-EBF106B8F799}" id="{10ED4D33-2464-4FFC-A601-D57755B82070}">
    <text>No se ha entregado</text>
  </threadedComment>
  <threadedComment ref="AW24" dT="2025-04-16T22:13:29.05" personId="{DEE143C2-C236-4AE3-B4C0-EBF106B8F799}" id="{53F5B5F1-B1AE-41D5-B0D8-261C94888C6B}">
    <text>EmmaDarknes</text>
  </threadedComment>
  <threadedComment ref="BC24" dT="2025-04-18T01:56:18.24" personId="{DEE143C2-C236-4AE3-B4C0-EBF106B8F799}" id="{D756E2D9-D3F6-4505-9A15-B884E5543BFA}">
    <text>emmaxdarkness
Lesly489!</text>
  </threadedComment>
  <threadedComment ref="BO24" dT="2025-04-02T20:35:40.14" personId="{DEE143C2-C236-4AE3-B4C0-EBF106B8F799}" id="{FFC8B01C-2A3B-4209-854A-C5132E57892E}">
    <text>emmadarknes</text>
  </threadedComment>
  <threadedComment ref="N25" dT="2025-06-05T19:06:13.82" personId="{DEE143C2-C236-4AE3-B4C0-EBF106B8F799}" id="{DD6C82A8-67E0-4523-B3FC-9A547273E83D}">
    <text>Ashleyxrouser</text>
  </threadedComment>
  <threadedComment ref="BO26" dT="2025-06-05T19:06:40.24" personId="{DEE143C2-C236-4AE3-B4C0-EBF106B8F799}" id="{A62E179B-31E4-45D3-AF06-9137BC620094}">
    <text>Ashleyxrouser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FB3E6086-628E-4BB9-A90C-188D37549B3C}">
    <text>kendraxnoa 
ana57228</text>
  </threadedComment>
  <threadedComment ref="X7" dT="2022-04-20T02:53:07.39" personId="{DEE143C2-C236-4AE3-B4C0-EBF106B8F799}" id="{858083D3-9CB6-4049-A4F6-6451A3F00AFA}">
    <text>kendranoa</text>
  </threadedComment>
  <threadedComment ref="AP7" dT="2023-03-03T03:12:57.66" personId="{31D3E1E2-D342-41C2-8F79-C7E480C0A924}" id="{0EAAB58D-F7AF-43BC-A03B-0356C4827789}">
    <text>20.74 creditos secrefirends</text>
  </threadedComment>
  <threadedComment ref="AQ7" dT="2023-02-17T17:44:49.03" personId="{DEE143C2-C236-4AE3-B4C0-EBF106B8F799}" id="{9C649B53-B660-492B-8FD7-CFA60C5EDC9F}">
    <text>Kendra_Noa</text>
  </threadedComment>
  <threadedComment ref="AU7" dT="2024-01-16T22:51:48.67" personId="{DEE143C2-C236-4AE3-B4C0-EBF106B8F799}" id="{0EFF298A-9E52-4F31-9183-2EB7EB759D57}">
    <text>No la usa</text>
  </threadedComment>
  <threadedComment ref="AW7" dT="2024-05-06T20:04:13.82" personId="{DEE143C2-C236-4AE3-B4C0-EBF106B8F799}" id="{66C94711-A1E3-4F5E-A74B-E81A977DBB9E}">
    <text>KendraNoa 
ana572281</text>
  </threadedComment>
  <threadedComment ref="BA7" dT="2022-07-01T20:04:28.69" personId="{DEE143C2-C236-4AE3-B4C0-EBF106B8F799}" id="{A42A2A5F-F622-473D-B5D2-F2C76EB93488}">
    <text>kendranoa1@tuemailya.com</text>
  </threadedComment>
  <threadedComment ref="BO7" dT="2024-04-17T19:35:50.56" personId="{DEE143C2-C236-4AE3-B4C0-EBF106B8F799}" id="{56E5F8E7-6B06-49C0-9A03-5AA86345D22B}">
    <text>ana572288</text>
  </threadedComment>
  <threadedComment ref="CC7" dT="2022-12-17T23:42:54.94" personId="{31D3E1E2-D342-41C2-8F79-C7E480C0A924}" id="{0D60ED92-BDAC-4B4E-9E67-8AC0F7F7508D}">
    <text>secrefriends</text>
  </threadedComment>
  <threadedComment ref="L8" dT="2023-10-18T17:59:30.75" personId="{DEE143C2-C236-4AE3-B4C0-EBF106B8F799}" id="{F3BB5837-0814-4922-9BC2-8DACAE2865B7}">
    <text>Evadoster
Silvia518!</text>
  </threadedComment>
  <threadedComment ref="R8" dT="2023-11-01T01:05:18.17" personId="{DEE143C2-C236-4AE3-B4C0-EBF106B8F799}" id="{BEDB6EE6-F8A2-43AD-BAC5-D681CCFA0343}">
    <text>EvaDoster</text>
  </threadedComment>
  <threadedComment ref="R8" dT="2025-01-01T00:53:25.54" personId="{DEE143C2-C236-4AE3-B4C0-EBF106B8F799}" id="{85D1E0FD-EA38-4AA1-80E2-58F6EA6288D5}" parentId="{BEDB6EE6-F8A2-43AD-BAC5-D681CCFA0343}">
    <text>No la usa</text>
  </threadedComment>
  <threadedComment ref="T8" dT="2023-11-02T19:31:24.85" personId="{DEE143C2-C236-4AE3-B4C0-EBF106B8F799}" id="{2C1AE76E-224D-434D-AB1C-9FABE4A2610E}">
    <text>Evadavee</text>
  </threadedComment>
  <threadedComment ref="AO8" dT="2025-03-13T02:20:52.90" personId="{DEE143C2-C236-4AE3-B4C0-EBF106B8F799}" id="{1D1DBE85-E702-4065-B502-7F7355AC5437}">
    <text>EvaDaniela</text>
  </threadedComment>
  <threadedComment ref="H9" dT="2024-05-15T22:31:06.41" personId="{DEE143C2-C236-4AE3-B4C0-EBF106B8F799}" id="{725BD9AA-B64C-4D48-91BE-6269A7B8AA87}">
    <text>Reactivar</text>
  </threadedComment>
  <threadedComment ref="L9" dT="2023-12-29T19:26:39.66" personId="{DEE143C2-C236-4AE3-B4C0-EBF106B8F799}" id="{3C4733B3-7761-48AD-A620-5FCB79E9CAE0}">
    <text>ZoeyxHarperx</text>
  </threadedComment>
  <threadedComment ref="N10" dT="2025-01-01T00:21:26.22" personId="{DEE143C2-C236-4AE3-B4C0-EBF106B8F799}" id="{8B2043E3-03CD-48F4-9DD1-3AC465BDD94C}">
    <text>No la usa</text>
  </threadedComment>
  <threadedComment ref="AQ10" dT="2023-10-01T20:28:28.56" personId="{DEE143C2-C236-4AE3-B4C0-EBF106B8F799}" id="{FA1835CA-FE38-44D2-999B-81B495CA7499}">
    <text>Katie_Night</text>
  </threadedComment>
  <threadedComment ref="H12" dT="2024-07-15T23:07:37.61" personId="{DEE143C2-C236-4AE3-B4C0-EBF106B8F799}" id="{3791D98B-8966-4D04-A1EA-7CA34489691D}">
    <text>Re activar</text>
  </threadedComment>
  <threadedComment ref="H14" dT="2024-07-31T22:42:45.86" personId="{DEE143C2-C236-4AE3-B4C0-EBF106B8F799}" id="{4E467976-FC59-46EC-A548-99034537B47B}">
    <text>reactivar</text>
  </threadedComment>
  <threadedComment ref="L14" dT="2024-07-17T21:13:52.99" personId="{DEE143C2-C236-4AE3-B4C0-EBF106B8F799}" id="{C8881080-39BE-4142-AAA8-802EC0CA6083}">
    <text>BiancaxCastle</text>
  </threadedComment>
  <threadedComment ref="N14" dT="2025-01-01T00:21:55.45" personId="{DEE143C2-C236-4AE3-B4C0-EBF106B8F799}" id="{D769FBED-CD0E-413A-95B8-E66240492C6D}">
    <text>No la usa</text>
  </threadedComment>
  <threadedComment ref="B15" dT="2024-10-15T23:33:56.01" personId="{DEE143C2-C236-4AE3-B4C0-EBF106B8F799}" id="{2218083F-5696-4E2F-8285-4E5562724DC6}">
    <text>$MO12eliz</text>
  </threadedComment>
  <threadedComment ref="D15" dT="2024-11-04T18:08:20.30" personId="{DEE143C2-C236-4AE3-B4C0-EBF106B8F799}" id="{349D1431-A31B-4562-9EA8-F783EE3CF8EA}">
    <text>Maitexflores</text>
  </threadedComment>
  <threadedComment ref="H15" dT="2024-10-02T19:31:56.77" personId="{DEE143C2-C236-4AE3-B4C0-EBF106B8F799}" id="{5E245243-9ED6-40BD-BA8F-08F4994EC937}">
    <text>$MO12eliz</text>
  </threadedComment>
  <threadedComment ref="N15" dT="2024-11-04T18:27:39.97" personId="{DEE143C2-C236-4AE3-B4C0-EBF106B8F799}" id="{16E09831-35DD-4640-AFB7-2FFB70A1271C}">
    <text>maitexflores</text>
  </threadedComment>
  <threadedComment ref="X15" dT="2025-06-18T16:45:52.01" personId="{DEE143C2-C236-4AE3-B4C0-EBF106B8F799}" id="{4011907E-2E28-4C8A-B814-AEB0BFDE38B9}">
    <text>MaitexFlores</text>
  </threadedComment>
  <threadedComment ref="AK15" dT="2024-11-04T18:08:01.82" personId="{DEE143C2-C236-4AE3-B4C0-EBF106B8F799}" id="{C95EBFC4-5CAC-453C-939B-8B21C0B57052}">
    <text>MichellFlowers</text>
  </threadedComment>
  <threadedComment ref="BG15" dT="2024-11-04T18:08:58.70" personId="{DEE143C2-C236-4AE3-B4C0-EBF106B8F799}" id="{FA29B263-0498-4E58-81DC-43B501473667}">
    <text>MichellFlowers</text>
  </threadedComment>
  <threadedComment ref="H16" dT="2024-11-30T23:40:35.51" personId="{DEE143C2-C236-4AE3-B4C0-EBF106B8F799}" id="{E6BC1464-4EE6-48C0-AB2E-719C782CECAC}">
    <text>Reactivar</text>
  </threadedComment>
  <threadedComment ref="L18" dT="2025-02-25T19:35:28.72" personId="{DEE143C2-C236-4AE3-B4C0-EBF106B8F799}" id="{B84F1AA5-1FE0-489C-8DCF-BEBDE2F20E31}">
    <text>CarliMay
Paula912!</text>
  </threadedComment>
  <threadedComment ref="AO18" dT="2025-06-18T16:44:14.19" personId="{DEE143C2-C236-4AE3-B4C0-EBF106B8F799}" id="{5804E93C-650F-44ED-A883-5A0CC89D9574}">
    <text>LinaMOntes</text>
  </threadedComment>
  <threadedComment ref="T19" dT="2025-04-02T20:38:18.41" personId="{DEE143C2-C236-4AE3-B4C0-EBF106B8F799}" id="{DBF21786-BD3B-4235-B3A4-99BDFA5CBD5A}">
    <text>ashleyxklein</text>
  </threadedComment>
  <threadedComment ref="L20" dT="2025-05-16T03:45:16.05" personId="{DEE143C2-C236-4AE3-B4C0-EBF106B8F799}" id="{CA005A1B-EFC5-485F-B921-C2262F053A70}">
    <text>Quedo de User</text>
  </threadedComment>
  <threadedComment ref="N20" dT="2025-07-01T18:53:49.35" personId="{DEE143C2-C236-4AE3-B4C0-EBF106B8F799}" id="{335ED78C-5579-4E70-A7C1-B080FB43A0CE}">
    <text>M4</text>
  </threadedComment>
  <threadedComment ref="L21" dT="2025-05-16T03:45:47.71" personId="{DEE143C2-C236-4AE3-B4C0-EBF106B8F799}" id="{569A08CC-46C1-498B-B7EC-A702A05E9422}">
    <text>Quedo user</text>
  </threadedComment>
  <threadedComment ref="AK21" dT="2025-04-02T20:36:59.48" personId="{DEE143C2-C236-4AE3-B4C0-EBF106B8F799}" id="{60E98B54-418E-4D1B-957A-72C230F57DB7}">
    <text>MadisonxCollins</text>
  </threadedComment>
  <threadedComment ref="BO21" dT="2025-07-01T01:30:14.01" personId="{DEE143C2-C236-4AE3-B4C0-EBF106B8F799}" id="{4939E692-EDD8-44D4-A9C6-581CCFD8F6D0}">
    <text>No se entrego</text>
  </threadedComment>
  <threadedComment ref="L22" dT="2025-04-16T01:05:11.99" personId="{DEE143C2-C236-4AE3-B4C0-EBF106B8F799}" id="{E3BC4A5C-AC4C-4800-BF87-EF0CB55F94E1}">
    <text>No se ha entregado</text>
  </threadedComment>
  <threadedComment ref="AW22" dT="2025-04-16T22:13:29.05" personId="{DEE143C2-C236-4AE3-B4C0-EBF106B8F799}" id="{5497A3EE-6AF2-4DAE-836A-06E792407B77}">
    <text>EmmaDarknes</text>
  </threadedComment>
  <threadedComment ref="BC22" dT="2025-04-18T01:56:18.24" personId="{DEE143C2-C236-4AE3-B4C0-EBF106B8F799}" id="{DB382118-CB89-4AB3-919D-1A8C01F0B3ED}">
    <text>emmaxdarkness
Lesly489!</text>
  </threadedComment>
  <threadedComment ref="BO22" dT="2025-04-02T20:35:40.14" personId="{DEE143C2-C236-4AE3-B4C0-EBF106B8F799}" id="{BA529B91-6C11-4221-BA0D-5DE8F68C1E05}">
    <text>emmadarknes</text>
  </threadedComment>
  <threadedComment ref="N24" dT="2025-07-01T18:51:26.31" personId="{DEE143C2-C236-4AE3-B4C0-EBF106B8F799}" id="{E0907FE6-64CC-4CDB-90A1-5B2013CEC5CC}">
    <text>Ashleyxrouser</text>
  </threadedComment>
  <threadedComment ref="N24" dT="2025-07-01T18:52:42.64" personId="{DEE143C2-C236-4AE3-B4C0-EBF106B8F799}" id="{01091297-119D-4EBC-BA1C-A36A4C32723B}" parentId="{E0907FE6-64CC-4CDB-90A1-5B2013CEC5CC}">
    <text>M4</text>
  </threadedComment>
  <threadedComment ref="BO24" dT="2025-06-05T19:06:40.24" personId="{DEE143C2-C236-4AE3-B4C0-EBF106B8F799}" id="{96E5C73D-7543-4355-9442-C4317DD1AFB8}">
    <text>Ashleyxrouser</text>
  </threadedComment>
  <threadedComment ref="L25" dT="2025-06-17T19:31:45.45" personId="{DEE143C2-C236-4AE3-B4C0-EBF106B8F799}" id="{D8157150-85C1-4C52-A329-D5869AE0497D}">
    <text>Arabella_
melanie1222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D98477C2-BA95-434E-879A-308D2E22F98C}">
    <text>kendraxnoa 
ana57228</text>
  </threadedComment>
  <threadedComment ref="X7" dT="2022-04-20T02:53:07.39" personId="{DEE143C2-C236-4AE3-B4C0-EBF106B8F799}" id="{AD7F5720-8BC7-4E60-88FB-064C0A7D6C0E}">
    <text>kendranoa</text>
  </threadedComment>
  <threadedComment ref="AP7" dT="2023-03-03T03:12:57.66" personId="{31D3E1E2-D342-41C2-8F79-C7E480C0A924}" id="{80CEA3D2-C964-4AB9-8B0F-DAC3F6537B0D}">
    <text>20.74 creditos secrefirends</text>
  </threadedComment>
  <threadedComment ref="AQ7" dT="2023-02-17T17:44:49.03" personId="{DEE143C2-C236-4AE3-B4C0-EBF106B8F799}" id="{99877C3D-908C-47C9-AAC4-40D16751BBAF}">
    <text>Kendra_Noa</text>
  </threadedComment>
  <threadedComment ref="AU7" dT="2024-01-16T22:51:48.67" personId="{DEE143C2-C236-4AE3-B4C0-EBF106B8F799}" id="{11FA59D4-C5B9-4EA9-92D0-C5E6F2D33B9C}">
    <text>No la usa</text>
  </threadedComment>
  <threadedComment ref="AW7" dT="2024-05-06T20:04:13.82" personId="{DEE143C2-C236-4AE3-B4C0-EBF106B8F799}" id="{017D2D69-245B-4265-B31B-1893EE08022C}">
    <text>KendraNoa 
ana572281</text>
  </threadedComment>
  <threadedComment ref="BA7" dT="2022-07-01T20:04:28.69" personId="{DEE143C2-C236-4AE3-B4C0-EBF106B8F799}" id="{928739D4-8FC9-4E16-8C83-58439484853D}">
    <text>kendranoa1@tuemailya.com</text>
  </threadedComment>
  <threadedComment ref="BO7" dT="2024-04-17T19:35:50.56" personId="{DEE143C2-C236-4AE3-B4C0-EBF106B8F799}" id="{00B25065-DA7B-4098-85E7-FB93F4F4DE40}">
    <text>ana572288</text>
  </threadedComment>
  <threadedComment ref="CC7" dT="2022-12-17T23:42:54.94" personId="{31D3E1E2-D342-41C2-8F79-C7E480C0A924}" id="{5A247AE2-4A92-404B-A1D7-19FF74B2CE15}">
    <text>secrefriends</text>
  </threadedComment>
  <threadedComment ref="L8" dT="2023-10-18T17:59:30.75" personId="{DEE143C2-C236-4AE3-B4C0-EBF106B8F799}" id="{74C715C4-1872-465A-9126-B3E55399B14D}">
    <text>Evadoster
Silvia518!</text>
  </threadedComment>
  <threadedComment ref="R8" dT="2023-11-01T01:05:18.17" personId="{DEE143C2-C236-4AE3-B4C0-EBF106B8F799}" id="{D0402509-7641-4B0C-8388-06B3DD77C08D}">
    <text>EvaDoster</text>
  </threadedComment>
  <threadedComment ref="R8" dT="2025-01-01T00:53:25.54" personId="{DEE143C2-C236-4AE3-B4C0-EBF106B8F799}" id="{AC8B1AD4-C0B5-4DE1-B492-A9815B1AA380}" parentId="{D0402509-7641-4B0C-8388-06B3DD77C08D}">
    <text>No la usa</text>
  </threadedComment>
  <threadedComment ref="T8" dT="2023-11-02T19:31:24.85" personId="{DEE143C2-C236-4AE3-B4C0-EBF106B8F799}" id="{6ACF273C-3009-4958-8E40-4891D10F479D}">
    <text>Evadavee</text>
  </threadedComment>
  <threadedComment ref="AO8" dT="2025-03-13T02:20:52.90" personId="{DEE143C2-C236-4AE3-B4C0-EBF106B8F799}" id="{7418FAD4-D909-4132-B623-459F390EDB09}">
    <text>EvaDaniela</text>
  </threadedComment>
  <threadedComment ref="H9" dT="2024-05-15T22:31:06.41" personId="{DEE143C2-C236-4AE3-B4C0-EBF106B8F799}" id="{96E2AAAB-0082-427C-AB63-8FB0EEF610ED}">
    <text>Reactivar</text>
  </threadedComment>
  <threadedComment ref="L9" dT="2023-12-29T19:26:39.66" personId="{DEE143C2-C236-4AE3-B4C0-EBF106B8F799}" id="{67E0505D-5A75-478C-BAD7-A504382CA22D}">
    <text>ZoeyxHarperx</text>
  </threadedComment>
  <threadedComment ref="N10" dT="2025-01-01T00:21:26.22" personId="{DEE143C2-C236-4AE3-B4C0-EBF106B8F799}" id="{D1CBF28F-52E0-4D4F-979A-B05A5D01802D}">
    <text>No la usa</text>
  </threadedComment>
  <threadedComment ref="AQ10" dT="2023-10-01T20:28:28.56" personId="{DEE143C2-C236-4AE3-B4C0-EBF106B8F799}" id="{CD942316-72FD-424E-94FA-47C6AF2C5A6F}">
    <text>Katie_Night</text>
  </threadedComment>
  <threadedComment ref="H12" dT="2024-07-15T23:07:37.61" personId="{DEE143C2-C236-4AE3-B4C0-EBF106B8F799}" id="{AB13A3F8-E4CF-4178-9F27-838F028DA9B6}">
    <text>Re activar</text>
  </threadedComment>
  <threadedComment ref="H13" dT="2025-07-15T23:28:38.32" personId="{DEE143C2-C236-4AE3-B4C0-EBF106B8F799}" id="{BA8B1BA2-18E1-4DCA-8752-A1053EBBD1E7}">
    <text>Re activar</text>
  </threadedComment>
  <threadedComment ref="H14" dT="2024-07-31T22:42:45.86" personId="{DEE143C2-C236-4AE3-B4C0-EBF106B8F799}" id="{2931F71E-F22C-4BC4-B100-375B9F2B4F34}">
    <text>reactivar</text>
  </threadedComment>
  <threadedComment ref="L14" dT="2024-07-17T21:13:52.99" personId="{DEE143C2-C236-4AE3-B4C0-EBF106B8F799}" id="{C9206854-480F-41CE-BBE9-318D055BCD12}">
    <text>BiancaxCastle</text>
  </threadedComment>
  <threadedComment ref="N14" dT="2025-01-01T00:21:55.45" personId="{DEE143C2-C236-4AE3-B4C0-EBF106B8F799}" id="{3B68ED7A-3A00-4877-841F-24750F8775E8}">
    <text>No la usa</text>
  </threadedComment>
  <threadedComment ref="B15" dT="2024-10-15T23:33:56.01" personId="{DEE143C2-C236-4AE3-B4C0-EBF106B8F799}" id="{26AE7FCF-EC9E-4787-910B-2D1764A50924}">
    <text>$MO12eliz</text>
  </threadedComment>
  <threadedComment ref="D15" dT="2024-11-04T18:08:20.30" personId="{DEE143C2-C236-4AE3-B4C0-EBF106B8F799}" id="{05F61DD6-FAC7-4715-8B43-F1218AB31594}">
    <text>Maitexflores</text>
  </threadedComment>
  <threadedComment ref="H15" dT="2024-10-02T19:31:56.77" personId="{DEE143C2-C236-4AE3-B4C0-EBF106B8F799}" id="{30D13447-5D6F-49F9-8C97-101A89BE1DAF}">
    <text>$MO12eliz</text>
  </threadedComment>
  <threadedComment ref="N15" dT="2024-11-04T18:27:39.97" personId="{DEE143C2-C236-4AE3-B4C0-EBF106B8F799}" id="{E79B5D71-3834-4E9E-8CCE-B129B1F85D50}">
    <text>maitexflores</text>
  </threadedComment>
  <threadedComment ref="X15" dT="2025-06-18T16:45:52.01" personId="{DEE143C2-C236-4AE3-B4C0-EBF106B8F799}" id="{0FCFF2C4-A283-4339-BEE2-68C528411451}">
    <text>MaitexFlores</text>
  </threadedComment>
  <threadedComment ref="AK15" dT="2024-11-04T18:08:01.82" personId="{DEE143C2-C236-4AE3-B4C0-EBF106B8F799}" id="{7713EE43-EA0E-4A3E-81CC-B01BAB51E1D2}">
    <text>MichellFlowers</text>
  </threadedComment>
  <threadedComment ref="BG15" dT="2024-11-04T18:08:58.70" personId="{DEE143C2-C236-4AE3-B4C0-EBF106B8F799}" id="{70C8B746-CE2F-4BA3-88A2-E2ADEF09E7DE}">
    <text>MichellFlowers</text>
  </threadedComment>
  <threadedComment ref="H16" dT="2024-11-30T23:40:35.51" personId="{DEE143C2-C236-4AE3-B4C0-EBF106B8F799}" id="{7985031F-9A1F-42D7-B516-A2BAD64793F6}">
    <text>Reactivar</text>
  </threadedComment>
  <threadedComment ref="L18" dT="2025-02-25T19:35:28.72" personId="{DEE143C2-C236-4AE3-B4C0-EBF106B8F799}" id="{2390D310-0A94-4907-9AAD-AD2F762F1AD8}">
    <text>CarliMay
Paula912!</text>
  </threadedComment>
  <threadedComment ref="AO18" dT="2025-06-18T16:44:14.19" personId="{DEE143C2-C236-4AE3-B4C0-EBF106B8F799}" id="{62BA0AB6-5969-42F9-A015-293140706049}">
    <text>LinaMOntes</text>
  </threadedComment>
  <threadedComment ref="L19" dT="2025-05-16T03:45:16.05" personId="{DEE143C2-C236-4AE3-B4C0-EBF106B8F799}" id="{F98B658F-8708-4585-8C62-839A36751E64}">
    <text>Quedo de User</text>
  </threadedComment>
  <threadedComment ref="N19" dT="2025-07-01T18:53:49.35" personId="{DEE143C2-C236-4AE3-B4C0-EBF106B8F799}" id="{BDD6769C-B6CF-4FF1-88B6-8399B35799EF}">
    <text>M4</text>
  </threadedComment>
  <threadedComment ref="L21" dT="2025-06-17T19:31:45.45" personId="{DEE143C2-C236-4AE3-B4C0-EBF106B8F799}" id="{33677566-A09A-408D-AC00-929F32471925}">
    <text>Arabella_
melanie1222</text>
  </threadedComment>
  <threadedComment ref="AW22" dT="2025-08-02T04:18:03.40" personId="{DEE143C2-C236-4AE3-B4C0-EBF106B8F799}" id="{58903B4D-0711-4829-9641-F908277E13D0}">
    <text>KourtneyLobo</text>
  </threadedComment>
  <threadedComment ref="BO22" dT="2025-07-16T06:46:41.30" personId="{DEE143C2-C236-4AE3-B4C0-EBF106B8F799}" id="{E4AE7FC3-B404-4A35-9E40-231A28000D1E}">
    <text>kourtneylobo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CDE41FD7-1C33-4ECE-A37C-FA9FDC76AF6F}">
    <text>kendraxnoa 
ana57228</text>
  </threadedComment>
  <threadedComment ref="X7" dT="2022-04-20T02:53:07.39" personId="{DEE143C2-C236-4AE3-B4C0-EBF106B8F799}" id="{FFEBC867-2D8A-45E6-840A-E96CB1BE0408}">
    <text>kendranoa</text>
  </threadedComment>
  <threadedComment ref="AP7" dT="2023-03-03T03:12:57.66" personId="{31D3E1E2-D342-41C2-8F79-C7E480C0A924}" id="{A06880C3-7FB9-497B-8E25-3CB43334CF7D}">
    <text>20.74 creditos secrefirends</text>
  </threadedComment>
  <threadedComment ref="AQ7" dT="2023-02-17T17:44:49.03" personId="{DEE143C2-C236-4AE3-B4C0-EBF106B8F799}" id="{558AF1AE-96C3-4160-82A1-185444F19DA1}">
    <text>Kendra_Noa</text>
  </threadedComment>
  <threadedComment ref="AU7" dT="2024-01-16T22:51:48.67" personId="{DEE143C2-C236-4AE3-B4C0-EBF106B8F799}" id="{440BD6FF-BB23-43B5-B44A-55EE9E613DCF}">
    <text>No la usa</text>
  </threadedComment>
  <threadedComment ref="AW7" dT="2024-05-06T20:04:13.82" personId="{DEE143C2-C236-4AE3-B4C0-EBF106B8F799}" id="{0389FE76-8613-4033-831E-158FCCC5EC08}">
    <text>KendraNoa 
ana572281</text>
  </threadedComment>
  <threadedComment ref="BA7" dT="2022-07-01T20:04:28.69" personId="{DEE143C2-C236-4AE3-B4C0-EBF106B8F799}" id="{36325294-B56F-4FBC-AAA6-F821560F945F}">
    <text>kendranoa1@tuemailya.com</text>
  </threadedComment>
  <threadedComment ref="BO7" dT="2024-04-17T19:35:50.56" personId="{DEE143C2-C236-4AE3-B4C0-EBF106B8F799}" id="{30B70385-D251-4D6D-8A81-CDFE56158EB8}">
    <text>ana572288</text>
  </threadedComment>
  <threadedComment ref="CC7" dT="2022-12-17T23:42:54.94" personId="{31D3E1E2-D342-41C2-8F79-C7E480C0A924}" id="{1EA33F77-D2DC-4AD0-8084-38AB158E2C51}">
    <text>secrefriends</text>
  </threadedComment>
  <threadedComment ref="L8" dT="2023-10-18T17:59:30.75" personId="{DEE143C2-C236-4AE3-B4C0-EBF106B8F799}" id="{8B5CEF6A-F700-4A49-8FE5-93F68BF8E969}">
    <text>Evadoster
Silvia518!</text>
  </threadedComment>
  <threadedComment ref="R8" dT="2023-11-01T01:05:18.17" personId="{DEE143C2-C236-4AE3-B4C0-EBF106B8F799}" id="{D27AA727-ABF1-4528-8A37-4EE653A353A6}">
    <text>EvaDoster</text>
  </threadedComment>
  <threadedComment ref="R8" dT="2025-01-01T00:53:25.54" personId="{DEE143C2-C236-4AE3-B4C0-EBF106B8F799}" id="{63439077-F9FB-430B-ABA5-7AD94A2A5367}" parentId="{D27AA727-ABF1-4528-8A37-4EE653A353A6}">
    <text>No la usa</text>
  </threadedComment>
  <threadedComment ref="T8" dT="2023-11-02T19:31:24.85" personId="{DEE143C2-C236-4AE3-B4C0-EBF106B8F799}" id="{4BB2C917-E368-4AB0-8B40-7C66BB2EE175}">
    <text>Evadavee</text>
  </threadedComment>
  <threadedComment ref="AO8" dT="2025-03-13T02:20:52.90" personId="{DEE143C2-C236-4AE3-B4C0-EBF106B8F799}" id="{C6DC0F08-D09C-467C-9DA0-AD0904EB4C76}">
    <text>EvaDaniela</text>
  </threadedComment>
  <threadedComment ref="H9" dT="2024-05-15T22:31:06.41" personId="{DEE143C2-C236-4AE3-B4C0-EBF106B8F799}" id="{E031CB4D-9B4F-4098-98ED-D9F4E5F44DE8}">
    <text>Reactivar</text>
  </threadedComment>
  <threadedComment ref="L9" dT="2023-12-29T19:26:39.66" personId="{DEE143C2-C236-4AE3-B4C0-EBF106B8F799}" id="{D81DECE0-10F1-45CA-B398-B7F80E89716C}">
    <text>ZoeyxHarperx</text>
  </threadedComment>
  <threadedComment ref="N10" dT="2025-01-01T00:21:26.22" personId="{DEE143C2-C236-4AE3-B4C0-EBF106B8F799}" id="{DE270834-76A3-4B03-A8AE-E531CDC341EB}">
    <text>No la usa</text>
  </threadedComment>
  <threadedComment ref="AQ10" dT="2023-10-01T20:28:28.56" personId="{DEE143C2-C236-4AE3-B4C0-EBF106B8F799}" id="{6E6A2FFC-CEF2-4E18-B7D7-06391840B271}">
    <text>Katie_Night</text>
  </threadedComment>
  <threadedComment ref="H12" dT="2024-07-15T23:07:37.61" personId="{DEE143C2-C236-4AE3-B4C0-EBF106B8F799}" id="{60895139-1C2A-4002-8E4A-C853349B6BBD}">
    <text>Re activar</text>
  </threadedComment>
  <threadedComment ref="H14" dT="2024-07-31T22:42:45.86" personId="{DEE143C2-C236-4AE3-B4C0-EBF106B8F799}" id="{731221D4-C5E4-4D54-93FB-094A5DA20FE7}">
    <text>reactivar</text>
  </threadedComment>
  <threadedComment ref="L14" dT="2024-07-17T21:13:52.99" personId="{DEE143C2-C236-4AE3-B4C0-EBF106B8F799}" id="{142C3072-0BED-447B-B141-CF1378458469}">
    <text>BiancaxCastle</text>
  </threadedComment>
  <threadedComment ref="N14" dT="2025-01-01T00:21:55.45" personId="{DEE143C2-C236-4AE3-B4C0-EBF106B8F799}" id="{F3DD5CB1-1DFE-42ED-8DE2-D6BB8DFAFC42}">
    <text>No la usa</text>
  </threadedComment>
  <threadedComment ref="B15" dT="2024-10-15T23:33:56.01" personId="{DEE143C2-C236-4AE3-B4C0-EBF106B8F799}" id="{3D7DE692-98CE-4EC2-91B0-867F8425086C}">
    <text>$MO12eliz</text>
  </threadedComment>
  <threadedComment ref="D15" dT="2024-11-04T18:08:20.30" personId="{DEE143C2-C236-4AE3-B4C0-EBF106B8F799}" id="{894B94F1-575C-4840-84F6-FA1D6D86847A}">
    <text>Maitexflores</text>
  </threadedComment>
  <threadedComment ref="H15" dT="2024-10-02T19:31:56.77" personId="{DEE143C2-C236-4AE3-B4C0-EBF106B8F799}" id="{BAC07508-2D27-4109-A8E5-73A1DCE65027}">
    <text>$MO12eliz</text>
  </threadedComment>
  <threadedComment ref="N15" dT="2024-11-04T18:27:39.97" personId="{DEE143C2-C236-4AE3-B4C0-EBF106B8F799}" id="{577FEF67-EE9C-4F1F-9DE9-A1B76849B61F}">
    <text>maitexflores</text>
  </threadedComment>
  <threadedComment ref="X15" dT="2025-06-18T16:45:52.01" personId="{DEE143C2-C236-4AE3-B4C0-EBF106B8F799}" id="{75C12011-8AC1-47DB-9731-D826B5651527}">
    <text>MaitexFlores</text>
  </threadedComment>
  <threadedComment ref="AK15" dT="2024-11-04T18:08:01.82" personId="{DEE143C2-C236-4AE3-B4C0-EBF106B8F799}" id="{E796D69B-FE1D-4DFF-A9B6-440306F54F95}">
    <text>MichellFlowers</text>
  </threadedComment>
  <threadedComment ref="BG15" dT="2024-11-04T18:08:58.70" personId="{DEE143C2-C236-4AE3-B4C0-EBF106B8F799}" id="{862465E3-0C6E-4878-9BFF-DFFD673813F2}">
    <text>MichellFlowers</text>
  </threadedComment>
  <threadedComment ref="H16" dT="2024-11-30T23:40:35.51" personId="{DEE143C2-C236-4AE3-B4C0-EBF106B8F799}" id="{356283ED-3250-4347-8C07-FD101FCEEDEF}">
    <text>Reactivar</text>
  </threadedComment>
  <threadedComment ref="L18" dT="2025-02-25T19:35:28.72" personId="{DEE143C2-C236-4AE3-B4C0-EBF106B8F799}" id="{4864B9D4-D2AD-4E71-8E21-FA8C4B9E9571}">
    <text>CarliMay
Paula912!</text>
  </threadedComment>
  <threadedComment ref="AO18" dT="2025-06-18T16:44:14.19" personId="{DEE143C2-C236-4AE3-B4C0-EBF106B8F799}" id="{E1A3EDAB-CDDC-4CC9-84C0-62B32FF4F4D9}">
    <text>LinaMOntes</text>
  </threadedComment>
  <threadedComment ref="L19" dT="2025-05-16T03:45:16.05" personId="{DEE143C2-C236-4AE3-B4C0-EBF106B8F799}" id="{D98EDC29-303C-45B0-8559-A2DAAD487A90}">
    <text>Quedo de User</text>
  </threadedComment>
  <threadedComment ref="N19" dT="2025-07-01T18:53:49.35" personId="{DEE143C2-C236-4AE3-B4C0-EBF106B8F799}" id="{D615FCA5-5E10-4242-BA05-4F8E477B5F6C}">
    <text>M4</text>
  </threadedComment>
  <threadedComment ref="L21" dT="2025-06-17T19:31:45.45" personId="{DEE143C2-C236-4AE3-B4C0-EBF106B8F799}" id="{76DCA973-B776-4ED5-BE42-10F9E25FE257}">
    <text>Arabella_
melanie1222</text>
  </threadedComment>
  <threadedComment ref="H22" dT="2025-08-31T22:31:14.96" personId="{DEE143C2-C236-4AE3-B4C0-EBF106B8F799}" id="{11BFC995-58B0-425E-ABCB-CF32410D551A}">
    <text>Re activar</text>
  </threadedComment>
  <threadedComment ref="AW22" dT="2025-08-02T04:18:03.40" personId="{DEE143C2-C236-4AE3-B4C0-EBF106B8F799}" id="{295F27C0-7790-4512-BF5C-7294128E2083}">
    <text>KourtneyLobo</text>
  </threadedComment>
  <threadedComment ref="BO22" dT="2025-07-16T06:46:41.30" personId="{DEE143C2-C236-4AE3-B4C0-EBF106B8F799}" id="{529ACD04-0657-4C3A-B7EA-AB19A46ABD8F}">
    <text>kourtneylobo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64B0CCD3-68E3-4F06-8FBA-121141D1DDB6}">
    <text>kendraxnoa 
ana57228</text>
  </threadedComment>
  <threadedComment ref="X7" dT="2022-04-20T02:53:07.39" personId="{DEE143C2-C236-4AE3-B4C0-EBF106B8F799}" id="{B9328485-A8D5-41B3-9543-0AEBD9445E49}">
    <text>kendranoa</text>
  </threadedComment>
  <threadedComment ref="AP7" dT="2023-03-03T03:12:57.66" personId="{31D3E1E2-D342-41C2-8F79-C7E480C0A924}" id="{9054B2F5-8668-4F12-B3B3-98685320E862}">
    <text>20.74 creditos secrefirends</text>
  </threadedComment>
  <threadedComment ref="AQ7" dT="2023-02-17T17:44:49.03" personId="{DEE143C2-C236-4AE3-B4C0-EBF106B8F799}" id="{4F09B757-5594-4B7B-A89B-3E8CBC8E1595}">
    <text>Kendra_Noa</text>
  </threadedComment>
  <threadedComment ref="AU7" dT="2024-01-16T22:51:48.67" personId="{DEE143C2-C236-4AE3-B4C0-EBF106B8F799}" id="{A08D7BB7-A562-48E8-A807-1E5D2EF53192}">
    <text>No la usa</text>
  </threadedComment>
  <threadedComment ref="AW7" dT="2024-05-06T20:04:13.82" personId="{DEE143C2-C236-4AE3-B4C0-EBF106B8F799}" id="{476EBE0F-C395-49EA-8900-F9E918066A79}">
    <text>KendraNoa 
ana572281</text>
  </threadedComment>
  <threadedComment ref="BA7" dT="2022-07-01T20:04:28.69" personId="{DEE143C2-C236-4AE3-B4C0-EBF106B8F799}" id="{4C9321AE-2BFB-40DA-B6FA-58C1F94B766F}">
    <text>kendranoa1@tuemailya.com</text>
  </threadedComment>
  <threadedComment ref="BO7" dT="2024-04-17T19:35:50.56" personId="{DEE143C2-C236-4AE3-B4C0-EBF106B8F799}" id="{44963E02-7339-46F2-AD46-007B70068781}">
    <text>ana572288</text>
  </threadedComment>
  <threadedComment ref="CC7" dT="2022-12-17T23:42:54.94" personId="{31D3E1E2-D342-41C2-8F79-C7E480C0A924}" id="{08967413-7E87-4376-94A5-1630D3D25E2C}">
    <text>secrefriends</text>
  </threadedComment>
  <threadedComment ref="L8" dT="2023-10-18T17:59:30.75" personId="{DEE143C2-C236-4AE3-B4C0-EBF106B8F799}" id="{22C5F2E5-FC3E-4DDA-845B-174111B06720}">
    <text>Evadoster
Silvia518!</text>
  </threadedComment>
  <threadedComment ref="R8" dT="2023-11-01T01:05:18.17" personId="{DEE143C2-C236-4AE3-B4C0-EBF106B8F799}" id="{FEE5E850-55E7-4FFA-A914-18236E267291}">
    <text>EvaDoster</text>
  </threadedComment>
  <threadedComment ref="R8" dT="2025-01-01T00:53:25.54" personId="{DEE143C2-C236-4AE3-B4C0-EBF106B8F799}" id="{CD075D86-EB82-4F5F-A29C-DB1121C55AAD}" parentId="{FEE5E850-55E7-4FFA-A914-18236E267291}">
    <text>No la usa</text>
  </threadedComment>
  <threadedComment ref="T8" dT="2023-11-02T19:31:24.85" personId="{DEE143C2-C236-4AE3-B4C0-EBF106B8F799}" id="{D2BC8F88-EA49-4D26-B9EC-E1BBEC74F1C8}">
    <text>Evadavee</text>
  </threadedComment>
  <threadedComment ref="AO8" dT="2025-03-13T02:20:52.90" personId="{DEE143C2-C236-4AE3-B4C0-EBF106B8F799}" id="{275E463E-8C2A-41D5-B54B-9751649EE9B0}">
    <text>EvaDaniela</text>
  </threadedComment>
  <threadedComment ref="BC8" dT="2025-09-17T17:56:06.71" personId="{DEE143C2-C236-4AE3-B4C0-EBF106B8F799}" id="{62894E77-8D3D-4E05-809A-127751AA497A}">
    <text>Falto *parte* de agosto</text>
  </threadedComment>
  <threadedComment ref="BU8" dT="2025-09-17T21:44:00.74" personId="{DEE143C2-C236-4AE3-B4C0-EBF106B8F799}" id="{8D73B3FE-8EA5-4259-851B-457B861E255A}">
    <text>9NFn6u25</text>
  </threadedComment>
  <threadedComment ref="H9" dT="2024-05-15T22:31:06.41" personId="{DEE143C2-C236-4AE3-B4C0-EBF106B8F799}" id="{E76FB819-9937-44FC-8E53-53683CAF0354}">
    <text>Reactivar</text>
  </threadedComment>
  <threadedComment ref="L9" dT="2023-12-29T19:26:39.66" personId="{DEE143C2-C236-4AE3-B4C0-EBF106B8F799}" id="{15A62566-37AB-4240-B7C5-B8E2AA8ED6C6}">
    <text>ZoeyxHarperx</text>
  </threadedComment>
  <threadedComment ref="BU9" dT="2025-09-17T21:48:02.10" personId="{DEE143C2-C236-4AE3-B4C0-EBF106B8F799}" id="{A5302B0C-F1D8-46BB-98A2-EDD0EA43CFE9}">
    <text>AoFNv76v9206</text>
  </threadedComment>
  <threadedComment ref="N10" dT="2025-01-01T00:21:26.22" personId="{DEE143C2-C236-4AE3-B4C0-EBF106B8F799}" id="{98600CF9-98F2-408D-8131-5CED3D19D4B4}">
    <text>No la usa</text>
  </threadedComment>
  <threadedComment ref="AQ10" dT="2023-10-01T20:28:28.56" personId="{DEE143C2-C236-4AE3-B4C0-EBF106B8F799}" id="{CD0E82ED-6CA7-406F-A2E5-6F98329A3F38}">
    <text>Katie_Night</text>
  </threadedComment>
  <threadedComment ref="BU11" dT="2025-09-17T21:44:35.35" personId="{DEE143C2-C236-4AE3-B4C0-EBF106B8F799}" id="{F64DBD36-10CE-49F8-8364-986F813D7D79}">
    <text>JT4o8u9i</text>
  </threadedComment>
  <threadedComment ref="H12" dT="2024-07-15T23:07:37.61" personId="{DEE143C2-C236-4AE3-B4C0-EBF106B8F799}" id="{662B0AB1-DCAC-421F-87CC-894E442A9C7F}">
    <text>Re activar</text>
  </threadedComment>
  <threadedComment ref="H14" dT="2024-07-31T22:42:45.86" personId="{DEE143C2-C236-4AE3-B4C0-EBF106B8F799}" id="{39830D4A-6E55-45B6-8D4E-6AAF3E7D280B}">
    <text>reactivar</text>
  </threadedComment>
  <threadedComment ref="L14" dT="2024-07-17T21:13:52.99" personId="{DEE143C2-C236-4AE3-B4C0-EBF106B8F799}" id="{03DAA393-0FB3-40CF-B1A5-BB01AD82A66F}">
    <text>BiancaxCastle</text>
  </threadedComment>
  <threadedComment ref="N14" dT="2025-01-01T00:21:55.45" personId="{DEE143C2-C236-4AE3-B4C0-EBF106B8F799}" id="{7B48F07A-E2C7-415E-8CE4-4EAB5E0C6738}">
    <text>No la usa</text>
  </threadedComment>
  <threadedComment ref="B15" dT="2024-10-15T23:33:56.01" personId="{DEE143C2-C236-4AE3-B4C0-EBF106B8F799}" id="{B5126D36-B531-4166-820C-CB6A27D80623}">
    <text>$MO12eliz</text>
  </threadedComment>
  <threadedComment ref="D15" dT="2024-11-04T18:08:20.30" personId="{DEE143C2-C236-4AE3-B4C0-EBF106B8F799}" id="{CC160693-ECF6-4E15-9789-DC0552772DE8}">
    <text>Maitexflores</text>
  </threadedComment>
  <threadedComment ref="H15" dT="2024-10-02T19:31:56.77" personId="{DEE143C2-C236-4AE3-B4C0-EBF106B8F799}" id="{B7FB214F-640B-4F53-BD3D-48FEB550A167}">
    <text>$MO12eliz</text>
  </threadedComment>
  <threadedComment ref="N15" dT="2024-11-04T18:27:39.97" personId="{DEE143C2-C236-4AE3-B4C0-EBF106B8F799}" id="{3843DE42-CE8D-463A-80DD-F4F5074D9314}">
    <text>maitexflores</text>
  </threadedComment>
  <threadedComment ref="X15" dT="2025-06-18T16:45:52.01" personId="{DEE143C2-C236-4AE3-B4C0-EBF106B8F799}" id="{2623E5CF-2779-48A1-8483-C38F2BD7077C}">
    <text>MaitexFlores</text>
  </threadedComment>
  <threadedComment ref="AK15" dT="2024-11-04T18:08:01.82" personId="{DEE143C2-C236-4AE3-B4C0-EBF106B8F799}" id="{85B68725-8267-4727-864B-F24CBF80F95F}">
    <text>MichellFlowers</text>
  </threadedComment>
  <threadedComment ref="BG15" dT="2024-11-04T18:08:58.70" personId="{DEE143C2-C236-4AE3-B4C0-EBF106B8F799}" id="{A87E0597-A0F8-4EEB-B383-148D04E1CD17}">
    <text>MichellFlowers</text>
  </threadedComment>
  <threadedComment ref="BU15" dT="2025-09-17T21:45:46.40" personId="{DEE143C2-C236-4AE3-B4C0-EBF106B8F799}" id="{7DAEAF73-5437-4927-9EC6-1D6ABB5877AE}">
    <text>:'$V5@iB550w</text>
  </threadedComment>
  <threadedComment ref="H16" dT="2024-11-30T23:40:35.51" personId="{DEE143C2-C236-4AE3-B4C0-EBF106B8F799}" id="{14CE2EB3-8C14-408E-A31D-0AD265CA2950}">
    <text>Reactivar</text>
  </threadedComment>
  <threadedComment ref="BC17" dT="2025-10-02T00:15:36.97" personId="{DEE143C2-C236-4AE3-B4C0-EBF106B8F799}" id="{AE42EE4E-0A45-4990-9AC9-3B93DFE6D0E6}">
    <text>No la usa</text>
  </threadedComment>
  <threadedComment ref="L18" dT="2025-02-25T19:35:28.72" personId="{DEE143C2-C236-4AE3-B4C0-EBF106B8F799}" id="{F233AA69-66AE-4CFF-BFF8-B6A0240D7DB4}">
    <text>CarliMay
Paula912!</text>
  </threadedComment>
  <threadedComment ref="AO18" dT="2025-06-18T16:44:14.19" personId="{DEE143C2-C236-4AE3-B4C0-EBF106B8F799}" id="{2A771226-F979-42B5-A524-21654F834AC9}">
    <text>LinaMOntes</text>
  </threadedComment>
  <threadedComment ref="L19" dT="2025-05-16T03:45:16.05" personId="{DEE143C2-C236-4AE3-B4C0-EBF106B8F799}" id="{29286450-31EF-45BB-8F46-AB53EC3CCDB8}">
    <text>Quedo de User</text>
  </threadedComment>
  <threadedComment ref="N19" dT="2025-07-01T18:53:49.35" personId="{DEE143C2-C236-4AE3-B4C0-EBF106B8F799}" id="{FD42BB4C-B37C-46C0-BBFB-6E04B95BECE1}">
    <text>M4</text>
  </threadedComment>
  <threadedComment ref="L21" dT="2025-06-17T19:31:45.45" personId="{DEE143C2-C236-4AE3-B4C0-EBF106B8F799}" id="{2316E1D3-24DF-427F-84EA-46EB2FEDD351}">
    <text>Arabella_
melanie1222</text>
  </threadedComment>
  <threadedComment ref="BU21" dT="2025-09-17T21:42:37.04" personId="{DEE143C2-C236-4AE3-B4C0-EBF106B8F799}" id="{BEA4E120-3631-44E2-A748-F26D70A7E41C}">
    <text>x91FJoF3</text>
  </threadedComment>
  <threadedComment ref="H22" dT="2025-08-31T22:31:14.96" personId="{DEE143C2-C236-4AE3-B4C0-EBF106B8F799}" id="{92960F49-E948-4247-A179-74A1BF0086CF}">
    <text>Re activar</text>
  </threadedComment>
  <threadedComment ref="AW22" dT="2025-08-02T04:18:03.40" personId="{DEE143C2-C236-4AE3-B4C0-EBF106B8F799}" id="{644BE6FB-737F-4FE5-859A-118C063B481D}">
    <text>KourtneyLobo</text>
  </threadedComment>
  <threadedComment ref="BO22" dT="2025-07-16T06:46:41.30" personId="{DEE143C2-C236-4AE3-B4C0-EBF106B8F799}" id="{E606AFB2-F574-4D4A-8580-D8D6578BEECD}">
    <text>kourtneylobo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527F9EC8-1EE9-4ADC-8313-372A129DC08B}">
    <text>kendraxnoa 
ana57228</text>
  </threadedComment>
  <threadedComment ref="X7" dT="2022-04-20T02:53:07.39" personId="{DEE143C2-C236-4AE3-B4C0-EBF106B8F799}" id="{4F750B5A-D238-453F-8F25-370C5632AC1F}">
    <text>kendranoa</text>
  </threadedComment>
  <threadedComment ref="AP7" dT="2023-03-03T03:12:57.66" personId="{31D3E1E2-D342-41C2-8F79-C7E480C0A924}" id="{82676F45-7C97-4338-863A-F9B3EDE2D6C7}">
    <text>20.74 creditos secrefirends</text>
  </threadedComment>
  <threadedComment ref="AQ7" dT="2023-02-17T17:44:49.03" personId="{DEE143C2-C236-4AE3-B4C0-EBF106B8F799}" id="{E1082C81-3557-453B-BF25-182AD6E1E199}">
    <text>Kendra_Noa</text>
  </threadedComment>
  <threadedComment ref="AU7" dT="2024-01-16T22:51:48.67" personId="{DEE143C2-C236-4AE3-B4C0-EBF106B8F799}" id="{90F09A80-6E56-4BFD-A02C-0DAC67F51C89}">
    <text>No la usa</text>
  </threadedComment>
  <threadedComment ref="AW7" dT="2024-05-06T20:04:13.82" personId="{DEE143C2-C236-4AE3-B4C0-EBF106B8F799}" id="{CBEAD534-9C69-4886-980E-5E889190F4C7}">
    <text>KendraNoa 
ana572281</text>
  </threadedComment>
  <threadedComment ref="BA7" dT="2022-07-01T20:04:28.69" personId="{DEE143C2-C236-4AE3-B4C0-EBF106B8F799}" id="{8D28EEE7-6C27-40E9-8845-A5BEF44C6964}">
    <text>kendranoa1@tuemailya.com</text>
  </threadedComment>
  <threadedComment ref="BO7" dT="2024-04-17T19:35:50.56" personId="{DEE143C2-C236-4AE3-B4C0-EBF106B8F799}" id="{C92B3220-E280-4FB0-BC7C-C6B158760A6C}">
    <text>ana572288</text>
  </threadedComment>
  <threadedComment ref="CC7" dT="2022-12-17T23:42:54.94" personId="{31D3E1E2-D342-41C2-8F79-C7E480C0A924}" id="{FA9E9AB2-8765-4662-887F-8F67FD48F240}">
    <text>secrefriends</text>
  </threadedComment>
  <threadedComment ref="L8" dT="2023-10-18T17:59:30.75" personId="{DEE143C2-C236-4AE3-B4C0-EBF106B8F799}" id="{464D26CB-8BD3-4F11-BF6B-1AD35FBA47D6}">
    <text>Evadoster
Silvia518!</text>
  </threadedComment>
  <threadedComment ref="R8" dT="2023-11-01T01:05:18.17" personId="{DEE143C2-C236-4AE3-B4C0-EBF106B8F799}" id="{FFC30240-30D9-47B6-B0F8-63478F6B4B19}">
    <text>EvaDoster</text>
  </threadedComment>
  <threadedComment ref="R8" dT="2025-01-01T00:53:25.54" personId="{DEE143C2-C236-4AE3-B4C0-EBF106B8F799}" id="{72DA7A0C-FA22-4026-B3FA-F53E851C0D9E}" parentId="{FFC30240-30D9-47B6-B0F8-63478F6B4B19}">
    <text>No la usa</text>
  </threadedComment>
  <threadedComment ref="T8" dT="2023-11-02T19:31:24.85" personId="{DEE143C2-C236-4AE3-B4C0-EBF106B8F799}" id="{1A2D308A-A43C-4FC6-9706-C889820EBC8D}">
    <text>Evadavee</text>
  </threadedComment>
  <threadedComment ref="AO8" dT="2025-03-13T02:20:52.90" personId="{DEE143C2-C236-4AE3-B4C0-EBF106B8F799}" id="{828E55A4-FD14-4C38-A65C-750DD9F21DC2}">
    <text>EvaDaniela</text>
  </threadedComment>
  <threadedComment ref="BU8" dT="2025-09-17T21:44:00.74" personId="{DEE143C2-C236-4AE3-B4C0-EBF106B8F799}" id="{388FAD47-899B-4124-A76C-C7B015C1CEA2}">
    <text>9NFn6u25</text>
  </threadedComment>
  <threadedComment ref="H9" dT="2024-05-15T22:31:06.41" personId="{DEE143C2-C236-4AE3-B4C0-EBF106B8F799}" id="{81D4DA56-C842-4B42-8A5F-BBD3DFD15E80}">
    <text>Reactivar</text>
  </threadedComment>
  <threadedComment ref="L9" dT="2023-12-29T19:26:39.66" personId="{DEE143C2-C236-4AE3-B4C0-EBF106B8F799}" id="{BAC9EF7F-6E17-424F-B8D9-86F750EF2A0A}">
    <text>ZoeyxHarperx</text>
  </threadedComment>
  <threadedComment ref="BU9" dT="2025-09-17T21:48:02.10" personId="{DEE143C2-C236-4AE3-B4C0-EBF106B8F799}" id="{DBBD6E40-6F3D-408B-AA2A-F7AC688C202C}">
    <text>AoFNv76v9206</text>
  </threadedComment>
  <threadedComment ref="N10" dT="2025-01-01T00:21:26.22" personId="{DEE143C2-C236-4AE3-B4C0-EBF106B8F799}" id="{90FACFF4-FF1B-4074-98FD-868A8F000FE2}">
    <text>No la usa</text>
  </threadedComment>
  <threadedComment ref="AQ10" dT="2023-10-01T20:28:28.56" personId="{DEE143C2-C236-4AE3-B4C0-EBF106B8F799}" id="{EFA544C9-E272-44B6-8B95-2926A082A8B5}">
    <text>Katie_Night</text>
  </threadedComment>
  <threadedComment ref="BU11" dT="2025-09-17T21:44:35.35" personId="{DEE143C2-C236-4AE3-B4C0-EBF106B8F799}" id="{BD3459B2-149C-4506-B482-16899914E233}">
    <text>JT4o8u9i</text>
  </threadedComment>
  <threadedComment ref="H12" dT="2024-07-15T23:07:37.61" personId="{DEE143C2-C236-4AE3-B4C0-EBF106B8F799}" id="{AF33BF46-AFCE-4224-9A67-F4DE32943089}">
    <text>Re activar</text>
  </threadedComment>
  <threadedComment ref="AU13" dT="2025-11-01T04:20:54.83" personId="{DEE143C2-C236-4AE3-B4C0-EBF106B8F799}" id="{004F7175-BF51-4BB3-ABF2-9D4BB780AB86}">
    <text>No la usa</text>
  </threadedComment>
  <threadedComment ref="H14" dT="2024-07-31T22:42:45.86" personId="{DEE143C2-C236-4AE3-B4C0-EBF106B8F799}" id="{0A688BFE-2F50-4F53-ABA9-6B5B3EFBBF1D}">
    <text>reactivar</text>
  </threadedComment>
  <threadedComment ref="L14" dT="2024-07-17T21:13:52.99" personId="{DEE143C2-C236-4AE3-B4C0-EBF106B8F799}" id="{8C6FF1E2-5C03-4BDF-A8BD-3D48CE4F4EE0}">
    <text>BiancaxCastle</text>
  </threadedComment>
  <threadedComment ref="N14" dT="2025-01-01T00:21:55.45" personId="{DEE143C2-C236-4AE3-B4C0-EBF106B8F799}" id="{65E789E0-9D00-41CA-9C6A-2F9509E04816}">
    <text>No la usa</text>
  </threadedComment>
  <threadedComment ref="B15" dT="2024-10-15T23:33:56.01" personId="{DEE143C2-C236-4AE3-B4C0-EBF106B8F799}" id="{2CF975B7-A1F0-4663-BF32-24F1A2F83F7F}">
    <text>$MO12eliz</text>
  </threadedComment>
  <threadedComment ref="D15" dT="2024-11-04T18:08:20.30" personId="{DEE143C2-C236-4AE3-B4C0-EBF106B8F799}" id="{91FA0420-DC20-4B94-A985-86CE6D40590F}">
    <text>Maitexflores</text>
  </threadedComment>
  <threadedComment ref="H15" dT="2024-10-02T19:31:56.77" personId="{DEE143C2-C236-4AE3-B4C0-EBF106B8F799}" id="{458E7C13-A281-4608-B134-6353B9F547B6}">
    <text>$MO12eliz</text>
  </threadedComment>
  <threadedComment ref="N15" dT="2024-11-04T18:27:39.97" personId="{DEE143C2-C236-4AE3-B4C0-EBF106B8F799}" id="{91EDD056-FF5C-4975-9B9D-549EE65F6075}">
    <text>maitexflores</text>
  </threadedComment>
  <threadedComment ref="X15" dT="2025-06-18T16:45:52.01" personId="{DEE143C2-C236-4AE3-B4C0-EBF106B8F799}" id="{8C0BCBD3-8D29-4BE5-9448-7AAC691251D5}">
    <text>MaitexFlores</text>
  </threadedComment>
  <threadedComment ref="AK15" dT="2024-11-04T18:08:01.82" personId="{DEE143C2-C236-4AE3-B4C0-EBF106B8F799}" id="{9DC24598-D2BC-4DA3-9B33-D22C1DBDEB4D}">
    <text>MichellFlowers</text>
  </threadedComment>
  <threadedComment ref="BG15" dT="2024-11-04T18:08:58.70" personId="{DEE143C2-C236-4AE3-B4C0-EBF106B8F799}" id="{E84A117C-A074-4E54-B445-69CDC04E0157}">
    <text>MichellFlowers</text>
  </threadedComment>
  <threadedComment ref="BU15" dT="2025-09-17T21:45:46.40" personId="{DEE143C2-C236-4AE3-B4C0-EBF106B8F799}" id="{38809B6A-1A59-4DBB-9A73-915CCAFD8BAF}">
    <text>:'$V5@iB550w</text>
  </threadedComment>
  <threadedComment ref="H16" dT="2024-11-30T23:40:35.51" personId="{DEE143C2-C236-4AE3-B4C0-EBF106B8F799}" id="{11679B2F-E1D4-4E1A-A621-A7D81399F6C1}">
    <text>Reactivar</text>
  </threadedComment>
  <threadedComment ref="BC17" dT="2025-10-02T00:15:36.97" personId="{DEE143C2-C236-4AE3-B4C0-EBF106B8F799}" id="{E173AF28-E547-4B93-BE08-6188D74E8C03}">
    <text>No la usa</text>
  </threadedComment>
  <threadedComment ref="L18" dT="2025-02-25T19:35:28.72" personId="{DEE143C2-C236-4AE3-B4C0-EBF106B8F799}" id="{2DF314CC-305A-470C-86A8-522C0A828FFC}">
    <text>CarliMay
Paula912!</text>
  </threadedComment>
  <threadedComment ref="AO18" dT="2025-06-18T16:44:14.19" personId="{DEE143C2-C236-4AE3-B4C0-EBF106B8F799}" id="{70B2765C-B0B3-448B-86E3-6BEC50848961}">
    <text>LinaMOntes</text>
  </threadedComment>
  <threadedComment ref="L19" dT="2025-05-16T03:45:16.05" personId="{DEE143C2-C236-4AE3-B4C0-EBF106B8F799}" id="{15F7552C-A61A-4714-AE50-FCB1AE9FFD18}">
    <text>Quedo de User</text>
  </threadedComment>
  <threadedComment ref="N19" dT="2025-07-01T18:53:49.35" personId="{DEE143C2-C236-4AE3-B4C0-EBF106B8F799}" id="{F6822961-48D0-4EE2-B319-9DE778570FD4}">
    <text>M4</text>
  </threadedComment>
  <threadedComment ref="L21" dT="2025-06-17T19:31:45.45" personId="{DEE143C2-C236-4AE3-B4C0-EBF106B8F799}" id="{E57F24A5-A54E-4BFD-A07E-71A754D06D09}">
    <text>Arabella_
melanie1222</text>
  </threadedComment>
  <threadedComment ref="BU21" dT="2025-09-17T21:42:37.04" personId="{DEE143C2-C236-4AE3-B4C0-EBF106B8F799}" id="{3612CEF4-41B9-4A11-9335-539C1C55AA85}">
    <text>x91FJoF3</text>
  </threadedComment>
  <threadedComment ref="H22" dT="2025-08-31T22:31:14.96" personId="{DEE143C2-C236-4AE3-B4C0-EBF106B8F799}" id="{9221EDEB-8CE6-4091-B712-CB932BC9DF30}">
    <text>Re activar</text>
  </threadedComment>
  <threadedComment ref="AW22" dT="2025-08-02T04:18:03.40" personId="{DEE143C2-C236-4AE3-B4C0-EBF106B8F799}" id="{EC3899DD-B527-43FB-91EE-4D0A757B2A63}">
    <text>KourtneyLobo</text>
  </threadedComment>
  <threadedComment ref="BO22" dT="2025-07-16T06:46:41.30" personId="{DEE143C2-C236-4AE3-B4C0-EBF106B8F799}" id="{53F74654-687B-4F6C-ADE7-F4C26229D0A6}">
    <text>kourtneylobo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N7" dT="2024-05-06T20:10:47.48" personId="{DEE143C2-C236-4AE3-B4C0-EBF106B8F799}" id="{690A464E-ABF5-4AB7-971B-B07EA54793A8}">
    <text>kendraxnoa 
ana57228</text>
  </threadedComment>
  <threadedComment ref="X7" dT="2022-04-20T02:53:07.39" personId="{DEE143C2-C236-4AE3-B4C0-EBF106B8F799}" id="{B36AD6C5-5B4D-408C-9356-743B0AA80D95}">
    <text>kendranoa</text>
  </threadedComment>
  <threadedComment ref="AP7" dT="2023-03-03T03:12:57.66" personId="{31D3E1E2-D342-41C2-8F79-C7E480C0A924}" id="{2A03A8CE-DC8E-487A-A16E-462C5946E118}">
    <text>20.74 creditos secrefirends</text>
  </threadedComment>
  <threadedComment ref="AQ7" dT="2023-02-17T17:44:49.03" personId="{DEE143C2-C236-4AE3-B4C0-EBF106B8F799}" id="{2EB84D3F-4AF5-40E4-AE23-25647C9E1C2D}">
    <text>Kendra_Noa</text>
  </threadedComment>
  <threadedComment ref="AU7" dT="2024-01-16T22:51:48.67" personId="{DEE143C2-C236-4AE3-B4C0-EBF106B8F799}" id="{8C461215-482D-43AD-A92E-45DCDD48D4B7}">
    <text>No la usa</text>
  </threadedComment>
  <threadedComment ref="AW7" dT="2024-05-06T20:04:13.82" personId="{DEE143C2-C236-4AE3-B4C0-EBF106B8F799}" id="{8BEAE60B-B001-4932-807C-B003E625EAC9}">
    <text>KendraNoa 
ana572281</text>
  </threadedComment>
  <threadedComment ref="BA7" dT="2022-07-01T20:04:28.69" personId="{DEE143C2-C236-4AE3-B4C0-EBF106B8F799}" id="{F7F70A5E-5586-4C45-991D-16739859176C}">
    <text>kendranoa1@tuemailya.com</text>
  </threadedComment>
  <threadedComment ref="BO7" dT="2024-04-17T19:35:50.56" personId="{DEE143C2-C236-4AE3-B4C0-EBF106B8F799}" id="{C32755C0-D61F-4858-9639-43ED4C152359}">
    <text>ana572288</text>
  </threadedComment>
  <threadedComment ref="CC7" dT="2022-12-17T23:42:54.94" personId="{31D3E1E2-D342-41C2-8F79-C7E480C0A924}" id="{559FB78C-E9ED-4341-86D3-23EA5AC9D85F}">
    <text>secrefriends</text>
  </threadedComment>
  <threadedComment ref="L8" dT="2023-10-18T17:59:30.75" personId="{DEE143C2-C236-4AE3-B4C0-EBF106B8F799}" id="{65491DD2-49A7-435E-9B28-BCDCF99FB9B6}">
    <text>Evadoster
Silvia518!</text>
  </threadedComment>
  <threadedComment ref="R8" dT="2023-11-01T01:05:18.17" personId="{DEE143C2-C236-4AE3-B4C0-EBF106B8F799}" id="{CBF62CFB-714C-4C41-8DA4-141195A740FB}">
    <text>EvaDoster</text>
  </threadedComment>
  <threadedComment ref="R8" dT="2025-01-01T00:53:25.54" personId="{DEE143C2-C236-4AE3-B4C0-EBF106B8F799}" id="{3B4DA98A-722F-4EF0-82AA-92116491057A}" parentId="{CBF62CFB-714C-4C41-8DA4-141195A740FB}">
    <text>No la usa</text>
  </threadedComment>
  <threadedComment ref="T8" dT="2023-11-02T19:31:24.85" personId="{DEE143C2-C236-4AE3-B4C0-EBF106B8F799}" id="{6098DD2E-1905-4A83-9A54-A53D201A7B87}">
    <text>Evadavee</text>
  </threadedComment>
  <threadedComment ref="AO8" dT="2025-03-13T02:20:52.90" personId="{DEE143C2-C236-4AE3-B4C0-EBF106B8F799}" id="{D9F02F0A-DE94-4A8B-8DEC-F3EACBFCA58B}">
    <text>EvaDaniela</text>
  </threadedComment>
  <threadedComment ref="BU8" dT="2025-09-17T21:44:00.74" personId="{DEE143C2-C236-4AE3-B4C0-EBF106B8F799}" id="{4D522E39-4AD8-40FC-8C5F-62CC69C54605}">
    <text>9NFn6u25</text>
  </threadedComment>
  <threadedComment ref="H9" dT="2024-05-15T22:31:06.41" personId="{DEE143C2-C236-4AE3-B4C0-EBF106B8F799}" id="{FCB91850-E81C-4B1B-A404-6D0444E5B693}">
    <text>Reactivar</text>
  </threadedComment>
  <threadedComment ref="L9" dT="2023-12-29T19:26:39.66" personId="{DEE143C2-C236-4AE3-B4C0-EBF106B8F799}" id="{9402594F-1A54-40D3-8DA6-73E06483EA11}">
    <text>ZoeyxHarperx</text>
  </threadedComment>
  <threadedComment ref="BO9" dT="2025-12-01T03:15:31.72" personId="{DEE143C2-C236-4AE3-B4C0-EBF106B8F799}" id="{B5914B87-CC24-4E7C-BD57-5E4DD55A96C8}">
    <text>No la usa</text>
  </threadedComment>
  <threadedComment ref="BU9" dT="2025-09-17T21:48:02.10" personId="{DEE143C2-C236-4AE3-B4C0-EBF106B8F799}" id="{367ACF1E-3DE5-4342-BC07-1A3FB5ED9CED}">
    <text>AoFNv76v9206</text>
  </threadedComment>
  <threadedComment ref="N10" dT="2025-01-01T00:21:26.22" personId="{DEE143C2-C236-4AE3-B4C0-EBF106B8F799}" id="{1670771E-D9B8-47C1-839B-9330F0E4AE03}">
    <text>No la usa</text>
  </threadedComment>
  <threadedComment ref="AQ10" dT="2023-10-01T20:28:28.56" personId="{DEE143C2-C236-4AE3-B4C0-EBF106B8F799}" id="{C32939AF-391A-4553-B623-EE3A124953A6}">
    <text>Katie_Night</text>
  </threadedComment>
  <threadedComment ref="BU11" dT="2025-09-17T21:44:35.35" personId="{DEE143C2-C236-4AE3-B4C0-EBF106B8F799}" id="{E74DADEA-6745-4464-B9DC-B59C7321B365}">
    <text>JT4o8u9i</text>
  </threadedComment>
  <threadedComment ref="H12" dT="2024-07-15T23:07:37.61" personId="{DEE143C2-C236-4AE3-B4C0-EBF106B8F799}" id="{0535653C-CFBB-45B4-9866-0F72E4791679}">
    <text>Re activar</text>
  </threadedComment>
  <threadedComment ref="H13" dT="2025-11-15T23:42:22.35" personId="{DEE143C2-C236-4AE3-B4C0-EBF106B8F799}" id="{F7B79015-4892-445F-AE72-A4CB9CC1FD03}">
    <text>Reactivar</text>
  </threadedComment>
  <threadedComment ref="AU13" dT="2025-11-01T04:20:54.83" personId="{DEE143C2-C236-4AE3-B4C0-EBF106B8F799}" id="{7E12D6CF-05DC-4DB5-9FD7-005903AE458F}">
    <text>No la usa</text>
  </threadedComment>
  <threadedComment ref="BO13" dT="2025-12-01T03:21:05.64" personId="{DEE143C2-C236-4AE3-B4C0-EBF106B8F799}" id="{1C361812-61BF-4912-89B1-B86E5A8BCA4E}">
    <text>No la usa</text>
  </threadedComment>
  <threadedComment ref="H14" dT="2024-07-31T22:42:45.86" personId="{DEE143C2-C236-4AE3-B4C0-EBF106B8F799}" id="{EF4B19B0-E0EB-4B7B-BE5A-BCF1D110CAD4}">
    <text>reactivar</text>
  </threadedComment>
  <threadedComment ref="L14" dT="2024-07-17T21:13:52.99" personId="{DEE143C2-C236-4AE3-B4C0-EBF106B8F799}" id="{1F3B0CD3-14A8-40B1-AB9E-BEFBEA7F05E5}">
    <text>BiancaxCastle</text>
  </threadedComment>
  <threadedComment ref="N14" dT="2025-01-01T00:21:55.45" personId="{DEE143C2-C236-4AE3-B4C0-EBF106B8F799}" id="{7E63A5A2-2D93-46EC-8F9C-61E795713B27}">
    <text>No la usa</text>
  </threadedComment>
  <threadedComment ref="B15" dT="2024-10-15T23:33:56.01" personId="{DEE143C2-C236-4AE3-B4C0-EBF106B8F799}" id="{7FD354D9-9DB4-4903-954B-7E52BDBBDDCD}">
    <text>$MO12eliz</text>
  </threadedComment>
  <threadedComment ref="D15" dT="2024-11-04T18:08:20.30" personId="{DEE143C2-C236-4AE3-B4C0-EBF106B8F799}" id="{4F0B91A4-C538-4EF3-B737-865CB905CEB9}">
    <text>Maitexflores</text>
  </threadedComment>
  <threadedComment ref="H15" dT="2024-10-02T19:31:56.77" personId="{DEE143C2-C236-4AE3-B4C0-EBF106B8F799}" id="{5AB0A442-3883-493F-85BE-091BC7DA875E}">
    <text>$MO12eliz</text>
  </threadedComment>
  <threadedComment ref="N15" dT="2024-11-04T18:27:39.97" personId="{DEE143C2-C236-4AE3-B4C0-EBF106B8F799}" id="{6C5CF49A-0E5F-466D-BD78-B2DCAB2D8539}">
    <text>maitexflores</text>
  </threadedComment>
  <threadedComment ref="X15" dT="2025-06-18T16:45:52.01" personId="{DEE143C2-C236-4AE3-B4C0-EBF106B8F799}" id="{A2E6E0F2-323E-426D-A4EE-57A90FF29D8A}">
    <text>MaitexFlores</text>
  </threadedComment>
  <threadedComment ref="AK15" dT="2024-11-04T18:08:01.82" personId="{DEE143C2-C236-4AE3-B4C0-EBF106B8F799}" id="{F5B558D2-0DF9-43EF-BCB8-F1380225A04D}">
    <text>MichellFlowers</text>
  </threadedComment>
  <threadedComment ref="BG15" dT="2024-11-04T18:08:58.70" personId="{DEE143C2-C236-4AE3-B4C0-EBF106B8F799}" id="{FDC0D092-7C77-4BD8-B824-A1884519A357}">
    <text>MichellFlowers</text>
  </threadedComment>
  <threadedComment ref="BU15" dT="2025-09-17T21:45:46.40" personId="{DEE143C2-C236-4AE3-B4C0-EBF106B8F799}" id="{D59442AF-6E29-4960-BF1E-CF88D8CF5AE0}">
    <text>:'$V5@iB550w</text>
  </threadedComment>
  <threadedComment ref="H16" dT="2024-11-30T23:40:35.51" personId="{DEE143C2-C236-4AE3-B4C0-EBF106B8F799}" id="{762D0E79-DC5D-4379-84C4-92FB6E233240}">
    <text>Reactivar</text>
  </threadedComment>
  <threadedComment ref="T17" dT="2025-11-16T17:10:02.60" personId="{DEE143C2-C236-4AE3-B4C0-EBF106B8F799}" id="{579A0D4A-DF5D-4B30-949E-1C24836DE2CF}">
    <text>No la usa</text>
  </threadedComment>
  <threadedComment ref="BC17" dT="2025-10-02T00:15:36.97" personId="{DEE143C2-C236-4AE3-B4C0-EBF106B8F799}" id="{FC180575-7458-4CFF-944B-61F78D5B30E9}">
    <text>No la usa</text>
  </threadedComment>
  <threadedComment ref="BO17" dT="2025-11-16T02:00:36.84" personId="{DEE143C2-C236-4AE3-B4C0-EBF106B8F799}" id="{9CC2FFBF-B29B-4CB3-B621-B6D426477899}">
    <text>No la usa</text>
  </threadedComment>
  <threadedComment ref="L18" dT="2025-02-25T19:35:28.72" personId="{DEE143C2-C236-4AE3-B4C0-EBF106B8F799}" id="{DA2868E8-221F-460F-AB09-627B580DE070}">
    <text>CarliMay
Paula912!</text>
  </threadedComment>
  <threadedComment ref="AO18" dT="2025-06-18T16:44:14.19" personId="{DEE143C2-C236-4AE3-B4C0-EBF106B8F799}" id="{14F46D69-B242-4748-B4E0-A10D6F1BC654}">
    <text>LinaMOntes</text>
  </threadedComment>
  <threadedComment ref="L19" dT="2025-05-16T03:45:16.05" personId="{DEE143C2-C236-4AE3-B4C0-EBF106B8F799}" id="{833D84CC-C39E-4F16-A1EB-8B89FF01B393}">
    <text>Quedo de User</text>
  </threadedComment>
  <threadedComment ref="N19" dT="2025-07-01T18:53:49.35" personId="{DEE143C2-C236-4AE3-B4C0-EBF106B8F799}" id="{1BD47674-C276-4CC8-8C7A-77CC1946968D}">
    <text>M4</text>
  </threadedComment>
  <threadedComment ref="L21" dT="2025-06-17T19:31:45.45" personId="{DEE143C2-C236-4AE3-B4C0-EBF106B8F799}" id="{6B8EE2B1-41D5-4A30-97E8-5E9A1559D99D}">
    <text>Arabella_
melanie1222</text>
  </threadedComment>
  <threadedComment ref="BU21" dT="2025-09-17T21:42:37.04" personId="{DEE143C2-C236-4AE3-B4C0-EBF106B8F799}" id="{360EFEC8-5C6C-4E06-9EC1-5E3D48A057B0}">
    <text>x91FJoF3</text>
  </threadedComment>
  <threadedComment ref="H22" dT="2025-08-31T22:31:14.96" personId="{DEE143C2-C236-4AE3-B4C0-EBF106B8F799}" id="{D36E8A35-A627-4741-B42D-B5BD45DDEC21}">
    <text>Re activar</text>
  </threadedComment>
  <threadedComment ref="T22" dT="2025-11-16T17:11:04.51" personId="{DEE143C2-C236-4AE3-B4C0-EBF106B8F799}" id="{9C85BAD3-1930-4123-92B4-465EED23FB56}">
    <text>No la usa</text>
  </threadedComment>
  <threadedComment ref="AW22" dT="2025-08-02T04:18:03.40" personId="{DEE143C2-C236-4AE3-B4C0-EBF106B8F799}" id="{4180D584-F466-4AA3-AAA4-9699F8C1B69C}">
    <text>KourtneyLobo</text>
  </threadedComment>
  <threadedComment ref="BO22" dT="2025-07-16T06:46:41.30" personId="{DEE143C2-C236-4AE3-B4C0-EBF106B8F799}" id="{2D96DFB9-D3B0-4807-8EC6-0458D15AE14F}">
    <text>kourtneylobo</text>
  </threadedComment>
  <threadedComment ref="BO22" dT="2025-12-01T03:25:23.73" personId="{DEE143C2-C236-4AE3-B4C0-EBF106B8F799}" id="{C783BAE6-4188-4621-B472-A6AA33E63D56}" parentId="{2D96DFB9-D3B0-4807-8EC6-0458D15AE14F}">
    <text>No la usa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hyperlink" Target="mailto:ludovicare@tuemailya.com" TargetMode="External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microsoft.com/office/2017/10/relationships/threadedComment" Target="../threadedComments/threadedComment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00AC-9E4A-4B1F-BAA2-15F88076730F}">
  <sheetPr codeName="Hoja34">
    <pageSetUpPr fitToPage="1"/>
  </sheetPr>
  <dimension ref="A1:CX119"/>
  <sheetViews>
    <sheetView zoomScaleNormal="100" zoomScaleSheetLayoutView="70" workbookViewId="0">
      <pane xSplit="3" topLeftCell="CM1" activePane="topRight" state="frozen"/>
      <selection pane="topRight" activeCell="CO22" sqref="CO22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5" width="15" style="1" bestFit="1" customWidth="1"/>
    <col min="26" max="26" width="15" style="1" customWidth="1"/>
    <col min="27" max="27" width="12.85546875" style="1" hidden="1" customWidth="1"/>
    <col min="28" max="28" width="13.140625" style="1" hidden="1" customWidth="1"/>
    <col min="29" max="29" width="12.85546875" style="1" customWidth="1"/>
    <col min="30" max="30" width="9.5703125" style="1" customWidth="1"/>
    <col min="31" max="32" width="8.42578125" style="1" customWidth="1"/>
    <col min="33" max="33" width="15.7109375" style="1" customWidth="1"/>
    <col min="34" max="34" width="13.7109375" style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2.85546875" style="1" bestFit="1" customWidth="1"/>
    <col min="57" max="57" width="15.7109375" style="1" hidden="1" customWidth="1"/>
    <col min="58" max="58" width="14.140625" style="1" hidden="1" customWidth="1"/>
    <col min="59" max="59" width="13.42578125" style="1" customWidth="1"/>
    <col min="60" max="60" width="13.5703125" style="1" customWidth="1"/>
    <col min="61" max="61" width="14.85546875" style="1" hidden="1" customWidth="1"/>
    <col min="62" max="62" width="11.28515625" style="1" hidden="1" customWidth="1"/>
    <col min="63" max="63" width="10.5703125" style="1" hidden="1" customWidth="1"/>
    <col min="64" max="64" width="12.7109375" style="1" hidden="1" customWidth="1"/>
    <col min="65" max="66" width="18.140625" style="1" customWidth="1"/>
    <col min="67" max="67" width="22.7109375" style="1" customWidth="1"/>
    <col min="68" max="68" width="14.28515625" style="1" bestFit="1" customWidth="1"/>
    <col min="69" max="69" width="16.28515625" style="1" customWidth="1"/>
    <col min="70" max="70" width="15.7109375" style="1" customWidth="1"/>
    <col min="71" max="71" width="11.5703125" style="1" customWidth="1"/>
    <col min="72" max="72" width="12.140625" style="1" customWidth="1"/>
    <col min="73" max="73" width="15.140625" style="1" customWidth="1"/>
    <col min="74" max="74" width="15.7109375" style="1" customWidth="1"/>
    <col min="75" max="75" width="13" style="1" customWidth="1"/>
    <col min="76" max="76" width="13.28515625" style="1" customWidth="1"/>
    <col min="77" max="77" width="15.140625" style="1" customWidth="1"/>
    <col min="78" max="78" width="15.7109375" style="1" customWidth="1"/>
    <col min="79" max="79" width="13.85546875" style="1" customWidth="1"/>
    <col min="80" max="80" width="15.85546875" style="1" customWidth="1"/>
    <col min="81" max="82" width="14.28515625" style="1" bestFit="1" customWidth="1"/>
    <col min="83" max="84" width="12.140625" style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34">
        <v>4094</v>
      </c>
      <c r="B2" s="135">
        <v>1.2</v>
      </c>
      <c r="C2" s="136">
        <v>1.01</v>
      </c>
      <c r="D2" s="137">
        <v>395.32</v>
      </c>
      <c r="E2" s="137">
        <v>1.24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138">
        <v>3983</v>
      </c>
      <c r="B3" s="139">
        <v>1.21</v>
      </c>
      <c r="C3" s="139">
        <v>1.01</v>
      </c>
      <c r="D3" s="140">
        <v>395.32</v>
      </c>
      <c r="E3" s="140">
        <v>1.23</v>
      </c>
      <c r="F3" s="32"/>
      <c r="H3" s="32"/>
      <c r="L3" s="32"/>
      <c r="T3" s="43"/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O4" s="78" t="s">
        <v>10</v>
      </c>
      <c r="CH4" s="80"/>
    </row>
    <row r="5" spans="1:102" s="4" customFormat="1" ht="43.5" customHeigh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19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29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 thickBo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83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82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82" t="s">
        <v>112</v>
      </c>
      <c r="BX6" s="82" t="s">
        <v>112</v>
      </c>
      <c r="BY6" s="82" t="s">
        <v>45</v>
      </c>
      <c r="BZ6" s="82" t="s">
        <v>46</v>
      </c>
      <c r="CA6" s="82" t="s">
        <v>53</v>
      </c>
      <c r="CB6" s="82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/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4600000</v>
      </c>
    </row>
    <row r="7" spans="1:102">
      <c r="A7" s="44"/>
      <c r="B7" s="45" t="s">
        <v>118</v>
      </c>
      <c r="C7" s="46" t="s">
        <v>119</v>
      </c>
      <c r="D7" s="102">
        <v>0</v>
      </c>
      <c r="E7" s="102">
        <v>0</v>
      </c>
      <c r="F7" s="98">
        <f t="shared" ref="F7:G19" si="0">SUM((D7*2)*0.3)</f>
        <v>0</v>
      </c>
      <c r="G7" s="98">
        <f t="shared" si="0"/>
        <v>0</v>
      </c>
      <c r="H7" s="98">
        <v>0</v>
      </c>
      <c r="I7" s="98">
        <v>5</v>
      </c>
      <c r="J7" s="98">
        <f t="shared" ref="J7:J27" si="1">SUM(H7*0.78)*$C$2</f>
        <v>0</v>
      </c>
      <c r="K7" s="98">
        <f t="shared" ref="K7:K27" si="2">SUM(I7*0.78)*$C$3</f>
        <v>3.9390000000000005</v>
      </c>
      <c r="L7" s="103">
        <v>9.06</v>
      </c>
      <c r="M7" s="98">
        <f t="shared" ref="M7:M27" si="3">L7</f>
        <v>9.06</v>
      </c>
      <c r="N7" s="98">
        <v>8</v>
      </c>
      <c r="O7" s="98">
        <v>10.19</v>
      </c>
      <c r="P7" s="98">
        <f t="shared" ref="P7:P27" si="4">N7*$C$2</f>
        <v>8.08</v>
      </c>
      <c r="Q7" s="98">
        <f t="shared" ref="Q7:Q27" si="5">O7*$C$3</f>
        <v>10.2919</v>
      </c>
      <c r="R7" s="103">
        <v>7.19</v>
      </c>
      <c r="S7" s="98">
        <f t="shared" ref="S7:S27" si="6">R7*$C$3</f>
        <v>7.2619000000000007</v>
      </c>
      <c r="T7" s="103">
        <v>1.75</v>
      </c>
      <c r="U7" s="98">
        <v>8.69</v>
      </c>
      <c r="V7" s="98">
        <f t="shared" ref="V7:V27" si="7">SUM(T7*($C$2))</f>
        <v>1.7675000000000001</v>
      </c>
      <c r="W7" s="98">
        <f t="shared" ref="W7:W27" si="8">SUM(U7*($C$3))</f>
        <v>8.7768999999999995</v>
      </c>
      <c r="X7" s="120">
        <v>0</v>
      </c>
      <c r="Y7" s="120">
        <v>0</v>
      </c>
      <c r="Z7" s="121"/>
      <c r="AA7" s="121">
        <f t="shared" ref="AA7:AA27" si="9">SUM(X7*0.75)+(Z7*0.75)</f>
        <v>0</v>
      </c>
      <c r="AB7" s="121">
        <f t="shared" ref="AB7:AB27" si="10">(Y7*0.75)+(Z7*0.75)</f>
        <v>0</v>
      </c>
      <c r="AC7" s="121">
        <v>0</v>
      </c>
      <c r="AD7" s="121">
        <v>0</v>
      </c>
      <c r="AE7" s="121">
        <f t="shared" ref="AE7:AF27" si="11">AC7*0.75</f>
        <v>0</v>
      </c>
      <c r="AF7" s="121">
        <f t="shared" si="11"/>
        <v>0</v>
      </c>
      <c r="AG7" s="98"/>
      <c r="AH7" s="98"/>
      <c r="AI7" s="98">
        <f t="shared" ref="AI7:AJ27" si="12">AG7*0.75</f>
        <v>0</v>
      </c>
      <c r="AJ7" s="98">
        <f t="shared" si="12"/>
        <v>0</v>
      </c>
      <c r="AK7" s="103">
        <v>1.8</v>
      </c>
      <c r="AL7" s="98">
        <v>17.09</v>
      </c>
      <c r="AM7" s="98">
        <f t="shared" ref="AM7:AM27" si="13">AK7*$C$2</f>
        <v>1.8180000000000001</v>
      </c>
      <c r="AN7" s="98">
        <f t="shared" ref="AN7:AN27" si="14">AL7*$C$3</f>
        <v>17.260899999999999</v>
      </c>
      <c r="AO7" s="98">
        <v>0</v>
      </c>
      <c r="AP7" s="98">
        <v>0</v>
      </c>
      <c r="AQ7" s="130"/>
      <c r="AR7" s="130"/>
      <c r="AS7" s="98"/>
      <c r="AT7" s="98">
        <f t="shared" ref="AT7:AT27" si="15">AS7*$C$3</f>
        <v>0</v>
      </c>
      <c r="AU7" s="98"/>
      <c r="AV7" s="98">
        <f t="shared" ref="AV7:AV27" si="16">AU7*$C$3</f>
        <v>0</v>
      </c>
      <c r="AW7" s="98">
        <v>15.2</v>
      </c>
      <c r="AX7" s="98">
        <v>54.82</v>
      </c>
      <c r="AY7" s="98"/>
      <c r="AZ7" s="98">
        <f t="shared" ref="AZ7:AZ27" si="17">AY7*$D$2</f>
        <v>0</v>
      </c>
      <c r="BA7" s="98">
        <v>7.24</v>
      </c>
      <c r="BB7" s="98">
        <v>25.4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 t="shared" ref="BJ7:BJ27" si="18">BH7*$C$3</f>
        <v>0</v>
      </c>
      <c r="BK7" s="98"/>
      <c r="BL7" s="98"/>
      <c r="BM7" s="98">
        <v>0</v>
      </c>
      <c r="BN7" s="98">
        <f>BM7*$C$3</f>
        <v>0</v>
      </c>
      <c r="BO7" s="105">
        <v>93.34</v>
      </c>
      <c r="BP7" s="98">
        <f>BO7*$C$3</f>
        <v>94.273400000000009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04">
        <f>BU7*$E$2</f>
        <v>0</v>
      </c>
      <c r="BX7" s="104">
        <f>BV7*$E$3</f>
        <v>0</v>
      </c>
      <c r="BY7" s="110">
        <v>0</v>
      </c>
      <c r="BZ7" s="110">
        <v>8.5</v>
      </c>
      <c r="CA7" s="104">
        <f>BY7/2</f>
        <v>0</v>
      </c>
      <c r="CB7" s="104">
        <f>BZ7/2</f>
        <v>4.25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650000</v>
      </c>
      <c r="CI7" s="72"/>
      <c r="CJ7" s="72"/>
      <c r="CK7" s="53">
        <v>110000</v>
      </c>
      <c r="CL7" s="72"/>
      <c r="CM7" s="53">
        <v>540000</v>
      </c>
      <c r="CN7" s="72"/>
      <c r="CO7" s="72"/>
      <c r="CP7" s="90"/>
      <c r="CQ7" s="68">
        <v>0</v>
      </c>
      <c r="CR7" s="69">
        <f t="shared" ref="CR7:CR27" si="19">SUM(AO7,AQ7,F7,P7,BS7,AM7,AA7,AE7,J7,AI7,V7,BA7,BE7,CE7,AW7,CA7,BW7)</f>
        <v>34.105499999999999</v>
      </c>
      <c r="CS7" s="69">
        <f t="shared" ref="CS7:CS27" si="20">SUM(AP7,AR7,G7,Q7,BN7,AZ7,M7,BT7,AN7,S7,AB7,AF7,K7,AJ7,BI7,W7,BB7,BF7,CF7,BP7,BL7,CG7,AT7,AV7,AX7,CB7,BX7)</f>
        <v>235.334</v>
      </c>
      <c r="CT7" s="70">
        <f t="shared" ref="CT7:CT27" si="21">(((CR7*$A$2)+(CS7*$A$3))*0.6)+((BJ7*$A$3)*0.75)</f>
        <v>646177.94339999999</v>
      </c>
      <c r="CU7" s="70">
        <f>((CR7*$A$2)+(CS7*$A$3))*0.4+((BJ7*$A$3)*0.25)</f>
        <v>430785.29560000007</v>
      </c>
      <c r="CV7" s="70">
        <f>CT7-CH7</f>
        <v>-3822.0566000000108</v>
      </c>
      <c r="CW7" s="1" t="s">
        <v>120</v>
      </c>
      <c r="CX7" s="126">
        <v>984179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si="0"/>
        <v>0</v>
      </c>
      <c r="G8" s="98">
        <f t="shared" si="0"/>
        <v>0</v>
      </c>
      <c r="H8" s="98">
        <v>20</v>
      </c>
      <c r="I8" s="98">
        <v>25</v>
      </c>
      <c r="J8" s="98">
        <f t="shared" si="1"/>
        <v>15.756000000000002</v>
      </c>
      <c r="K8" s="98">
        <f t="shared" si="2"/>
        <v>19.695</v>
      </c>
      <c r="L8" s="103">
        <v>136.30000000000001</v>
      </c>
      <c r="M8" s="98">
        <f t="shared" si="3"/>
        <v>136.30000000000001</v>
      </c>
      <c r="N8" s="99"/>
      <c r="O8" s="99"/>
      <c r="P8" s="98">
        <f t="shared" si="4"/>
        <v>0</v>
      </c>
      <c r="Q8" s="98">
        <f t="shared" si="5"/>
        <v>0</v>
      </c>
      <c r="R8" s="103"/>
      <c r="S8" s="98">
        <f t="shared" si="6"/>
        <v>0</v>
      </c>
      <c r="T8" s="103">
        <v>26.86</v>
      </c>
      <c r="U8" s="98">
        <v>19.45</v>
      </c>
      <c r="V8" s="98">
        <f t="shared" si="7"/>
        <v>27.128599999999999</v>
      </c>
      <c r="W8" s="98">
        <f t="shared" si="8"/>
        <v>19.644500000000001</v>
      </c>
      <c r="X8" s="120">
        <v>114.2</v>
      </c>
      <c r="Y8" s="120">
        <v>131.30000000000001</v>
      </c>
      <c r="Z8" s="119"/>
      <c r="AA8" s="121">
        <f t="shared" si="9"/>
        <v>85.65</v>
      </c>
      <c r="AB8" s="121">
        <f t="shared" si="10"/>
        <v>98.475000000000009</v>
      </c>
      <c r="AC8" s="119"/>
      <c r="AD8" s="119"/>
      <c r="AE8" s="121">
        <f t="shared" si="11"/>
        <v>0</v>
      </c>
      <c r="AF8" s="121">
        <f t="shared" si="11"/>
        <v>0</v>
      </c>
      <c r="AG8" s="98"/>
      <c r="AH8" s="98"/>
      <c r="AI8" s="98">
        <f t="shared" si="12"/>
        <v>0</v>
      </c>
      <c r="AJ8" s="98">
        <f t="shared" si="12"/>
        <v>0</v>
      </c>
      <c r="AK8" s="103">
        <v>36.92</v>
      </c>
      <c r="AL8" s="98">
        <v>64.260000000000005</v>
      </c>
      <c r="AM8" s="98">
        <f t="shared" si="13"/>
        <v>37.289200000000001</v>
      </c>
      <c r="AN8" s="98">
        <f t="shared" si="14"/>
        <v>64.902600000000007</v>
      </c>
      <c r="AO8" s="99"/>
      <c r="AP8" s="99"/>
      <c r="AQ8" s="131"/>
      <c r="AR8" s="131"/>
      <c r="AS8" s="99"/>
      <c r="AT8" s="98">
        <f t="shared" si="15"/>
        <v>0</v>
      </c>
      <c r="AU8" s="99"/>
      <c r="AV8" s="98">
        <f t="shared" si="16"/>
        <v>0</v>
      </c>
      <c r="AW8" s="98">
        <v>118.88</v>
      </c>
      <c r="AX8" s="98">
        <v>37.86</v>
      </c>
      <c r="AY8" s="99"/>
      <c r="AZ8" s="98">
        <f t="shared" si="17"/>
        <v>0</v>
      </c>
      <c r="BA8" s="99"/>
      <c r="BB8" s="99"/>
      <c r="BC8" s="99">
        <f>21.1+2</f>
        <v>23.1</v>
      </c>
      <c r="BD8" s="99">
        <f>78+2</f>
        <v>80</v>
      </c>
      <c r="BE8" s="98">
        <f t="shared" ref="BE8:BE27" si="22">SUM(BC8*0.62)*$B$2</f>
        <v>17.186399999999999</v>
      </c>
      <c r="BF8" s="98">
        <f t="shared" ref="BF8:BF27" si="23">SUM(BD8*0.62)*$B$3</f>
        <v>60.015999999999998</v>
      </c>
      <c r="BG8" s="98">
        <v>75.34</v>
      </c>
      <c r="BH8" s="98">
        <v>0</v>
      </c>
      <c r="BI8" s="98">
        <f t="shared" ref="BI8:BI27" si="24">(BG8*$C$3)</f>
        <v>76.093400000000003</v>
      </c>
      <c r="BJ8" s="98">
        <f t="shared" si="18"/>
        <v>0</v>
      </c>
      <c r="BK8" s="99"/>
      <c r="BL8" s="99"/>
      <c r="BM8" s="99"/>
      <c r="BN8" s="98">
        <f t="shared" ref="BN8:BN27" si="25">BM8*$C$3</f>
        <v>0</v>
      </c>
      <c r="BO8" s="105">
        <v>109.23</v>
      </c>
      <c r="BP8" s="98">
        <f t="shared" ref="BP8:BP27" si="26">BO8*$C$3</f>
        <v>110.3223</v>
      </c>
      <c r="BQ8" s="113">
        <v>0</v>
      </c>
      <c r="BR8" s="113">
        <v>0</v>
      </c>
      <c r="BS8" s="104">
        <f t="shared" ref="BS8:BS27" si="27">(BQ8/$D$2)*$C$2</f>
        <v>0</v>
      </c>
      <c r="BT8" s="104">
        <f t="shared" ref="BT8:BT27" si="28">(BR8/$D$3)*$C$3</f>
        <v>0</v>
      </c>
      <c r="BU8" s="105">
        <v>1</v>
      </c>
      <c r="BV8" s="105">
        <v>0</v>
      </c>
      <c r="BW8" s="104">
        <f t="shared" ref="BW8:BW27" si="29">BU8*$E$2</f>
        <v>1.24</v>
      </c>
      <c r="BX8" s="104">
        <f t="shared" ref="BX8:BX27" si="30">BV8*$E$3</f>
        <v>0</v>
      </c>
      <c r="BY8" s="110">
        <v>27.06</v>
      </c>
      <c r="BZ8" s="110">
        <v>174.43</v>
      </c>
      <c r="CA8" s="104">
        <f t="shared" ref="CA8:CB27" si="31">BY8/2</f>
        <v>13.53</v>
      </c>
      <c r="CB8" s="104">
        <f t="shared" si="31"/>
        <v>87.215000000000003</v>
      </c>
      <c r="CC8" s="109">
        <v>0</v>
      </c>
      <c r="CD8" s="109">
        <v>0</v>
      </c>
      <c r="CE8" s="98">
        <f t="shared" ref="CE8:CF27" si="32">CC8*0.05</f>
        <v>0</v>
      </c>
      <c r="CF8" s="107">
        <f t="shared" si="32"/>
        <v>0</v>
      </c>
      <c r="CG8" s="81"/>
      <c r="CH8" s="65">
        <f t="shared" ref="CH8:CH27" si="33">SUM(CI8:CO8)</f>
        <v>2475000</v>
      </c>
      <c r="CI8" s="73"/>
      <c r="CJ8" s="125"/>
      <c r="CK8" s="66">
        <v>1100000</v>
      </c>
      <c r="CL8" s="73"/>
      <c r="CM8" s="66">
        <v>1375000</v>
      </c>
      <c r="CN8" s="73"/>
      <c r="CO8" s="73"/>
      <c r="CP8" s="90"/>
      <c r="CQ8" s="68">
        <v>0</v>
      </c>
      <c r="CR8" s="69">
        <f t="shared" si="19"/>
        <v>316.66019999999997</v>
      </c>
      <c r="CS8" s="69">
        <f t="shared" si="20"/>
        <v>710.52380000000005</v>
      </c>
      <c r="CT8" s="70">
        <f t="shared" si="21"/>
        <v>2475853.8925199998</v>
      </c>
      <c r="CU8" s="70">
        <f t="shared" ref="CU8:CU27" si="34">((CR8*$A$2)+(CS8*$A$3))*0.4+((BJ8*$A$3)*0.25)</f>
        <v>1650569.26168</v>
      </c>
      <c r="CV8" s="70">
        <f t="shared" ref="CV8:CV27" si="35">CT8-CH8</f>
        <v>853.89251999976113</v>
      </c>
      <c r="CW8" s="15" t="s">
        <v>123</v>
      </c>
      <c r="CX8" s="127">
        <v>126980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0"/>
        <v>0</v>
      </c>
      <c r="G9" s="98">
        <f t="shared" si="0"/>
        <v>0</v>
      </c>
      <c r="H9" s="98"/>
      <c r="I9" s="98"/>
      <c r="J9" s="98">
        <f t="shared" si="1"/>
        <v>0</v>
      </c>
      <c r="K9" s="98">
        <f t="shared" si="2"/>
        <v>0</v>
      </c>
      <c r="L9" s="103">
        <v>141.04</v>
      </c>
      <c r="M9" s="98">
        <f t="shared" si="3"/>
        <v>141.04</v>
      </c>
      <c r="N9" s="98"/>
      <c r="O9" s="98"/>
      <c r="P9" s="98">
        <f t="shared" si="4"/>
        <v>0</v>
      </c>
      <c r="Q9" s="98">
        <f t="shared" si="5"/>
        <v>0</v>
      </c>
      <c r="R9" s="103">
        <v>32.08</v>
      </c>
      <c r="S9" s="98">
        <f t="shared" si="6"/>
        <v>32.400799999999997</v>
      </c>
      <c r="T9" s="103">
        <v>7.37</v>
      </c>
      <c r="U9" s="98">
        <v>28.41</v>
      </c>
      <c r="V9" s="98">
        <f t="shared" si="7"/>
        <v>7.4436999999999998</v>
      </c>
      <c r="W9" s="98">
        <f t="shared" si="8"/>
        <v>28.694099999999999</v>
      </c>
      <c r="X9" s="120">
        <v>0</v>
      </c>
      <c r="Y9" s="120">
        <v>0</v>
      </c>
      <c r="Z9" s="121"/>
      <c r="AA9" s="121">
        <f t="shared" si="9"/>
        <v>0</v>
      </c>
      <c r="AB9" s="121">
        <f t="shared" si="10"/>
        <v>0</v>
      </c>
      <c r="AC9" s="123">
        <v>0</v>
      </c>
      <c r="AD9" s="123">
        <v>0</v>
      </c>
      <c r="AE9" s="121">
        <f t="shared" si="11"/>
        <v>0</v>
      </c>
      <c r="AF9" s="121">
        <f t="shared" si="11"/>
        <v>0</v>
      </c>
      <c r="AG9" s="98"/>
      <c r="AH9" s="98"/>
      <c r="AI9" s="98">
        <f t="shared" si="12"/>
        <v>0</v>
      </c>
      <c r="AJ9" s="98">
        <f t="shared" si="12"/>
        <v>0</v>
      </c>
      <c r="AK9" s="103">
        <v>48.95</v>
      </c>
      <c r="AL9" s="98">
        <v>111.47</v>
      </c>
      <c r="AM9" s="98">
        <f t="shared" si="13"/>
        <v>49.439500000000002</v>
      </c>
      <c r="AN9" s="98">
        <f t="shared" si="14"/>
        <v>112.5847</v>
      </c>
      <c r="AO9" s="98"/>
      <c r="AP9" s="98"/>
      <c r="AQ9" s="130"/>
      <c r="AR9" s="130"/>
      <c r="AS9" s="99"/>
      <c r="AT9" s="98">
        <f t="shared" si="15"/>
        <v>0</v>
      </c>
      <c r="AU9" s="98"/>
      <c r="AV9" s="98">
        <f t="shared" si="16"/>
        <v>0</v>
      </c>
      <c r="AW9" s="98">
        <v>136.46</v>
      </c>
      <c r="AX9" s="98">
        <v>226.27</v>
      </c>
      <c r="AY9" s="98"/>
      <c r="AZ9" s="98">
        <f t="shared" si="17"/>
        <v>0</v>
      </c>
      <c r="BA9" s="98"/>
      <c r="BB9" s="98"/>
      <c r="BC9" s="98"/>
      <c r="BD9" s="98"/>
      <c r="BE9" s="98">
        <f t="shared" si="22"/>
        <v>0</v>
      </c>
      <c r="BF9" s="98">
        <f t="shared" si="23"/>
        <v>0</v>
      </c>
      <c r="BG9" s="98">
        <v>128.51</v>
      </c>
      <c r="BH9" s="98">
        <v>0</v>
      </c>
      <c r="BI9" s="98">
        <f t="shared" si="24"/>
        <v>129.79509999999999</v>
      </c>
      <c r="BJ9" s="98">
        <f t="shared" si="18"/>
        <v>0</v>
      </c>
      <c r="BK9" s="98"/>
      <c r="BL9" s="98"/>
      <c r="BM9" s="98"/>
      <c r="BN9" s="98">
        <f t="shared" si="25"/>
        <v>0</v>
      </c>
      <c r="BO9" s="105">
        <v>21.68</v>
      </c>
      <c r="BP9" s="98">
        <f t="shared" si="26"/>
        <v>21.896799999999999</v>
      </c>
      <c r="BQ9" s="112">
        <v>0</v>
      </c>
      <c r="BR9" s="112">
        <v>0</v>
      </c>
      <c r="BS9" s="104">
        <f>(BQ9/$D$2)*$C$2</f>
        <v>0</v>
      </c>
      <c r="BT9" s="104">
        <f t="shared" si="28"/>
        <v>0</v>
      </c>
      <c r="BU9" s="105">
        <v>9.75</v>
      </c>
      <c r="BV9" s="105">
        <v>0.38</v>
      </c>
      <c r="BW9" s="104">
        <f t="shared" si="29"/>
        <v>12.09</v>
      </c>
      <c r="BX9" s="104">
        <f t="shared" si="30"/>
        <v>0.46739999999999998</v>
      </c>
      <c r="BY9" s="110">
        <v>18.329999999999998</v>
      </c>
      <c r="BZ9" s="110">
        <v>3.21</v>
      </c>
      <c r="CA9" s="104">
        <f t="shared" si="31"/>
        <v>9.1649999999999991</v>
      </c>
      <c r="CB9" s="104">
        <f t="shared" si="31"/>
        <v>1.605</v>
      </c>
      <c r="CC9" s="106"/>
      <c r="CD9" s="106"/>
      <c r="CE9" s="98">
        <f t="shared" si="32"/>
        <v>0</v>
      </c>
      <c r="CF9" s="107">
        <f t="shared" si="32"/>
        <v>0</v>
      </c>
      <c r="CG9" s="89"/>
      <c r="CH9" s="65">
        <f t="shared" si="33"/>
        <v>2190000</v>
      </c>
      <c r="CI9" s="73"/>
      <c r="CJ9" s="73"/>
      <c r="CK9" s="66">
        <v>800000</v>
      </c>
      <c r="CL9" s="73">
        <v>500000</v>
      </c>
      <c r="CM9" s="66">
        <v>890000</v>
      </c>
      <c r="CN9" s="73"/>
      <c r="CO9" s="73"/>
      <c r="CP9" s="90"/>
      <c r="CQ9" s="68">
        <v>0</v>
      </c>
      <c r="CR9" s="69">
        <f t="shared" si="19"/>
        <v>214.59820000000002</v>
      </c>
      <c r="CS9" s="69">
        <f t="shared" si="20"/>
        <v>694.75389999999993</v>
      </c>
      <c r="CT9" s="70">
        <f t="shared" si="21"/>
        <v>2187461.8886999995</v>
      </c>
      <c r="CU9" s="70">
        <f t="shared" si="34"/>
        <v>1458307.9257999999</v>
      </c>
      <c r="CV9" s="70">
        <f t="shared" si="35"/>
        <v>-2538.1113000004552</v>
      </c>
      <c r="CW9" s="87" t="s">
        <v>126</v>
      </c>
      <c r="CX9" s="87">
        <v>70690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0"/>
        <v>0</v>
      </c>
      <c r="G10" s="98">
        <f t="shared" si="0"/>
        <v>0</v>
      </c>
      <c r="H10" s="98">
        <v>41</v>
      </c>
      <c r="I10" s="98">
        <v>200</v>
      </c>
      <c r="J10" s="98">
        <f t="shared" si="1"/>
        <v>32.299799999999998</v>
      </c>
      <c r="K10" s="98">
        <f t="shared" si="2"/>
        <v>157.56</v>
      </c>
      <c r="L10" s="103">
        <v>75.97</v>
      </c>
      <c r="M10" s="98">
        <f t="shared" si="3"/>
        <v>75.97</v>
      </c>
      <c r="N10" s="99"/>
      <c r="O10" s="99"/>
      <c r="P10" s="98">
        <f t="shared" si="4"/>
        <v>0</v>
      </c>
      <c r="Q10" s="98">
        <f t="shared" si="5"/>
        <v>0</v>
      </c>
      <c r="R10" s="103">
        <v>138.94</v>
      </c>
      <c r="S10" s="98">
        <f t="shared" si="6"/>
        <v>140.32939999999999</v>
      </c>
      <c r="T10" s="103">
        <v>27</v>
      </c>
      <c r="U10" s="98">
        <v>15.32</v>
      </c>
      <c r="V10" s="98">
        <f t="shared" si="7"/>
        <v>27.27</v>
      </c>
      <c r="W10" s="98">
        <f t="shared" si="8"/>
        <v>15.4732</v>
      </c>
      <c r="X10" s="120">
        <v>0</v>
      </c>
      <c r="Y10" s="120">
        <v>0</v>
      </c>
      <c r="Z10" s="119"/>
      <c r="AA10" s="121">
        <f t="shared" si="9"/>
        <v>0</v>
      </c>
      <c r="AB10" s="121">
        <f t="shared" si="10"/>
        <v>0</v>
      </c>
      <c r="AC10" s="122">
        <v>0</v>
      </c>
      <c r="AD10" s="122">
        <v>0</v>
      </c>
      <c r="AE10" s="121">
        <f t="shared" si="11"/>
        <v>0</v>
      </c>
      <c r="AF10" s="121">
        <f t="shared" si="11"/>
        <v>0</v>
      </c>
      <c r="AG10" s="98">
        <v>0</v>
      </c>
      <c r="AH10" s="98">
        <v>0</v>
      </c>
      <c r="AI10" s="98">
        <f t="shared" si="12"/>
        <v>0</v>
      </c>
      <c r="AJ10" s="98">
        <f t="shared" si="12"/>
        <v>0</v>
      </c>
      <c r="AK10" s="103">
        <v>108.57</v>
      </c>
      <c r="AL10" s="98">
        <v>175.41</v>
      </c>
      <c r="AM10" s="98">
        <f t="shared" si="13"/>
        <v>109.6557</v>
      </c>
      <c r="AN10" s="98">
        <f t="shared" si="14"/>
        <v>177.16409999999999</v>
      </c>
      <c r="AO10" s="98"/>
      <c r="AP10" s="98"/>
      <c r="AQ10" s="131">
        <v>0</v>
      </c>
      <c r="AR10" s="131">
        <v>0</v>
      </c>
      <c r="AS10" s="99"/>
      <c r="AT10" s="98">
        <f t="shared" si="15"/>
        <v>0</v>
      </c>
      <c r="AU10" s="99"/>
      <c r="AV10" s="98">
        <f t="shared" si="16"/>
        <v>0</v>
      </c>
      <c r="AW10" s="98">
        <v>55.42</v>
      </c>
      <c r="AX10" s="98">
        <v>22.09</v>
      </c>
      <c r="AY10" s="99"/>
      <c r="AZ10" s="98">
        <f t="shared" si="17"/>
        <v>0</v>
      </c>
      <c r="BA10" s="99"/>
      <c r="BB10" s="99"/>
      <c r="BC10" s="99"/>
      <c r="BD10" s="99"/>
      <c r="BE10" s="98">
        <f t="shared" si="22"/>
        <v>0</v>
      </c>
      <c r="BF10" s="98">
        <f t="shared" si="23"/>
        <v>0</v>
      </c>
      <c r="BG10" s="98">
        <v>122.45</v>
      </c>
      <c r="BH10" s="98">
        <v>1.05</v>
      </c>
      <c r="BI10" s="98">
        <f t="shared" si="24"/>
        <v>123.67450000000001</v>
      </c>
      <c r="BJ10" s="98">
        <f t="shared" si="18"/>
        <v>1.0605</v>
      </c>
      <c r="BK10" s="99"/>
      <c r="BL10" s="99"/>
      <c r="BM10" s="98"/>
      <c r="BN10" s="98">
        <f t="shared" si="25"/>
        <v>0</v>
      </c>
      <c r="BO10" s="105">
        <v>82.7</v>
      </c>
      <c r="BP10" s="98">
        <f t="shared" si="26"/>
        <v>83.527000000000001</v>
      </c>
      <c r="BQ10" s="113"/>
      <c r="BR10" s="113"/>
      <c r="BS10" s="104">
        <f t="shared" si="27"/>
        <v>0</v>
      </c>
      <c r="BT10" s="104">
        <f t="shared" si="28"/>
        <v>0</v>
      </c>
      <c r="BU10" s="105">
        <v>0</v>
      </c>
      <c r="BV10" s="105">
        <v>0</v>
      </c>
      <c r="BW10" s="104">
        <f t="shared" si="29"/>
        <v>0</v>
      </c>
      <c r="BX10" s="104">
        <f t="shared" si="30"/>
        <v>0</v>
      </c>
      <c r="BY10" s="111"/>
      <c r="BZ10" s="111"/>
      <c r="CA10" s="104">
        <f t="shared" si="31"/>
        <v>0</v>
      </c>
      <c r="CB10" s="104">
        <f t="shared" si="31"/>
        <v>0</v>
      </c>
      <c r="CC10" s="109"/>
      <c r="CD10" s="109"/>
      <c r="CE10" s="98">
        <f t="shared" si="32"/>
        <v>0</v>
      </c>
      <c r="CF10" s="107">
        <f t="shared" si="32"/>
        <v>0</v>
      </c>
      <c r="CG10" s="89"/>
      <c r="CH10" s="65">
        <f t="shared" si="33"/>
        <v>2460000</v>
      </c>
      <c r="CI10" s="73"/>
      <c r="CJ10" s="73"/>
      <c r="CK10" s="66">
        <v>1170000</v>
      </c>
      <c r="CL10" s="73"/>
      <c r="CM10" s="66">
        <v>1290000</v>
      </c>
      <c r="CN10" s="73"/>
      <c r="CO10" s="73"/>
      <c r="CP10" s="90"/>
      <c r="CQ10" s="68">
        <v>0</v>
      </c>
      <c r="CR10" s="69">
        <f t="shared" si="19"/>
        <v>224.64550000000003</v>
      </c>
      <c r="CS10" s="69">
        <f>SUM(AP10,AR10,G10,Q10,BN10,AZ10,M10,BT10,AN10,S10,AB10,AF10,K10,AJ10,BI10,W10,BB10,BF10,CF10,BP10,BL10,CG10,AT10,AV10,AX10,CB10,BX10)</f>
        <v>795.78820000000007</v>
      </c>
      <c r="CT10" s="70">
        <f t="shared" si="21"/>
        <v>2456761.825185</v>
      </c>
      <c r="CU10" s="70">
        <f t="shared" si="34"/>
        <v>1636785.2239150002</v>
      </c>
      <c r="CV10" s="70">
        <f t="shared" si="35"/>
        <v>-3238.1748150000349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0"/>
        <v>0</v>
      </c>
      <c r="G11" s="98">
        <f t="shared" si="0"/>
        <v>0</v>
      </c>
      <c r="H11" s="98">
        <v>0</v>
      </c>
      <c r="I11" s="98">
        <v>35</v>
      </c>
      <c r="J11" s="98">
        <f t="shared" si="1"/>
        <v>0</v>
      </c>
      <c r="K11" s="98">
        <f t="shared" si="2"/>
        <v>27.573</v>
      </c>
      <c r="L11" s="103">
        <v>46.35</v>
      </c>
      <c r="M11" s="98">
        <f t="shared" si="3"/>
        <v>46.35</v>
      </c>
      <c r="N11" s="98"/>
      <c r="O11" s="98"/>
      <c r="P11" s="98">
        <f t="shared" si="4"/>
        <v>0</v>
      </c>
      <c r="Q11" s="98">
        <f t="shared" si="5"/>
        <v>0</v>
      </c>
      <c r="R11" s="103">
        <v>102.85</v>
      </c>
      <c r="S11" s="98">
        <f t="shared" si="6"/>
        <v>103.87849999999999</v>
      </c>
      <c r="T11" s="103">
        <v>33.130000000000003</v>
      </c>
      <c r="U11" s="98">
        <v>34.619999999999997</v>
      </c>
      <c r="V11" s="98">
        <f t="shared" si="7"/>
        <v>33.461300000000001</v>
      </c>
      <c r="W11" s="98">
        <f t="shared" si="8"/>
        <v>34.966200000000001</v>
      </c>
      <c r="X11" s="120">
        <v>0</v>
      </c>
      <c r="Y11" s="120">
        <v>13.64</v>
      </c>
      <c r="Z11" s="121"/>
      <c r="AA11" s="121">
        <f t="shared" si="9"/>
        <v>0</v>
      </c>
      <c r="AB11" s="121">
        <f t="shared" si="10"/>
        <v>10.23</v>
      </c>
      <c r="AC11" s="123">
        <v>0</v>
      </c>
      <c r="AD11" s="123">
        <v>0</v>
      </c>
      <c r="AE11" s="121">
        <f t="shared" si="11"/>
        <v>0</v>
      </c>
      <c r="AF11" s="121">
        <f t="shared" si="11"/>
        <v>0</v>
      </c>
      <c r="AG11" s="98"/>
      <c r="AH11" s="98"/>
      <c r="AI11" s="98">
        <f t="shared" si="12"/>
        <v>0</v>
      </c>
      <c r="AJ11" s="98">
        <f t="shared" si="12"/>
        <v>0</v>
      </c>
      <c r="AK11" s="103">
        <v>61.22</v>
      </c>
      <c r="AL11" s="98">
        <v>143.94999999999999</v>
      </c>
      <c r="AM11" s="98">
        <f t="shared" si="13"/>
        <v>61.8322</v>
      </c>
      <c r="AN11" s="98">
        <f t="shared" si="14"/>
        <v>145.3895</v>
      </c>
      <c r="AO11" s="98"/>
      <c r="AP11" s="98"/>
      <c r="AQ11" s="131">
        <v>0</v>
      </c>
      <c r="AR11" s="131">
        <v>3.78</v>
      </c>
      <c r="AS11" s="99"/>
      <c r="AT11" s="98">
        <f t="shared" si="15"/>
        <v>0</v>
      </c>
      <c r="AU11" s="98"/>
      <c r="AV11" s="98">
        <f t="shared" si="16"/>
        <v>0</v>
      </c>
      <c r="AW11" s="98">
        <v>12</v>
      </c>
      <c r="AX11" s="98">
        <v>113.82</v>
      </c>
      <c r="AY11" s="98"/>
      <c r="AZ11" s="98">
        <f t="shared" si="17"/>
        <v>0</v>
      </c>
      <c r="BA11" s="98"/>
      <c r="BB11" s="98"/>
      <c r="BC11" s="98"/>
      <c r="BD11" s="98"/>
      <c r="BE11" s="98">
        <f t="shared" si="22"/>
        <v>0</v>
      </c>
      <c r="BF11" s="98">
        <f t="shared" si="23"/>
        <v>0</v>
      </c>
      <c r="BG11" s="98">
        <v>52.94</v>
      </c>
      <c r="BH11" s="98">
        <v>3.89</v>
      </c>
      <c r="BI11" s="98">
        <f t="shared" si="24"/>
        <v>53.4694</v>
      </c>
      <c r="BJ11" s="98">
        <f t="shared" si="18"/>
        <v>3.9289000000000001</v>
      </c>
      <c r="BK11" s="98"/>
      <c r="BL11" s="98"/>
      <c r="BM11" s="98"/>
      <c r="BN11" s="98">
        <f t="shared" si="25"/>
        <v>0</v>
      </c>
      <c r="BO11" s="105">
        <v>57.31</v>
      </c>
      <c r="BP11" s="98">
        <f t="shared" si="26"/>
        <v>57.883100000000006</v>
      </c>
      <c r="BQ11" s="112">
        <v>0</v>
      </c>
      <c r="BR11" s="112">
        <v>0</v>
      </c>
      <c r="BS11" s="104">
        <f t="shared" si="27"/>
        <v>0</v>
      </c>
      <c r="BT11" s="104">
        <f t="shared" si="28"/>
        <v>0</v>
      </c>
      <c r="BU11" s="105">
        <v>11.1</v>
      </c>
      <c r="BV11" s="105">
        <v>0.75</v>
      </c>
      <c r="BW11" s="104">
        <f t="shared" si="29"/>
        <v>13.763999999999999</v>
      </c>
      <c r="BX11" s="104">
        <f t="shared" si="30"/>
        <v>0.92249999999999999</v>
      </c>
      <c r="BY11" s="110">
        <v>0</v>
      </c>
      <c r="BZ11" s="110">
        <v>0</v>
      </c>
      <c r="CA11" s="104">
        <f t="shared" si="31"/>
        <v>0</v>
      </c>
      <c r="CB11" s="104">
        <f t="shared" si="31"/>
        <v>0</v>
      </c>
      <c r="CC11" s="106"/>
      <c r="CD11" s="106"/>
      <c r="CE11" s="98">
        <f t="shared" si="32"/>
        <v>0</v>
      </c>
      <c r="CF11" s="107">
        <f t="shared" si="32"/>
        <v>0</v>
      </c>
      <c r="CG11" s="89"/>
      <c r="CH11" s="65">
        <f t="shared" si="33"/>
        <v>1740000</v>
      </c>
      <c r="CI11" s="73"/>
      <c r="CJ11" s="73"/>
      <c r="CK11" s="66">
        <v>570000</v>
      </c>
      <c r="CL11" s="73"/>
      <c r="CM11" s="66">
        <v>1170000</v>
      </c>
      <c r="CN11" s="73"/>
      <c r="CO11" s="73"/>
      <c r="CP11" s="90"/>
      <c r="CQ11" s="68">
        <v>0</v>
      </c>
      <c r="CR11" s="69">
        <f t="shared" si="19"/>
        <v>121.05749999999999</v>
      </c>
      <c r="CS11" s="69">
        <f t="shared" si="20"/>
        <v>598.26220000000001</v>
      </c>
      <c r="CT11" s="70">
        <f t="shared" si="21"/>
        <v>1738829.2550849998</v>
      </c>
      <c r="CU11" s="70">
        <f t="shared" si="34"/>
        <v>1155307.301215</v>
      </c>
      <c r="CV11" s="70">
        <f t="shared" si="35"/>
        <v>-1170.744915000163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28.4</v>
      </c>
      <c r="E12" s="102">
        <v>27.8</v>
      </c>
      <c r="F12" s="98">
        <f t="shared" si="0"/>
        <v>17.04</v>
      </c>
      <c r="G12" s="98">
        <f t="shared" si="0"/>
        <v>16.68</v>
      </c>
      <c r="H12" s="98"/>
      <c r="I12" s="98"/>
      <c r="J12" s="98">
        <f t="shared" si="1"/>
        <v>0</v>
      </c>
      <c r="K12" s="98">
        <f t="shared" si="2"/>
        <v>0</v>
      </c>
      <c r="L12" s="103">
        <v>42.78</v>
      </c>
      <c r="M12" s="98">
        <f t="shared" si="3"/>
        <v>42.78</v>
      </c>
      <c r="N12" s="99"/>
      <c r="O12" s="99"/>
      <c r="P12" s="98">
        <f t="shared" si="4"/>
        <v>0</v>
      </c>
      <c r="Q12" s="98">
        <f t="shared" si="5"/>
        <v>0</v>
      </c>
      <c r="R12" s="103">
        <v>17.559999999999999</v>
      </c>
      <c r="S12" s="98">
        <f t="shared" si="6"/>
        <v>17.735599999999998</v>
      </c>
      <c r="T12" s="103">
        <v>1.2</v>
      </c>
      <c r="U12" s="98">
        <v>3.62</v>
      </c>
      <c r="V12" s="98">
        <f t="shared" si="7"/>
        <v>1.212</v>
      </c>
      <c r="W12" s="98">
        <f t="shared" si="8"/>
        <v>3.6562000000000001</v>
      </c>
      <c r="X12" s="120">
        <v>449</v>
      </c>
      <c r="Y12" s="120">
        <v>1067</v>
      </c>
      <c r="Z12" s="119"/>
      <c r="AA12" s="121">
        <f t="shared" si="9"/>
        <v>336.75</v>
      </c>
      <c r="AB12" s="121">
        <f t="shared" si="10"/>
        <v>800.25</v>
      </c>
      <c r="AC12" s="119"/>
      <c r="AD12" s="119"/>
      <c r="AE12" s="121">
        <f t="shared" si="11"/>
        <v>0</v>
      </c>
      <c r="AF12" s="121">
        <f t="shared" si="11"/>
        <v>0</v>
      </c>
      <c r="AG12" s="98"/>
      <c r="AH12" s="98"/>
      <c r="AI12" s="98">
        <f t="shared" si="12"/>
        <v>0</v>
      </c>
      <c r="AJ12" s="98">
        <f t="shared" si="12"/>
        <v>0</v>
      </c>
      <c r="AK12" s="103">
        <v>16.22</v>
      </c>
      <c r="AL12" s="98">
        <v>11.49</v>
      </c>
      <c r="AM12" s="98">
        <f t="shared" si="13"/>
        <v>16.382199999999997</v>
      </c>
      <c r="AN12" s="98">
        <f t="shared" si="14"/>
        <v>11.604900000000001</v>
      </c>
      <c r="AO12" s="98"/>
      <c r="AP12" s="98"/>
      <c r="AQ12" s="131">
        <v>0</v>
      </c>
      <c r="AR12" s="131">
        <v>0</v>
      </c>
      <c r="AS12" s="99"/>
      <c r="AT12" s="98">
        <f t="shared" si="15"/>
        <v>0</v>
      </c>
      <c r="AU12" s="99">
        <v>38.75</v>
      </c>
      <c r="AV12" s="98">
        <f>AU12*$C$3</f>
        <v>39.137500000000003</v>
      </c>
      <c r="AW12" s="98">
        <v>35.79</v>
      </c>
      <c r="AX12" s="98">
        <v>93.99</v>
      </c>
      <c r="AY12" s="99"/>
      <c r="AZ12" s="98">
        <f t="shared" si="17"/>
        <v>0</v>
      </c>
      <c r="BA12" s="99"/>
      <c r="BB12" s="99"/>
      <c r="BC12" s="99"/>
      <c r="BD12" s="99"/>
      <c r="BE12" s="98">
        <f t="shared" si="22"/>
        <v>0</v>
      </c>
      <c r="BF12" s="98">
        <f t="shared" si="23"/>
        <v>0</v>
      </c>
      <c r="BG12" s="98">
        <v>64.739999999999995</v>
      </c>
      <c r="BH12" s="98">
        <v>1.07</v>
      </c>
      <c r="BI12" s="98">
        <f t="shared" si="24"/>
        <v>65.3874</v>
      </c>
      <c r="BJ12" s="98">
        <f t="shared" si="18"/>
        <v>1.0807</v>
      </c>
      <c r="BK12" s="99"/>
      <c r="BL12" s="99"/>
      <c r="BM12" s="98"/>
      <c r="BN12" s="98">
        <f t="shared" si="25"/>
        <v>0</v>
      </c>
      <c r="BO12" s="105">
        <v>36.6</v>
      </c>
      <c r="BP12" s="98">
        <f t="shared" si="26"/>
        <v>36.966000000000001</v>
      </c>
      <c r="BQ12" s="113"/>
      <c r="BR12" s="113"/>
      <c r="BS12" s="104">
        <f t="shared" si="27"/>
        <v>0</v>
      </c>
      <c r="BT12" s="104">
        <f t="shared" si="28"/>
        <v>0</v>
      </c>
      <c r="BU12" s="105">
        <v>0</v>
      </c>
      <c r="BV12" s="105">
        <v>1.02</v>
      </c>
      <c r="BW12" s="104">
        <f t="shared" si="29"/>
        <v>0</v>
      </c>
      <c r="BX12" s="104">
        <f t="shared" si="30"/>
        <v>1.2545999999999999</v>
      </c>
      <c r="BY12" s="111"/>
      <c r="BZ12" s="111"/>
      <c r="CA12" s="104">
        <f t="shared" si="31"/>
        <v>0</v>
      </c>
      <c r="CB12" s="104">
        <f t="shared" si="31"/>
        <v>0</v>
      </c>
      <c r="CC12" s="109"/>
      <c r="CD12" s="109"/>
      <c r="CE12" s="98">
        <f t="shared" si="32"/>
        <v>0</v>
      </c>
      <c r="CF12" s="107">
        <f t="shared" si="32"/>
        <v>0</v>
      </c>
      <c r="CG12" s="89"/>
      <c r="CH12" s="65">
        <f t="shared" si="33"/>
        <v>3710000</v>
      </c>
      <c r="CI12" s="73"/>
      <c r="CJ12" s="73"/>
      <c r="CK12" s="66">
        <v>1260000</v>
      </c>
      <c r="CL12" s="73"/>
      <c r="CM12" s="66">
        <v>2450000</v>
      </c>
      <c r="CN12" s="73"/>
      <c r="CO12" s="73"/>
      <c r="CP12" s="90"/>
      <c r="CQ12" s="68">
        <v>0</v>
      </c>
      <c r="CR12" s="69">
        <f t="shared" si="19"/>
        <v>407.17419999999998</v>
      </c>
      <c r="CS12" s="69">
        <f t="shared" si="20"/>
        <v>1129.4422</v>
      </c>
      <c r="CT12" s="70">
        <f t="shared" si="21"/>
        <v>3702551.9955149996</v>
      </c>
      <c r="CU12" s="70">
        <f t="shared" si="34"/>
        <v>2467291.8899849998</v>
      </c>
      <c r="CV12" s="70">
        <f t="shared" si="35"/>
        <v>-7448.0044850003906</v>
      </c>
      <c r="CW12" s="67" t="s">
        <v>135</v>
      </c>
      <c r="CX12" s="116">
        <v>250000</v>
      </c>
    </row>
    <row r="13" spans="1:102">
      <c r="A13" s="18"/>
      <c r="B13" s="94" t="s">
        <v>136</v>
      </c>
      <c r="C13" s="92" t="s">
        <v>137</v>
      </c>
      <c r="D13" s="102">
        <v>0</v>
      </c>
      <c r="E13" s="102">
        <v>0</v>
      </c>
      <c r="F13" s="98">
        <f t="shared" si="0"/>
        <v>0</v>
      </c>
      <c r="G13" s="98">
        <f t="shared" si="0"/>
        <v>0</v>
      </c>
      <c r="H13" s="110"/>
      <c r="I13" s="110"/>
      <c r="J13" s="98">
        <f t="shared" si="1"/>
        <v>0</v>
      </c>
      <c r="K13" s="98">
        <f t="shared" si="2"/>
        <v>0</v>
      </c>
      <c r="L13" s="103">
        <v>59.17</v>
      </c>
      <c r="M13" s="98">
        <f t="shared" si="3"/>
        <v>59.17</v>
      </c>
      <c r="N13" s="98"/>
      <c r="O13" s="98"/>
      <c r="P13" s="98">
        <f t="shared" si="4"/>
        <v>0</v>
      </c>
      <c r="Q13" s="98">
        <f t="shared" si="5"/>
        <v>0</v>
      </c>
      <c r="R13" s="103">
        <v>45.14</v>
      </c>
      <c r="S13" s="98">
        <f t="shared" si="6"/>
        <v>45.5914</v>
      </c>
      <c r="T13" s="103">
        <v>7.05</v>
      </c>
      <c r="U13" s="98">
        <v>0.74</v>
      </c>
      <c r="V13" s="98">
        <f t="shared" si="7"/>
        <v>7.1204999999999998</v>
      </c>
      <c r="W13" s="98">
        <f t="shared" si="8"/>
        <v>0.74739999999999995</v>
      </c>
      <c r="X13" s="120">
        <v>0</v>
      </c>
      <c r="Y13" s="120">
        <v>0</v>
      </c>
      <c r="Z13" s="110"/>
      <c r="AA13" s="121">
        <f t="shared" si="9"/>
        <v>0</v>
      </c>
      <c r="AB13" s="121">
        <f t="shared" si="10"/>
        <v>0</v>
      </c>
      <c r="AC13" s="110"/>
      <c r="AD13" s="110"/>
      <c r="AE13" s="121">
        <f t="shared" si="11"/>
        <v>0</v>
      </c>
      <c r="AF13" s="121">
        <f t="shared" si="11"/>
        <v>0</v>
      </c>
      <c r="AG13" s="98"/>
      <c r="AH13" s="98"/>
      <c r="AI13" s="98">
        <f t="shared" si="12"/>
        <v>0</v>
      </c>
      <c r="AJ13" s="98">
        <f t="shared" si="12"/>
        <v>0</v>
      </c>
      <c r="AK13" s="103">
        <v>56.65</v>
      </c>
      <c r="AL13" s="98">
        <v>29.13</v>
      </c>
      <c r="AM13" s="98">
        <f t="shared" si="13"/>
        <v>57.216499999999996</v>
      </c>
      <c r="AN13" s="98">
        <f t="shared" si="14"/>
        <v>29.421299999999999</v>
      </c>
      <c r="AO13" s="98"/>
      <c r="AP13" s="98"/>
      <c r="AQ13" s="131"/>
      <c r="AR13" s="131"/>
      <c r="AS13" s="99"/>
      <c r="AT13" s="98">
        <f t="shared" si="15"/>
        <v>0</v>
      </c>
      <c r="AU13" s="99">
        <v>9.5500000000000007</v>
      </c>
      <c r="AV13" s="98">
        <f t="shared" si="16"/>
        <v>9.6455000000000002</v>
      </c>
      <c r="AW13" s="98">
        <v>3.53</v>
      </c>
      <c r="AX13" s="98">
        <v>13.81</v>
      </c>
      <c r="AY13" s="101"/>
      <c r="AZ13" s="98">
        <f t="shared" si="17"/>
        <v>0</v>
      </c>
      <c r="BA13" s="98"/>
      <c r="BB13" s="98"/>
      <c r="BC13" s="99"/>
      <c r="BD13" s="99"/>
      <c r="BE13" s="98">
        <f t="shared" si="22"/>
        <v>0</v>
      </c>
      <c r="BF13" s="98">
        <f t="shared" si="23"/>
        <v>0</v>
      </c>
      <c r="BG13" s="98">
        <v>48.61</v>
      </c>
      <c r="BH13" s="98">
        <v>1.05</v>
      </c>
      <c r="BI13" s="98">
        <f t="shared" si="24"/>
        <v>49.0961</v>
      </c>
      <c r="BJ13" s="98">
        <f t="shared" si="18"/>
        <v>1.0605</v>
      </c>
      <c r="BK13" s="100"/>
      <c r="BL13" s="100"/>
      <c r="BM13" s="98"/>
      <c r="BN13" s="98">
        <f t="shared" si="25"/>
        <v>0</v>
      </c>
      <c r="BO13" s="105">
        <v>5.62</v>
      </c>
      <c r="BP13" s="98">
        <f t="shared" si="26"/>
        <v>5.6762000000000006</v>
      </c>
      <c r="BQ13" s="112"/>
      <c r="BR13" s="112"/>
      <c r="BS13" s="104">
        <f t="shared" si="27"/>
        <v>0</v>
      </c>
      <c r="BT13" s="104">
        <f t="shared" si="28"/>
        <v>0</v>
      </c>
      <c r="BU13" s="105">
        <v>7.72</v>
      </c>
      <c r="BV13" s="105">
        <v>0</v>
      </c>
      <c r="BW13" s="104">
        <f t="shared" si="29"/>
        <v>9.5727999999999991</v>
      </c>
      <c r="BX13" s="104">
        <f t="shared" si="30"/>
        <v>0</v>
      </c>
      <c r="BY13" s="110">
        <v>3.74</v>
      </c>
      <c r="BZ13" s="110">
        <v>2.5499999999999998</v>
      </c>
      <c r="CA13" s="104">
        <f t="shared" si="31"/>
        <v>1.87</v>
      </c>
      <c r="CB13" s="104">
        <f t="shared" si="31"/>
        <v>1.2749999999999999</v>
      </c>
      <c r="CC13" s="106"/>
      <c r="CD13" s="106"/>
      <c r="CE13" s="98">
        <f t="shared" si="32"/>
        <v>0</v>
      </c>
      <c r="CF13" s="107">
        <f t="shared" si="32"/>
        <v>0</v>
      </c>
      <c r="CG13" s="81"/>
      <c r="CH13" s="65">
        <f t="shared" si="33"/>
        <v>710000</v>
      </c>
      <c r="CI13" s="74"/>
      <c r="CJ13" s="74"/>
      <c r="CK13" s="54">
        <v>410000</v>
      </c>
      <c r="CL13" s="74"/>
      <c r="CM13" s="54">
        <v>300000</v>
      </c>
      <c r="CN13" s="74"/>
      <c r="CO13" s="74"/>
      <c r="CP13" s="90"/>
      <c r="CQ13" s="68">
        <v>0</v>
      </c>
      <c r="CR13" s="69">
        <f t="shared" si="19"/>
        <v>79.309799999999996</v>
      </c>
      <c r="CS13" s="69">
        <f t="shared" si="20"/>
        <v>214.43290000000002</v>
      </c>
      <c r="CT13" s="70">
        <f t="shared" si="21"/>
        <v>710436.31576500006</v>
      </c>
      <c r="CU13" s="70">
        <f t="shared" si="34"/>
        <v>472568.21763500007</v>
      </c>
      <c r="CV13" s="70">
        <f t="shared" si="35"/>
        <v>436.31576500006486</v>
      </c>
      <c r="CW13" s="91" t="s">
        <v>138</v>
      </c>
      <c r="CX13" s="117">
        <v>0</v>
      </c>
    </row>
    <row r="14" spans="1:102">
      <c r="A14" s="18"/>
      <c r="B14" s="94" t="s">
        <v>139</v>
      </c>
      <c r="C14" s="92" t="s">
        <v>140</v>
      </c>
      <c r="D14" s="102">
        <v>6.7</v>
      </c>
      <c r="E14" s="102">
        <v>119.5</v>
      </c>
      <c r="F14" s="98">
        <f t="shared" si="0"/>
        <v>4.0199999999999996</v>
      </c>
      <c r="G14" s="98">
        <f t="shared" si="0"/>
        <v>71.7</v>
      </c>
      <c r="H14" s="119">
        <v>84</v>
      </c>
      <c r="I14" s="119">
        <v>65</v>
      </c>
      <c r="J14" s="98">
        <f t="shared" si="1"/>
        <v>66.17519999999999</v>
      </c>
      <c r="K14" s="98">
        <f t="shared" si="2"/>
        <v>51.207000000000001</v>
      </c>
      <c r="L14" s="103">
        <v>16.170000000000002</v>
      </c>
      <c r="M14" s="98">
        <f t="shared" si="3"/>
        <v>16.170000000000002</v>
      </c>
      <c r="N14" s="98"/>
      <c r="O14" s="98"/>
      <c r="P14" s="98">
        <f t="shared" si="4"/>
        <v>0</v>
      </c>
      <c r="Q14" s="98">
        <f t="shared" si="5"/>
        <v>0</v>
      </c>
      <c r="R14" s="103">
        <v>30.87</v>
      </c>
      <c r="S14" s="98">
        <f t="shared" si="6"/>
        <v>31.178700000000003</v>
      </c>
      <c r="T14" s="103">
        <v>13.06</v>
      </c>
      <c r="U14" s="98">
        <v>8.99</v>
      </c>
      <c r="V14" s="98">
        <f t="shared" si="7"/>
        <v>13.1906</v>
      </c>
      <c r="W14" s="98">
        <f t="shared" si="8"/>
        <v>9.0799000000000003</v>
      </c>
      <c r="X14" s="120">
        <v>0</v>
      </c>
      <c r="Y14" s="120">
        <v>0</v>
      </c>
      <c r="Z14" s="110"/>
      <c r="AA14" s="121">
        <f t="shared" si="9"/>
        <v>0</v>
      </c>
      <c r="AB14" s="121">
        <f t="shared" si="10"/>
        <v>0</v>
      </c>
      <c r="AC14" s="110"/>
      <c r="AD14" s="110"/>
      <c r="AE14" s="121">
        <f t="shared" si="11"/>
        <v>0</v>
      </c>
      <c r="AF14" s="121">
        <f t="shared" si="11"/>
        <v>0</v>
      </c>
      <c r="AG14" s="98"/>
      <c r="AH14" s="98"/>
      <c r="AI14" s="98">
        <f t="shared" si="12"/>
        <v>0</v>
      </c>
      <c r="AJ14" s="98">
        <f t="shared" si="12"/>
        <v>0</v>
      </c>
      <c r="AK14" s="103">
        <v>65.08</v>
      </c>
      <c r="AL14" s="98">
        <v>110.41</v>
      </c>
      <c r="AM14" s="98">
        <f t="shared" si="13"/>
        <v>65.730800000000002</v>
      </c>
      <c r="AN14" s="98">
        <f t="shared" si="14"/>
        <v>111.5141</v>
      </c>
      <c r="AO14" s="98"/>
      <c r="AP14" s="98"/>
      <c r="AQ14" s="131">
        <v>9.39</v>
      </c>
      <c r="AR14" s="131">
        <v>71.22</v>
      </c>
      <c r="AS14" s="99"/>
      <c r="AT14" s="98">
        <f t="shared" si="15"/>
        <v>0</v>
      </c>
      <c r="AU14" s="99">
        <v>46.4</v>
      </c>
      <c r="AV14" s="98">
        <f t="shared" si="16"/>
        <v>46.863999999999997</v>
      </c>
      <c r="AW14" s="98">
        <v>18.510000000000002</v>
      </c>
      <c r="AX14" s="98">
        <v>56.54</v>
      </c>
      <c r="AY14" s="101"/>
      <c r="AZ14" s="98">
        <f t="shared" si="17"/>
        <v>0</v>
      </c>
      <c r="BA14" s="98"/>
      <c r="BB14" s="98"/>
      <c r="BC14" s="99"/>
      <c r="BD14" s="99"/>
      <c r="BE14" s="98">
        <f t="shared" si="22"/>
        <v>0</v>
      </c>
      <c r="BF14" s="98">
        <f t="shared" si="23"/>
        <v>0</v>
      </c>
      <c r="BG14" s="98">
        <v>59.39</v>
      </c>
      <c r="BH14" s="98">
        <v>0</v>
      </c>
      <c r="BI14" s="98">
        <f t="shared" si="24"/>
        <v>59.983899999999998</v>
      </c>
      <c r="BJ14" s="98">
        <f t="shared" si="18"/>
        <v>0</v>
      </c>
      <c r="BK14" s="100"/>
      <c r="BL14" s="100"/>
      <c r="BM14" s="98">
        <v>0</v>
      </c>
      <c r="BN14" s="98">
        <f t="shared" si="25"/>
        <v>0</v>
      </c>
      <c r="BO14" s="105">
        <v>44.18</v>
      </c>
      <c r="BP14" s="98">
        <f t="shared" si="26"/>
        <v>44.6218</v>
      </c>
      <c r="BQ14" s="112"/>
      <c r="BR14" s="112"/>
      <c r="BS14" s="104">
        <f t="shared" si="27"/>
        <v>0</v>
      </c>
      <c r="BT14" s="104">
        <f t="shared" si="28"/>
        <v>0</v>
      </c>
      <c r="BU14" s="105">
        <v>0</v>
      </c>
      <c r="BV14" s="105">
        <v>0</v>
      </c>
      <c r="BW14" s="104">
        <f t="shared" si="29"/>
        <v>0</v>
      </c>
      <c r="BX14" s="104">
        <f t="shared" si="30"/>
        <v>0</v>
      </c>
      <c r="BY14" s="110"/>
      <c r="BZ14" s="110"/>
      <c r="CA14" s="104">
        <f t="shared" si="31"/>
        <v>0</v>
      </c>
      <c r="CB14" s="104">
        <f t="shared" si="31"/>
        <v>0</v>
      </c>
      <c r="CC14" s="106"/>
      <c r="CD14" s="106"/>
      <c r="CE14" s="98">
        <f t="shared" si="32"/>
        <v>0</v>
      </c>
      <c r="CF14" s="107">
        <f t="shared" si="32"/>
        <v>0</v>
      </c>
      <c r="CG14" s="81"/>
      <c r="CH14" s="65">
        <f t="shared" si="33"/>
        <v>1797000</v>
      </c>
      <c r="CI14" s="74"/>
      <c r="CJ14" s="74"/>
      <c r="CK14" s="54">
        <v>650000</v>
      </c>
      <c r="CL14" s="74"/>
      <c r="CM14" s="54">
        <v>1147000</v>
      </c>
      <c r="CN14" s="74"/>
      <c r="CO14" s="74"/>
      <c r="CP14" s="90"/>
      <c r="CQ14" s="68">
        <v>0</v>
      </c>
      <c r="CR14" s="69">
        <f t="shared" si="19"/>
        <v>177.01659999999995</v>
      </c>
      <c r="CS14" s="69">
        <f t="shared" si="20"/>
        <v>570.07939999999996</v>
      </c>
      <c r="CT14" s="70">
        <f t="shared" si="21"/>
        <v>1797199.3263599996</v>
      </c>
      <c r="CU14" s="70">
        <f t="shared" si="34"/>
        <v>1198132.8842399998</v>
      </c>
      <c r="CV14" s="70">
        <f t="shared" si="35"/>
        <v>199.32635999959894</v>
      </c>
      <c r="CW14" s="55" t="s">
        <v>141</v>
      </c>
      <c r="CX14" s="118">
        <f>140000+140000</f>
        <v>280000</v>
      </c>
    </row>
    <row r="15" spans="1:102">
      <c r="A15" s="18"/>
      <c r="B15" s="94" t="s">
        <v>142</v>
      </c>
      <c r="C15" s="92" t="s">
        <v>143</v>
      </c>
      <c r="D15" s="102">
        <v>1.2</v>
      </c>
      <c r="E15" s="102">
        <v>0</v>
      </c>
      <c r="F15" s="98">
        <f t="shared" si="0"/>
        <v>0.72</v>
      </c>
      <c r="G15" s="98">
        <f t="shared" si="0"/>
        <v>0</v>
      </c>
      <c r="H15" s="119">
        <v>0</v>
      </c>
      <c r="I15" s="119">
        <v>0</v>
      </c>
      <c r="J15" s="98">
        <f t="shared" si="1"/>
        <v>0</v>
      </c>
      <c r="K15" s="98">
        <f t="shared" si="2"/>
        <v>0</v>
      </c>
      <c r="L15" s="103">
        <v>0.89</v>
      </c>
      <c r="M15" s="98">
        <f t="shared" si="3"/>
        <v>0.89</v>
      </c>
      <c r="N15" s="98">
        <v>0.3</v>
      </c>
      <c r="O15" s="98">
        <v>0</v>
      </c>
      <c r="P15" s="98">
        <f t="shared" si="4"/>
        <v>0.30299999999999999</v>
      </c>
      <c r="Q15" s="98">
        <f t="shared" si="5"/>
        <v>0</v>
      </c>
      <c r="R15" s="103">
        <v>35.869999999999997</v>
      </c>
      <c r="S15" s="98">
        <f t="shared" si="6"/>
        <v>36.228699999999996</v>
      </c>
      <c r="T15" s="103">
        <v>0.47</v>
      </c>
      <c r="U15" s="98">
        <v>1.51</v>
      </c>
      <c r="V15" s="98">
        <f t="shared" si="7"/>
        <v>0.47469999999999996</v>
      </c>
      <c r="W15" s="98">
        <f t="shared" si="8"/>
        <v>1.5251000000000001</v>
      </c>
      <c r="X15" s="120">
        <v>0</v>
      </c>
      <c r="Y15" s="120">
        <v>0</v>
      </c>
      <c r="Z15" s="110"/>
      <c r="AA15" s="121">
        <f t="shared" si="9"/>
        <v>0</v>
      </c>
      <c r="AB15" s="121">
        <f t="shared" si="10"/>
        <v>0</v>
      </c>
      <c r="AC15" s="110"/>
      <c r="AD15" s="110"/>
      <c r="AE15" s="121">
        <f t="shared" si="11"/>
        <v>0</v>
      </c>
      <c r="AF15" s="121">
        <f t="shared" si="11"/>
        <v>0</v>
      </c>
      <c r="AG15" s="98"/>
      <c r="AH15" s="98"/>
      <c r="AI15" s="98">
        <f t="shared" si="12"/>
        <v>0</v>
      </c>
      <c r="AJ15" s="98">
        <f t="shared" si="12"/>
        <v>0</v>
      </c>
      <c r="AK15" s="103">
        <v>18.47</v>
      </c>
      <c r="AL15" s="98">
        <v>6.9</v>
      </c>
      <c r="AM15" s="98">
        <f t="shared" si="13"/>
        <v>18.654699999999998</v>
      </c>
      <c r="AN15" s="98">
        <f t="shared" si="14"/>
        <v>6.9690000000000003</v>
      </c>
      <c r="AO15" s="98"/>
      <c r="AP15" s="98"/>
      <c r="AQ15" s="131">
        <v>3.14</v>
      </c>
      <c r="AR15" s="131">
        <v>5.65</v>
      </c>
      <c r="AS15" s="99"/>
      <c r="AT15" s="98">
        <f t="shared" si="15"/>
        <v>0</v>
      </c>
      <c r="AU15" s="99">
        <v>3.75</v>
      </c>
      <c r="AV15" s="98">
        <f t="shared" si="16"/>
        <v>3.7875000000000001</v>
      </c>
      <c r="AW15" s="98">
        <v>22.27</v>
      </c>
      <c r="AX15" s="98">
        <v>3.58</v>
      </c>
      <c r="AY15" s="101"/>
      <c r="AZ15" s="98">
        <f t="shared" si="17"/>
        <v>0</v>
      </c>
      <c r="BA15" s="98"/>
      <c r="BB15" s="98"/>
      <c r="BC15" s="99"/>
      <c r="BD15" s="99"/>
      <c r="BE15" s="98">
        <f t="shared" si="22"/>
        <v>0</v>
      </c>
      <c r="BF15" s="98">
        <f t="shared" si="23"/>
        <v>0</v>
      </c>
      <c r="BG15" s="98">
        <v>2.08</v>
      </c>
      <c r="BH15" s="98">
        <v>0</v>
      </c>
      <c r="BI15" s="98">
        <f t="shared" si="24"/>
        <v>2.1008</v>
      </c>
      <c r="BJ15" s="98">
        <f t="shared" si="18"/>
        <v>0</v>
      </c>
      <c r="BK15" s="100"/>
      <c r="BL15" s="100"/>
      <c r="BM15" s="98"/>
      <c r="BN15" s="98">
        <f t="shared" si="25"/>
        <v>0</v>
      </c>
      <c r="BO15" s="105">
        <v>1.39</v>
      </c>
      <c r="BP15" s="98">
        <f t="shared" si="26"/>
        <v>1.4038999999999999</v>
      </c>
      <c r="BQ15" s="112"/>
      <c r="BR15" s="112"/>
      <c r="BS15" s="104">
        <f t="shared" si="27"/>
        <v>0</v>
      </c>
      <c r="BT15" s="104">
        <f t="shared" si="28"/>
        <v>0</v>
      </c>
      <c r="BU15" s="105">
        <v>0</v>
      </c>
      <c r="BV15" s="105">
        <v>0</v>
      </c>
      <c r="BW15" s="104">
        <f t="shared" si="29"/>
        <v>0</v>
      </c>
      <c r="BX15" s="104">
        <f t="shared" si="30"/>
        <v>0</v>
      </c>
      <c r="BY15" s="110"/>
      <c r="BZ15" s="110"/>
      <c r="CA15" s="104">
        <f t="shared" si="31"/>
        <v>0</v>
      </c>
      <c r="CB15" s="104">
        <f t="shared" si="31"/>
        <v>0</v>
      </c>
      <c r="CC15" s="106"/>
      <c r="CD15" s="106"/>
      <c r="CE15" s="98">
        <f t="shared" si="32"/>
        <v>0</v>
      </c>
      <c r="CF15" s="107">
        <f t="shared" si="32"/>
        <v>0</v>
      </c>
      <c r="CG15" s="81"/>
      <c r="CH15" s="65">
        <f t="shared" si="33"/>
        <v>260000</v>
      </c>
      <c r="CI15" s="74"/>
      <c r="CJ15" s="74"/>
      <c r="CK15" s="54">
        <v>170000</v>
      </c>
      <c r="CL15" s="74"/>
      <c r="CM15" s="54">
        <v>90000</v>
      </c>
      <c r="CN15" s="74"/>
      <c r="CO15" s="74"/>
      <c r="CP15" s="90"/>
      <c r="CQ15" s="68">
        <v>0</v>
      </c>
      <c r="CR15" s="69">
        <f t="shared" si="19"/>
        <v>45.562399999999997</v>
      </c>
      <c r="CS15" s="69">
        <f t="shared" si="20"/>
        <v>62.134999999999998</v>
      </c>
      <c r="CT15" s="70">
        <f t="shared" si="21"/>
        <v>260409.70235999997</v>
      </c>
      <c r="CU15" s="70">
        <f t="shared" si="34"/>
        <v>173606.46823999999</v>
      </c>
      <c r="CV15" s="70">
        <f t="shared" si="35"/>
        <v>409.70235999996657</v>
      </c>
      <c r="CW15" s="55" t="s">
        <v>144</v>
      </c>
      <c r="CX15" s="118">
        <v>0</v>
      </c>
    </row>
    <row r="16" spans="1:102">
      <c r="A16" s="18"/>
      <c r="B16" s="94" t="s">
        <v>145</v>
      </c>
      <c r="C16" s="92" t="s">
        <v>146</v>
      </c>
      <c r="D16" s="102">
        <v>118.7</v>
      </c>
      <c r="E16" s="102">
        <v>37.299999999999997</v>
      </c>
      <c r="F16" s="98">
        <f t="shared" si="0"/>
        <v>71.22</v>
      </c>
      <c r="G16" s="98">
        <f t="shared" si="0"/>
        <v>22.38</v>
      </c>
      <c r="H16" s="110"/>
      <c r="I16" s="110"/>
      <c r="J16" s="98">
        <f t="shared" si="1"/>
        <v>0</v>
      </c>
      <c r="K16" s="98">
        <f t="shared" si="2"/>
        <v>0</v>
      </c>
      <c r="L16" s="103">
        <v>24</v>
      </c>
      <c r="M16" s="98">
        <f t="shared" si="3"/>
        <v>24</v>
      </c>
      <c r="N16" s="98"/>
      <c r="O16" s="98"/>
      <c r="P16" s="98">
        <f t="shared" si="4"/>
        <v>0</v>
      </c>
      <c r="Q16" s="98">
        <f t="shared" si="5"/>
        <v>0</v>
      </c>
      <c r="R16" s="103">
        <v>212.89</v>
      </c>
      <c r="S16" s="98">
        <f t="shared" si="6"/>
        <v>215.0189</v>
      </c>
      <c r="T16" s="103">
        <v>96.09</v>
      </c>
      <c r="U16" s="98">
        <v>67.650000000000006</v>
      </c>
      <c r="V16" s="98">
        <f t="shared" si="7"/>
        <v>97.050899999999999</v>
      </c>
      <c r="W16" s="98">
        <f t="shared" si="8"/>
        <v>68.32650000000001</v>
      </c>
      <c r="X16" s="120">
        <v>0</v>
      </c>
      <c r="Y16" s="120">
        <v>0</v>
      </c>
      <c r="Z16" s="110"/>
      <c r="AA16" s="121">
        <f t="shared" si="9"/>
        <v>0</v>
      </c>
      <c r="AB16" s="121">
        <f t="shared" si="10"/>
        <v>0</v>
      </c>
      <c r="AC16" s="110"/>
      <c r="AD16" s="110"/>
      <c r="AE16" s="121">
        <f t="shared" si="11"/>
        <v>0</v>
      </c>
      <c r="AF16" s="121">
        <f t="shared" si="11"/>
        <v>0</v>
      </c>
      <c r="AG16" s="98"/>
      <c r="AH16" s="98"/>
      <c r="AI16" s="98">
        <f t="shared" si="12"/>
        <v>0</v>
      </c>
      <c r="AJ16" s="98">
        <f t="shared" si="12"/>
        <v>0</v>
      </c>
      <c r="AK16" s="103">
        <v>67.62</v>
      </c>
      <c r="AL16" s="98">
        <v>273.43</v>
      </c>
      <c r="AM16" s="98">
        <f t="shared" si="13"/>
        <v>68.296199999999999</v>
      </c>
      <c r="AN16" s="98">
        <f t="shared" si="14"/>
        <v>276.16430000000003</v>
      </c>
      <c r="AO16" s="98"/>
      <c r="AP16" s="98"/>
      <c r="AQ16" s="131">
        <v>30</v>
      </c>
      <c r="AR16" s="131">
        <v>6.34</v>
      </c>
      <c r="AS16" s="99"/>
      <c r="AT16" s="98">
        <f t="shared" si="15"/>
        <v>0</v>
      </c>
      <c r="AU16" s="99">
        <v>75.8</v>
      </c>
      <c r="AV16" s="98">
        <f t="shared" si="16"/>
        <v>76.557999999999993</v>
      </c>
      <c r="AW16" s="98">
        <v>25.77</v>
      </c>
      <c r="AX16" s="98">
        <v>20.28</v>
      </c>
      <c r="AY16" s="101"/>
      <c r="AZ16" s="98">
        <f t="shared" si="17"/>
        <v>0</v>
      </c>
      <c r="BA16" s="98"/>
      <c r="BB16" s="98"/>
      <c r="BC16" s="99"/>
      <c r="BD16" s="99"/>
      <c r="BE16" s="98">
        <f t="shared" si="22"/>
        <v>0</v>
      </c>
      <c r="BF16" s="98">
        <f t="shared" si="23"/>
        <v>0</v>
      </c>
      <c r="BG16" s="99"/>
      <c r="BH16" s="99"/>
      <c r="BI16" s="98">
        <f t="shared" si="24"/>
        <v>0</v>
      </c>
      <c r="BJ16" s="98">
        <f t="shared" si="18"/>
        <v>0</v>
      </c>
      <c r="BK16" s="100"/>
      <c r="BL16" s="100"/>
      <c r="BM16" s="98"/>
      <c r="BN16" s="98">
        <f t="shared" si="25"/>
        <v>0</v>
      </c>
      <c r="BO16" s="105">
        <v>247.83</v>
      </c>
      <c r="BP16" s="98">
        <f t="shared" si="26"/>
        <v>250.3083</v>
      </c>
      <c r="BQ16" s="112"/>
      <c r="BR16" s="112"/>
      <c r="BS16" s="104">
        <f t="shared" si="27"/>
        <v>0</v>
      </c>
      <c r="BT16" s="104">
        <f t="shared" si="28"/>
        <v>0</v>
      </c>
      <c r="BU16" s="105">
        <v>0</v>
      </c>
      <c r="BV16" s="105">
        <v>0</v>
      </c>
      <c r="BW16" s="104">
        <f t="shared" si="29"/>
        <v>0</v>
      </c>
      <c r="BX16" s="104">
        <f t="shared" si="30"/>
        <v>0</v>
      </c>
      <c r="BY16" s="110"/>
      <c r="BZ16" s="110"/>
      <c r="CA16" s="104">
        <f t="shared" si="31"/>
        <v>0</v>
      </c>
      <c r="CB16" s="104">
        <f t="shared" si="31"/>
        <v>0</v>
      </c>
      <c r="CC16" s="106"/>
      <c r="CD16" s="106"/>
      <c r="CE16" s="98">
        <f t="shared" si="32"/>
        <v>0</v>
      </c>
      <c r="CF16" s="107">
        <f t="shared" si="32"/>
        <v>0</v>
      </c>
      <c r="CG16" s="81"/>
      <c r="CH16" s="65">
        <f t="shared" si="33"/>
        <v>3010000</v>
      </c>
      <c r="CI16" s="74"/>
      <c r="CJ16" s="74"/>
      <c r="CK16" s="54">
        <v>1410000</v>
      </c>
      <c r="CL16" s="74"/>
      <c r="CM16" s="54">
        <v>1600000</v>
      </c>
      <c r="CN16" s="74"/>
      <c r="CO16" s="74"/>
      <c r="CP16" s="90"/>
      <c r="CQ16" s="68">
        <v>0</v>
      </c>
      <c r="CR16" s="69">
        <f t="shared" si="19"/>
        <v>292.33709999999996</v>
      </c>
      <c r="CS16" s="69">
        <f t="shared" si="20"/>
        <v>959.37600000000009</v>
      </c>
      <c r="CT16" s="70">
        <f t="shared" si="21"/>
        <v>3010813.6172400001</v>
      </c>
      <c r="CU16" s="70">
        <f t="shared" si="34"/>
        <v>2007209.0781600003</v>
      </c>
      <c r="CV16" s="70">
        <f t="shared" si="35"/>
        <v>813.61724000005051</v>
      </c>
      <c r="CW16" s="55" t="s">
        <v>147</v>
      </c>
      <c r="CX16" s="118">
        <v>400000</v>
      </c>
    </row>
    <row r="17" spans="1:102">
      <c r="A17" s="18"/>
      <c r="B17" s="94" t="s">
        <v>148</v>
      </c>
      <c r="C17" s="92" t="s">
        <v>149</v>
      </c>
      <c r="D17" s="102">
        <v>0</v>
      </c>
      <c r="E17" s="102">
        <v>0</v>
      </c>
      <c r="F17" s="98">
        <f t="shared" si="0"/>
        <v>0</v>
      </c>
      <c r="G17" s="98">
        <f t="shared" si="0"/>
        <v>0</v>
      </c>
      <c r="H17" s="110"/>
      <c r="I17" s="110"/>
      <c r="J17" s="98">
        <f t="shared" si="1"/>
        <v>0</v>
      </c>
      <c r="K17" s="98">
        <f t="shared" si="2"/>
        <v>0</v>
      </c>
      <c r="L17" s="103"/>
      <c r="M17" s="98">
        <f t="shared" si="3"/>
        <v>0</v>
      </c>
      <c r="N17" s="98"/>
      <c r="O17" s="98"/>
      <c r="P17" s="98">
        <f t="shared" si="4"/>
        <v>0</v>
      </c>
      <c r="Q17" s="98">
        <f t="shared" si="5"/>
        <v>0</v>
      </c>
      <c r="R17" s="103">
        <v>85.46</v>
      </c>
      <c r="S17" s="98">
        <f t="shared" si="6"/>
        <v>86.314599999999999</v>
      </c>
      <c r="T17" s="103">
        <v>6.66</v>
      </c>
      <c r="U17" s="98">
        <v>19.940000000000001</v>
      </c>
      <c r="V17" s="98">
        <f t="shared" si="7"/>
        <v>6.7266000000000004</v>
      </c>
      <c r="W17" s="98">
        <f t="shared" si="8"/>
        <v>20.139400000000002</v>
      </c>
      <c r="X17" s="120">
        <v>0</v>
      </c>
      <c r="Y17" s="120">
        <v>0</v>
      </c>
      <c r="Z17" s="110"/>
      <c r="AA17" s="121">
        <f t="shared" si="9"/>
        <v>0</v>
      </c>
      <c r="AB17" s="121">
        <f t="shared" si="10"/>
        <v>0</v>
      </c>
      <c r="AC17" s="110"/>
      <c r="AD17" s="110"/>
      <c r="AE17" s="121">
        <f t="shared" si="11"/>
        <v>0</v>
      </c>
      <c r="AF17" s="121">
        <f t="shared" si="11"/>
        <v>0</v>
      </c>
      <c r="AG17" s="98"/>
      <c r="AH17" s="98"/>
      <c r="AI17" s="98">
        <f t="shared" si="12"/>
        <v>0</v>
      </c>
      <c r="AJ17" s="98">
        <f t="shared" si="12"/>
        <v>0</v>
      </c>
      <c r="AK17" s="103">
        <v>27.98</v>
      </c>
      <c r="AL17" s="98">
        <v>98.18</v>
      </c>
      <c r="AM17" s="98">
        <f t="shared" si="13"/>
        <v>28.259800000000002</v>
      </c>
      <c r="AN17" s="98">
        <f t="shared" si="14"/>
        <v>99.161800000000014</v>
      </c>
      <c r="AO17" s="98"/>
      <c r="AP17" s="98"/>
      <c r="AQ17" s="131"/>
      <c r="AR17" s="131"/>
      <c r="AS17" s="99"/>
      <c r="AT17" s="98">
        <f t="shared" si="15"/>
        <v>0</v>
      </c>
      <c r="AU17" s="99"/>
      <c r="AV17" s="98">
        <f t="shared" si="16"/>
        <v>0</v>
      </c>
      <c r="AW17" s="98">
        <v>12.65</v>
      </c>
      <c r="AX17" s="98">
        <v>27.23</v>
      </c>
      <c r="AY17" s="101"/>
      <c r="AZ17" s="98">
        <f t="shared" si="17"/>
        <v>0</v>
      </c>
      <c r="BA17" s="98"/>
      <c r="BB17" s="98"/>
      <c r="BC17" s="99">
        <f>29.4+12</f>
        <v>41.4</v>
      </c>
      <c r="BD17" s="99">
        <v>72.400000000000006</v>
      </c>
      <c r="BE17" s="98">
        <f t="shared" si="22"/>
        <v>30.801599999999997</v>
      </c>
      <c r="BF17" s="98">
        <f t="shared" si="23"/>
        <v>54.314480000000003</v>
      </c>
      <c r="BG17" s="99">
        <v>55.7</v>
      </c>
      <c r="BH17" s="99">
        <v>0</v>
      </c>
      <c r="BI17" s="98">
        <f t="shared" si="24"/>
        <v>56.257000000000005</v>
      </c>
      <c r="BJ17" s="98">
        <f t="shared" si="18"/>
        <v>0</v>
      </c>
      <c r="BK17" s="100"/>
      <c r="BL17" s="100"/>
      <c r="BM17" s="98"/>
      <c r="BN17" s="98">
        <f t="shared" si="25"/>
        <v>0</v>
      </c>
      <c r="BO17" s="105">
        <v>88.09</v>
      </c>
      <c r="BP17" s="98">
        <f t="shared" si="26"/>
        <v>88.9709</v>
      </c>
      <c r="BQ17" s="112"/>
      <c r="BR17" s="112"/>
      <c r="BS17" s="104">
        <f t="shared" si="27"/>
        <v>0</v>
      </c>
      <c r="BT17" s="104">
        <f t="shared" si="28"/>
        <v>0</v>
      </c>
      <c r="BU17" s="105">
        <v>0</v>
      </c>
      <c r="BV17" s="105">
        <v>0</v>
      </c>
      <c r="BW17" s="104">
        <f t="shared" si="29"/>
        <v>0</v>
      </c>
      <c r="BX17" s="104">
        <f t="shared" si="30"/>
        <v>0</v>
      </c>
      <c r="BY17" s="110"/>
      <c r="BZ17" s="110"/>
      <c r="CA17" s="104">
        <f t="shared" si="31"/>
        <v>0</v>
      </c>
      <c r="CB17" s="104">
        <f t="shared" si="31"/>
        <v>0</v>
      </c>
      <c r="CC17" s="106"/>
      <c r="CD17" s="106"/>
      <c r="CE17" s="98">
        <f t="shared" si="32"/>
        <v>0</v>
      </c>
      <c r="CF17" s="107">
        <f t="shared" si="32"/>
        <v>0</v>
      </c>
      <c r="CG17" s="81"/>
      <c r="CH17" s="65">
        <f t="shared" si="33"/>
        <v>1225000</v>
      </c>
      <c r="CI17" s="74"/>
      <c r="CJ17" s="74"/>
      <c r="CK17" s="54">
        <v>450000</v>
      </c>
      <c r="CL17" s="74"/>
      <c r="CM17" s="54">
        <v>775000</v>
      </c>
      <c r="CN17" s="74"/>
      <c r="CO17" s="74"/>
      <c r="CP17" s="90"/>
      <c r="CQ17" s="68">
        <v>0</v>
      </c>
      <c r="CR17" s="69">
        <f t="shared" si="19"/>
        <v>78.438000000000002</v>
      </c>
      <c r="CS17" s="69">
        <f t="shared" si="20"/>
        <v>432.38818000000003</v>
      </c>
      <c r="CT17" s="70">
        <f t="shared" si="21"/>
        <v>1225996.375764</v>
      </c>
      <c r="CU17" s="70">
        <f t="shared" si="34"/>
        <v>817330.91717600008</v>
      </c>
      <c r="CV17" s="70">
        <f t="shared" si="35"/>
        <v>996.37576399999671</v>
      </c>
      <c r="CW17" s="55"/>
      <c r="CX17" s="118"/>
    </row>
    <row r="18" spans="1:102">
      <c r="A18" s="18"/>
      <c r="B18" s="94" t="s">
        <v>150</v>
      </c>
      <c r="C18" s="92" t="s">
        <v>151</v>
      </c>
      <c r="D18" s="102">
        <v>0</v>
      </c>
      <c r="E18" s="102">
        <v>0</v>
      </c>
      <c r="F18" s="98">
        <f t="shared" si="0"/>
        <v>0</v>
      </c>
      <c r="G18" s="98">
        <f t="shared" si="0"/>
        <v>0</v>
      </c>
      <c r="H18" s="110"/>
      <c r="I18" s="110"/>
      <c r="J18" s="98">
        <f t="shared" si="1"/>
        <v>0</v>
      </c>
      <c r="K18" s="98">
        <f t="shared" si="2"/>
        <v>0</v>
      </c>
      <c r="L18" s="103"/>
      <c r="M18" s="98">
        <f t="shared" si="3"/>
        <v>0</v>
      </c>
      <c r="N18" s="98"/>
      <c r="O18" s="98"/>
      <c r="P18" s="98">
        <f t="shared" si="4"/>
        <v>0</v>
      </c>
      <c r="Q18" s="98">
        <f t="shared" si="5"/>
        <v>0</v>
      </c>
      <c r="R18" s="103">
        <v>0</v>
      </c>
      <c r="S18" s="98">
        <f t="shared" si="6"/>
        <v>0</v>
      </c>
      <c r="T18" s="108"/>
      <c r="U18" s="99"/>
      <c r="V18" s="98">
        <f t="shared" si="7"/>
        <v>0</v>
      </c>
      <c r="W18" s="98">
        <f t="shared" si="8"/>
        <v>0</v>
      </c>
      <c r="X18" s="120">
        <v>0</v>
      </c>
      <c r="Y18" s="120">
        <v>0</v>
      </c>
      <c r="Z18" s="110"/>
      <c r="AA18" s="121">
        <f t="shared" si="9"/>
        <v>0</v>
      </c>
      <c r="AB18" s="121">
        <f t="shared" si="10"/>
        <v>0</v>
      </c>
      <c r="AC18" s="110"/>
      <c r="AD18" s="110"/>
      <c r="AE18" s="121">
        <f t="shared" si="11"/>
        <v>0</v>
      </c>
      <c r="AF18" s="121">
        <f t="shared" si="11"/>
        <v>0</v>
      </c>
      <c r="AG18" s="98"/>
      <c r="AH18" s="98"/>
      <c r="AI18" s="98">
        <f t="shared" si="12"/>
        <v>0</v>
      </c>
      <c r="AJ18" s="98">
        <f t="shared" si="12"/>
        <v>0</v>
      </c>
      <c r="AK18" s="103"/>
      <c r="AL18" s="98">
        <v>0.1</v>
      </c>
      <c r="AM18" s="98">
        <f t="shared" si="13"/>
        <v>0</v>
      </c>
      <c r="AN18" s="98">
        <f t="shared" si="14"/>
        <v>0.10100000000000001</v>
      </c>
      <c r="AO18" s="98"/>
      <c r="AP18" s="98"/>
      <c r="AQ18" s="131"/>
      <c r="AR18" s="131"/>
      <c r="AS18" s="99"/>
      <c r="AT18" s="98">
        <f t="shared" si="15"/>
        <v>0</v>
      </c>
      <c r="AU18" s="99"/>
      <c r="AV18" s="98">
        <f t="shared" si="16"/>
        <v>0</v>
      </c>
      <c r="AW18" s="98">
        <v>0</v>
      </c>
      <c r="AX18" s="98">
        <v>0</v>
      </c>
      <c r="AY18" s="101"/>
      <c r="AZ18" s="98">
        <f t="shared" si="17"/>
        <v>0</v>
      </c>
      <c r="BA18" s="98"/>
      <c r="BB18" s="98"/>
      <c r="BC18" s="99"/>
      <c r="BD18" s="99"/>
      <c r="BE18" s="98">
        <f t="shared" si="22"/>
        <v>0</v>
      </c>
      <c r="BF18" s="98">
        <f t="shared" si="23"/>
        <v>0</v>
      </c>
      <c r="BG18" s="99"/>
      <c r="BH18" s="99"/>
      <c r="BI18" s="98">
        <f t="shared" si="24"/>
        <v>0</v>
      </c>
      <c r="BJ18" s="98">
        <f t="shared" si="18"/>
        <v>0</v>
      </c>
      <c r="BK18" s="100"/>
      <c r="BL18" s="100"/>
      <c r="BM18" s="98"/>
      <c r="BN18" s="98">
        <f t="shared" si="25"/>
        <v>0</v>
      </c>
      <c r="BO18" s="105">
        <v>0</v>
      </c>
      <c r="BP18" s="98">
        <f t="shared" si="26"/>
        <v>0</v>
      </c>
      <c r="BQ18" s="112"/>
      <c r="BR18" s="112"/>
      <c r="BS18" s="104">
        <f t="shared" si="27"/>
        <v>0</v>
      </c>
      <c r="BT18" s="104">
        <f t="shared" si="28"/>
        <v>0</v>
      </c>
      <c r="BU18" s="105">
        <v>0</v>
      </c>
      <c r="BV18" s="105">
        <v>0</v>
      </c>
      <c r="BW18" s="104">
        <f t="shared" si="29"/>
        <v>0</v>
      </c>
      <c r="BX18" s="104">
        <f t="shared" si="30"/>
        <v>0</v>
      </c>
      <c r="BY18" s="110"/>
      <c r="BZ18" s="110"/>
      <c r="CA18" s="104">
        <f t="shared" si="31"/>
        <v>0</v>
      </c>
      <c r="CB18" s="104">
        <f t="shared" si="31"/>
        <v>0</v>
      </c>
      <c r="CC18" s="106">
        <v>0</v>
      </c>
      <c r="CD18" s="106">
        <v>0</v>
      </c>
      <c r="CE18" s="98">
        <f t="shared" si="32"/>
        <v>0</v>
      </c>
      <c r="CF18" s="107">
        <f t="shared" si="32"/>
        <v>0</v>
      </c>
      <c r="CG18" s="81"/>
      <c r="CH18" s="65">
        <f t="shared" si="33"/>
        <v>0</v>
      </c>
      <c r="CI18" s="74"/>
      <c r="CJ18" s="74"/>
      <c r="CK18" s="54"/>
      <c r="CL18" s="74"/>
      <c r="CM18" s="54"/>
      <c r="CN18" s="74"/>
      <c r="CO18" s="74"/>
      <c r="CP18" s="90"/>
      <c r="CQ18" s="68">
        <v>0</v>
      </c>
      <c r="CR18" s="69">
        <f t="shared" si="19"/>
        <v>0</v>
      </c>
      <c r="CS18" s="69">
        <f t="shared" si="20"/>
        <v>0.10100000000000001</v>
      </c>
      <c r="CT18" s="70">
        <f t="shared" si="21"/>
        <v>241.3698</v>
      </c>
      <c r="CU18" s="70">
        <f t="shared" si="34"/>
        <v>160.91320000000002</v>
      </c>
      <c r="CV18" s="70">
        <f t="shared" si="35"/>
        <v>241.3698</v>
      </c>
      <c r="CW18" s="55"/>
      <c r="CX18" s="118"/>
    </row>
    <row r="19" spans="1:102">
      <c r="A19" s="132" t="s">
        <v>152</v>
      </c>
      <c r="B19" s="94" t="s">
        <v>153</v>
      </c>
      <c r="C19" s="92" t="s">
        <v>154</v>
      </c>
      <c r="D19" s="102">
        <v>48.98</v>
      </c>
      <c r="E19" s="102">
        <v>39.15</v>
      </c>
      <c r="F19" s="98">
        <f t="shared" si="0"/>
        <v>29.387999999999998</v>
      </c>
      <c r="G19" s="98">
        <f t="shared" si="0"/>
        <v>23.49</v>
      </c>
      <c r="H19" s="119"/>
      <c r="I19" s="119"/>
      <c r="J19" s="98">
        <f t="shared" si="1"/>
        <v>0</v>
      </c>
      <c r="K19" s="98">
        <f t="shared" si="2"/>
        <v>0</v>
      </c>
      <c r="L19" s="103"/>
      <c r="M19" s="98">
        <f t="shared" si="3"/>
        <v>0</v>
      </c>
      <c r="N19" s="98">
        <v>33.47</v>
      </c>
      <c r="O19" s="98">
        <v>69.14</v>
      </c>
      <c r="P19" s="98">
        <f t="shared" si="4"/>
        <v>33.804699999999997</v>
      </c>
      <c r="Q19" s="98">
        <f t="shared" si="5"/>
        <v>69.831400000000002</v>
      </c>
      <c r="R19" s="103">
        <v>231.36</v>
      </c>
      <c r="S19" s="98">
        <f t="shared" si="6"/>
        <v>233.67360000000002</v>
      </c>
      <c r="T19" s="108">
        <v>23.48</v>
      </c>
      <c r="U19" s="99">
        <v>19.12</v>
      </c>
      <c r="V19" s="98">
        <f t="shared" si="7"/>
        <v>23.7148</v>
      </c>
      <c r="W19" s="98">
        <f t="shared" si="8"/>
        <v>19.311199999999999</v>
      </c>
      <c r="X19" s="120">
        <v>0</v>
      </c>
      <c r="Y19" s="120">
        <v>0</v>
      </c>
      <c r="Z19" s="110"/>
      <c r="AA19" s="121">
        <f t="shared" si="9"/>
        <v>0</v>
      </c>
      <c r="AB19" s="121">
        <f t="shared" si="10"/>
        <v>0</v>
      </c>
      <c r="AC19" s="110"/>
      <c r="AD19" s="110"/>
      <c r="AE19" s="121">
        <f t="shared" si="11"/>
        <v>0</v>
      </c>
      <c r="AF19" s="121">
        <f t="shared" si="11"/>
        <v>0</v>
      </c>
      <c r="AG19" s="98"/>
      <c r="AH19" s="98"/>
      <c r="AI19" s="98">
        <f t="shared" si="12"/>
        <v>0</v>
      </c>
      <c r="AJ19" s="98">
        <f t="shared" si="12"/>
        <v>0</v>
      </c>
      <c r="AK19" s="103">
        <v>135.25</v>
      </c>
      <c r="AL19" s="98">
        <v>201.07</v>
      </c>
      <c r="AM19" s="98">
        <f t="shared" si="13"/>
        <v>136.60249999999999</v>
      </c>
      <c r="AN19" s="98">
        <f t="shared" si="14"/>
        <v>203.08070000000001</v>
      </c>
      <c r="AO19" s="98"/>
      <c r="AP19" s="98"/>
      <c r="AQ19" s="131"/>
      <c r="AR19" s="131"/>
      <c r="AS19" s="99"/>
      <c r="AT19" s="98">
        <f t="shared" si="15"/>
        <v>0</v>
      </c>
      <c r="AU19" s="99"/>
      <c r="AV19" s="98">
        <f t="shared" si="16"/>
        <v>0</v>
      </c>
      <c r="AW19" s="98"/>
      <c r="AX19" s="98"/>
      <c r="AY19" s="101"/>
      <c r="AZ19" s="98">
        <f t="shared" si="17"/>
        <v>0</v>
      </c>
      <c r="BA19" s="98"/>
      <c r="BB19" s="98"/>
      <c r="BC19" s="99"/>
      <c r="BD19" s="99"/>
      <c r="BE19" s="98">
        <f t="shared" si="22"/>
        <v>0</v>
      </c>
      <c r="BF19" s="98">
        <f t="shared" si="23"/>
        <v>0</v>
      </c>
      <c r="BG19" s="99">
        <v>158.21</v>
      </c>
      <c r="BH19" s="99">
        <v>3.78</v>
      </c>
      <c r="BI19" s="98">
        <f t="shared" si="24"/>
        <v>159.7921</v>
      </c>
      <c r="BJ19" s="98">
        <f t="shared" si="18"/>
        <v>3.8177999999999996</v>
      </c>
      <c r="BK19" s="100"/>
      <c r="BL19" s="100"/>
      <c r="BM19" s="98"/>
      <c r="BN19" s="98">
        <f t="shared" si="25"/>
        <v>0</v>
      </c>
      <c r="BO19" s="105">
        <v>383.51</v>
      </c>
      <c r="BP19" s="98">
        <f t="shared" si="26"/>
        <v>387.3451</v>
      </c>
      <c r="BQ19" s="112"/>
      <c r="BR19" s="112"/>
      <c r="BS19" s="104">
        <f t="shared" si="27"/>
        <v>0</v>
      </c>
      <c r="BT19" s="104">
        <f t="shared" si="28"/>
        <v>0</v>
      </c>
      <c r="BU19" s="105">
        <v>17.75</v>
      </c>
      <c r="BV19" s="105">
        <v>15.32</v>
      </c>
      <c r="BW19" s="104">
        <f t="shared" si="29"/>
        <v>22.01</v>
      </c>
      <c r="BX19" s="104">
        <f t="shared" si="30"/>
        <v>18.843599999999999</v>
      </c>
      <c r="BY19" s="110">
        <v>33.96</v>
      </c>
      <c r="BZ19" s="110">
        <v>25</v>
      </c>
      <c r="CA19" s="104">
        <f t="shared" si="31"/>
        <v>16.98</v>
      </c>
      <c r="CB19" s="104">
        <f t="shared" si="31"/>
        <v>12.5</v>
      </c>
      <c r="CC19" s="106">
        <v>333</v>
      </c>
      <c r="CD19" s="106">
        <v>1221</v>
      </c>
      <c r="CE19" s="98">
        <f t="shared" si="32"/>
        <v>16.650000000000002</v>
      </c>
      <c r="CF19" s="107">
        <f t="shared" si="32"/>
        <v>61.050000000000004</v>
      </c>
      <c r="CG19" s="81"/>
      <c r="CH19" s="65">
        <f t="shared" si="33"/>
        <v>3540000</v>
      </c>
      <c r="CI19" s="74"/>
      <c r="CJ19" s="74"/>
      <c r="CK19" s="54">
        <v>1680000</v>
      </c>
      <c r="CL19" s="74"/>
      <c r="CM19" s="54">
        <v>1860000</v>
      </c>
      <c r="CN19" s="74"/>
      <c r="CO19" s="74"/>
      <c r="CP19" s="90"/>
      <c r="CQ19" s="68">
        <v>0</v>
      </c>
      <c r="CR19" s="69">
        <f t="shared" si="19"/>
        <v>279.14999999999998</v>
      </c>
      <c r="CS19" s="69">
        <f t="shared" si="20"/>
        <v>1188.9177</v>
      </c>
      <c r="CT19" s="70">
        <f t="shared" si="21"/>
        <v>3538384.3025099998</v>
      </c>
      <c r="CU19" s="70">
        <f t="shared" si="34"/>
        <v>2355121.2939899997</v>
      </c>
      <c r="CV19" s="70">
        <f t="shared" si="35"/>
        <v>-1615.697490000166</v>
      </c>
      <c r="CW19" s="55"/>
      <c r="CX19" s="118"/>
    </row>
    <row r="20" spans="1:102">
      <c r="A20" s="18"/>
      <c r="B20" s="94" t="s">
        <v>155</v>
      </c>
      <c r="C20" s="92" t="s">
        <v>156</v>
      </c>
      <c r="D20" s="102">
        <v>0</v>
      </c>
      <c r="E20" s="102">
        <v>0</v>
      </c>
      <c r="F20" s="98">
        <f>SUM((D20*2)*0.3)</f>
        <v>0</v>
      </c>
      <c r="G20" s="98">
        <f>SUM((E20*2)*0.3)</f>
        <v>0</v>
      </c>
      <c r="H20" s="110"/>
      <c r="I20" s="110"/>
      <c r="J20" s="98">
        <f>SUM(H20*0.78)*$C$2</f>
        <v>0</v>
      </c>
      <c r="K20" s="98">
        <f>SUM(I20*0.78)*$C$3</f>
        <v>0</v>
      </c>
      <c r="L20" s="103"/>
      <c r="M20" s="98">
        <f>L20</f>
        <v>0</v>
      </c>
      <c r="N20" s="98"/>
      <c r="O20" s="98"/>
      <c r="P20" s="98">
        <f>N20*$C$2</f>
        <v>0</v>
      </c>
      <c r="Q20" s="98">
        <f>O20*$C$3</f>
        <v>0</v>
      </c>
      <c r="R20" s="103"/>
      <c r="S20" s="98">
        <f>R20*$C$3</f>
        <v>0</v>
      </c>
      <c r="T20" s="108"/>
      <c r="U20" s="99"/>
      <c r="V20" s="98">
        <f>SUM(T20*($C$2))</f>
        <v>0</v>
      </c>
      <c r="W20" s="98">
        <f>SUM(U20*($C$3))</f>
        <v>0</v>
      </c>
      <c r="X20" s="120">
        <v>0</v>
      </c>
      <c r="Y20" s="120">
        <v>0</v>
      </c>
      <c r="Z20" s="110"/>
      <c r="AA20" s="121">
        <f>SUM(X20*0.75)+(Z20*0.75)</f>
        <v>0</v>
      </c>
      <c r="AB20" s="121">
        <f>(Y20*0.75)+(Z20*0.75)</f>
        <v>0</v>
      </c>
      <c r="AC20" s="110"/>
      <c r="AD20" s="110"/>
      <c r="AE20" s="121">
        <f>AC20*0.75</f>
        <v>0</v>
      </c>
      <c r="AF20" s="121">
        <f>AD20*0.75</f>
        <v>0</v>
      </c>
      <c r="AG20" s="98">
        <v>0</v>
      </c>
      <c r="AH20" s="98">
        <v>0</v>
      </c>
      <c r="AI20" s="98">
        <f>AG20*0.75</f>
        <v>0</v>
      </c>
      <c r="AJ20" s="98">
        <f>AH20*0.75</f>
        <v>0</v>
      </c>
      <c r="AK20" s="103">
        <v>0.14000000000000001</v>
      </c>
      <c r="AL20" s="98">
        <v>0.04</v>
      </c>
      <c r="AM20" s="98">
        <f>AK20*$C$2</f>
        <v>0.14140000000000003</v>
      </c>
      <c r="AN20" s="98">
        <f>AL20*$C$3</f>
        <v>4.0399999999999998E-2</v>
      </c>
      <c r="AO20" s="98"/>
      <c r="AP20" s="98"/>
      <c r="AQ20" s="131"/>
      <c r="AR20" s="131"/>
      <c r="AS20" s="99"/>
      <c r="AT20" s="98">
        <f>AS20*$C$3</f>
        <v>0</v>
      </c>
      <c r="AU20" s="99"/>
      <c r="AV20" s="98">
        <f>AU20*$C$3</f>
        <v>0</v>
      </c>
      <c r="AW20" s="98">
        <v>0</v>
      </c>
      <c r="AX20" s="98">
        <v>0</v>
      </c>
      <c r="AY20" s="101"/>
      <c r="AZ20" s="98">
        <f>AY20*$D$2</f>
        <v>0</v>
      </c>
      <c r="BA20" s="98"/>
      <c r="BB20" s="98"/>
      <c r="BC20" s="99"/>
      <c r="BD20" s="99"/>
      <c r="BE20" s="98">
        <f>SUM(BC20*0.62)*$B$2</f>
        <v>0</v>
      </c>
      <c r="BF20" s="98">
        <f>SUM(BD20*0.62)*$B$3</f>
        <v>0</v>
      </c>
      <c r="BG20" s="99"/>
      <c r="BH20" s="99"/>
      <c r="BI20" s="98">
        <f>(BG20*$C$3)</f>
        <v>0</v>
      </c>
      <c r="BJ20" s="98">
        <f>BH20*$C$3</f>
        <v>0</v>
      </c>
      <c r="BK20" s="100"/>
      <c r="BL20" s="100"/>
      <c r="BM20" s="98"/>
      <c r="BN20" s="98">
        <f>BM20*$C$3</f>
        <v>0</v>
      </c>
      <c r="BO20" s="105">
        <v>0</v>
      </c>
      <c r="BP20" s="98">
        <f>BO20*$C$3</f>
        <v>0</v>
      </c>
      <c r="BQ20" s="112"/>
      <c r="BR20" s="112"/>
      <c r="BS20" s="104">
        <f>(BQ20/$D$2)*$C$2</f>
        <v>0</v>
      </c>
      <c r="BT20" s="104">
        <f>(BR20/$D$3)*$C$3</f>
        <v>0</v>
      </c>
      <c r="BU20" s="105">
        <v>0</v>
      </c>
      <c r="BV20" s="105">
        <v>0</v>
      </c>
      <c r="BW20" s="104">
        <f>BU20*$E$2</f>
        <v>0</v>
      </c>
      <c r="BX20" s="104">
        <f>BV20*$E$3</f>
        <v>0</v>
      </c>
      <c r="BY20" s="110"/>
      <c r="BZ20" s="110"/>
      <c r="CA20" s="104">
        <f>BY20/2</f>
        <v>0</v>
      </c>
      <c r="CB20" s="104">
        <f>BZ20/2</f>
        <v>0</v>
      </c>
      <c r="CC20" s="106"/>
      <c r="CD20" s="106"/>
      <c r="CE20" s="98">
        <f>CC20*0.05</f>
        <v>0</v>
      </c>
      <c r="CF20" s="107">
        <f>CD20*0.05</f>
        <v>0</v>
      </c>
      <c r="CG20" s="81"/>
      <c r="CH20" s="65">
        <f>SUM(CI20:CO20)</f>
        <v>0</v>
      </c>
      <c r="CI20" s="133"/>
      <c r="CJ20" s="133"/>
      <c r="CK20" s="54"/>
      <c r="CL20" s="133"/>
      <c r="CM20" s="54"/>
      <c r="CN20" s="133"/>
      <c r="CO20" s="133"/>
      <c r="CP20" s="90"/>
      <c r="CQ20" s="68">
        <v>0</v>
      </c>
      <c r="CR20" s="69">
        <f>SUM(AO20,AQ20,F20,P20,BS20,AM20,AA20,AE20,J20,AI20,V20,BA20,BE20,CE20,AW20,CA20,BW20)</f>
        <v>0.14140000000000003</v>
      </c>
      <c r="CS20" s="69">
        <f>SUM(AP20,AR20,G20,Q20,BN20,AZ20,M20,BT20,AN20,S20,AB20,AF20,K20,AJ20,BI20,W20,BB20,BF20,CF20,BP20,BL20,CG20,AT20,AV20,AX20,CB20,BX20)</f>
        <v>4.0399999999999998E-2</v>
      </c>
      <c r="CT20" s="70">
        <f>(((CR20*$A$2)+(CS20*$A$3))*0.6)+((BJ20*$A$3)*0.75)</f>
        <v>443.88288000000006</v>
      </c>
      <c r="CU20" s="70">
        <f>((CR20*$A$2)+(CS20*$A$3))*0.4+((BJ20*$A$3)*0.25)</f>
        <v>295.92192000000006</v>
      </c>
      <c r="CV20" s="70">
        <f>CT20-CH20</f>
        <v>443.88288000000006</v>
      </c>
      <c r="CW20" s="55"/>
      <c r="CX20" s="118"/>
    </row>
    <row r="21" spans="1:102">
      <c r="A21" s="18"/>
      <c r="B21" s="94" t="s">
        <v>157</v>
      </c>
      <c r="C21" s="92" t="s">
        <v>158</v>
      </c>
      <c r="D21" s="102">
        <v>0</v>
      </c>
      <c r="E21" s="102">
        <v>0</v>
      </c>
      <c r="F21" s="98">
        <f t="shared" ref="F21:G27" si="36">SUM((D21*2)*0.3)</f>
        <v>0</v>
      </c>
      <c r="G21" s="98">
        <f t="shared" si="36"/>
        <v>0</v>
      </c>
      <c r="H21" s="110"/>
      <c r="I21" s="110"/>
      <c r="J21" s="98">
        <f t="shared" ref="J21:J26" si="37">SUM(H21*0.78)*$C$2</f>
        <v>0</v>
      </c>
      <c r="K21" s="98">
        <f t="shared" ref="K21:K26" si="38">SUM(I21*0.78)*$C$3</f>
        <v>0</v>
      </c>
      <c r="L21" s="103"/>
      <c r="M21" s="98">
        <f t="shared" ref="M21:M26" si="39">L21</f>
        <v>0</v>
      </c>
      <c r="N21" s="98"/>
      <c r="O21" s="98"/>
      <c r="P21" s="98">
        <f t="shared" ref="P21:P26" si="40">N21*$C$2</f>
        <v>0</v>
      </c>
      <c r="Q21" s="98">
        <f t="shared" ref="Q21:Q26" si="41">O21*$C$3</f>
        <v>0</v>
      </c>
      <c r="R21" s="103">
        <v>59.51</v>
      </c>
      <c r="S21" s="98">
        <f t="shared" ref="S21:S26" si="42">R21*$C$3</f>
        <v>60.1051</v>
      </c>
      <c r="T21" s="108">
        <v>33.840000000000003</v>
      </c>
      <c r="U21" s="99">
        <v>33.94</v>
      </c>
      <c r="V21" s="98">
        <f t="shared" ref="V21:V26" si="43">SUM(T21*($C$2))</f>
        <v>34.178400000000003</v>
      </c>
      <c r="W21" s="98">
        <f t="shared" ref="W21:W26" si="44">SUM(U21*($C$3))</f>
        <v>34.279399999999995</v>
      </c>
      <c r="X21" s="120">
        <v>0</v>
      </c>
      <c r="Y21" s="120">
        <v>0</v>
      </c>
      <c r="Z21" s="110"/>
      <c r="AA21" s="121">
        <f t="shared" ref="AA21:AA26" si="45">SUM(X21*0.75)+(Z21*0.75)</f>
        <v>0</v>
      </c>
      <c r="AB21" s="121">
        <f t="shared" ref="AB21:AB26" si="46">(Y21*0.75)+(Z21*0.75)</f>
        <v>0</v>
      </c>
      <c r="AC21" s="110"/>
      <c r="AD21" s="110"/>
      <c r="AE21" s="121">
        <f t="shared" ref="AE21:AF26" si="47">AC21*0.75</f>
        <v>0</v>
      </c>
      <c r="AF21" s="121">
        <f t="shared" si="47"/>
        <v>0</v>
      </c>
      <c r="AG21" s="98">
        <v>0</v>
      </c>
      <c r="AH21" s="98">
        <v>0</v>
      </c>
      <c r="AI21" s="98">
        <f t="shared" ref="AI21:AJ26" si="48">AG21*0.75</f>
        <v>0</v>
      </c>
      <c r="AJ21" s="98">
        <f t="shared" si="48"/>
        <v>0</v>
      </c>
      <c r="AK21" s="103"/>
      <c r="AL21" s="98"/>
      <c r="AM21" s="98">
        <f t="shared" ref="AM21:AM26" si="49">AK21*$C$2</f>
        <v>0</v>
      </c>
      <c r="AN21" s="98">
        <f t="shared" ref="AN21:AN26" si="50">AL21*$C$3</f>
        <v>0</v>
      </c>
      <c r="AO21" s="98"/>
      <c r="AP21" s="98"/>
      <c r="AQ21" s="131">
        <v>25.23</v>
      </c>
      <c r="AR21" s="131">
        <v>63.68</v>
      </c>
      <c r="AS21" s="99"/>
      <c r="AT21" s="98">
        <f t="shared" ref="AT21:AT26" si="51">AS21*$C$3</f>
        <v>0</v>
      </c>
      <c r="AU21" s="99"/>
      <c r="AV21" s="98">
        <f t="shared" ref="AV21:AV26" si="52">AU21*$C$3</f>
        <v>0</v>
      </c>
      <c r="AW21" s="99">
        <v>84.77</v>
      </c>
      <c r="AX21" s="99">
        <v>73.7</v>
      </c>
      <c r="AY21" s="101"/>
      <c r="AZ21" s="98">
        <f t="shared" ref="AZ21:AZ26" si="53">AY21*$D$2</f>
        <v>0</v>
      </c>
      <c r="BA21" s="98"/>
      <c r="BB21" s="98"/>
      <c r="BC21" s="99"/>
      <c r="BD21" s="99"/>
      <c r="BE21" s="98">
        <f t="shared" ref="BE21:BE23" si="54">SUM(BC21*0.62)*$B$2</f>
        <v>0</v>
      </c>
      <c r="BF21" s="98">
        <f t="shared" ref="BF21:BF23" si="55">SUM(BD21*0.62)*$B$3</f>
        <v>0</v>
      </c>
      <c r="BG21" s="99"/>
      <c r="BH21" s="99"/>
      <c r="BI21" s="98">
        <f t="shared" ref="BI21:BI26" si="56">(BG21*$C$3)</f>
        <v>0</v>
      </c>
      <c r="BJ21" s="98">
        <f t="shared" ref="BJ21:BJ26" si="57">BH21*$C$3</f>
        <v>0</v>
      </c>
      <c r="BK21" s="100"/>
      <c r="BL21" s="100"/>
      <c r="BM21" s="98"/>
      <c r="BN21" s="98">
        <f t="shared" ref="BN21:BN26" si="58">BM21*$C$3</f>
        <v>0</v>
      </c>
      <c r="BO21" s="105">
        <v>121.4</v>
      </c>
      <c r="BP21" s="98">
        <f t="shared" ref="BP21:BP26" si="59">BO21*$C$3</f>
        <v>122.614</v>
      </c>
      <c r="BQ21" s="112"/>
      <c r="BR21" s="112"/>
      <c r="BS21" s="104">
        <f t="shared" ref="BS21:BS26" si="60">(BQ21/$D$2)*$C$2</f>
        <v>0</v>
      </c>
      <c r="BT21" s="104">
        <f t="shared" ref="BT21:BT26" si="61">(BR21/$D$3)*$C$3</f>
        <v>0</v>
      </c>
      <c r="BU21" s="105">
        <v>0</v>
      </c>
      <c r="BV21" s="105">
        <v>0</v>
      </c>
      <c r="BW21" s="104">
        <f t="shared" ref="BW21:BW26" si="62">BU21*$E$2</f>
        <v>0</v>
      </c>
      <c r="BX21" s="104">
        <f t="shared" ref="BX21:BX26" si="63">BV21*$E$3</f>
        <v>0</v>
      </c>
      <c r="BY21" s="110">
        <v>77.89</v>
      </c>
      <c r="BZ21" s="110">
        <v>46</v>
      </c>
      <c r="CA21" s="104">
        <f t="shared" ref="CA21:CB26" si="64">BY21/2</f>
        <v>38.945</v>
      </c>
      <c r="CB21" s="104">
        <f t="shared" si="64"/>
        <v>23</v>
      </c>
      <c r="CC21" s="106"/>
      <c r="CD21" s="106"/>
      <c r="CE21" s="98">
        <f t="shared" ref="CE21:CF26" si="65">CC21*0.05</f>
        <v>0</v>
      </c>
      <c r="CF21" s="107">
        <f t="shared" si="65"/>
        <v>0</v>
      </c>
      <c r="CG21" s="81"/>
      <c r="CH21" s="65">
        <f t="shared" ref="CH21:CH26" si="66">SUM(CI21:CO21)</f>
        <v>1354000</v>
      </c>
      <c r="CI21" s="74"/>
      <c r="CJ21" s="74"/>
      <c r="CK21" s="54">
        <v>630000</v>
      </c>
      <c r="CL21" s="74"/>
      <c r="CM21" s="54">
        <v>620000</v>
      </c>
      <c r="CN21" s="74">
        <v>52000</v>
      </c>
      <c r="CO21" s="74">
        <v>52000</v>
      </c>
      <c r="CP21" s="90"/>
      <c r="CQ21" s="68">
        <v>0</v>
      </c>
      <c r="CR21" s="69">
        <f t="shared" ref="CR21:CR26" si="67">SUM(AO21,AQ21,F21,P21,BS21,AM21,AA21,AE21,J21,AI21,V21,BA21,BE21,CE21,AW21,CA21,BW21)</f>
        <v>183.1234</v>
      </c>
      <c r="CS21" s="69">
        <f t="shared" ref="CS21:CS26" si="68">SUM(AP21,AR21,G21,Q21,BN21,AZ21,M21,BT21,AN21,S21,AB21,AF21,K21,AJ21,BI21,W21,BB21,BF21,CF21,BP21,BL21,CG21,AT21,AV21,AX21,CB21,BX21)</f>
        <v>377.37849999999997</v>
      </c>
      <c r="CT21" s="70">
        <f t="shared" ref="CT21:CT26" si="69">(((CR21*$A$2)+(CS21*$A$3))*0.6)+((BJ21*$A$3)*0.75)</f>
        <v>1351683.45906</v>
      </c>
      <c r="CU21" s="70">
        <f t="shared" ref="CU21:CU26" si="70">((CR21*$A$2)+(CS21*$A$3))*0.4+((BJ21*$A$3)*0.25)</f>
        <v>901122.30604000005</v>
      </c>
      <c r="CV21" s="70">
        <f t="shared" ref="CV21:CV26" si="71">CT21-CH21</f>
        <v>-2316.5409399999771</v>
      </c>
      <c r="CW21" s="55"/>
      <c r="CX21" s="118"/>
    </row>
    <row r="22" spans="1:102">
      <c r="A22" s="18" t="s">
        <v>159</v>
      </c>
      <c r="B22" s="94" t="s">
        <v>160</v>
      </c>
      <c r="C22" s="92" t="s">
        <v>161</v>
      </c>
      <c r="D22" s="102">
        <v>1.1000000000000001</v>
      </c>
      <c r="E22" s="102">
        <v>0</v>
      </c>
      <c r="F22" s="98">
        <f>SUM((D22*2)*0.3)</f>
        <v>0.66</v>
      </c>
      <c r="G22" s="98">
        <f>SUM((E22*2)*0.3)</f>
        <v>0</v>
      </c>
      <c r="H22" s="110"/>
      <c r="I22" s="110"/>
      <c r="J22" s="98">
        <f>SUM(H22*0.78)*$C$2</f>
        <v>0</v>
      </c>
      <c r="K22" s="98">
        <f>SUM(I22*0.78)*$C$3</f>
        <v>0</v>
      </c>
      <c r="L22" s="103"/>
      <c r="M22" s="98">
        <f>L22</f>
        <v>0</v>
      </c>
      <c r="N22" s="98"/>
      <c r="O22" s="98"/>
      <c r="P22" s="98">
        <f>N22*$C$2</f>
        <v>0</v>
      </c>
      <c r="Q22" s="98">
        <f>O22*$C$3</f>
        <v>0</v>
      </c>
      <c r="R22" s="103">
        <v>22.95</v>
      </c>
      <c r="S22" s="98">
        <f>R22*$C$3</f>
        <v>23.179500000000001</v>
      </c>
      <c r="T22" s="108">
        <v>11.3</v>
      </c>
      <c r="U22" s="99">
        <v>0.97</v>
      </c>
      <c r="V22" s="98">
        <f>SUM(T22*($C$2))</f>
        <v>11.413</v>
      </c>
      <c r="W22" s="98">
        <f>SUM(U22*($C$3))</f>
        <v>0.97970000000000002</v>
      </c>
      <c r="X22" s="120">
        <v>0</v>
      </c>
      <c r="Y22" s="120">
        <v>0</v>
      </c>
      <c r="Z22" s="110"/>
      <c r="AA22" s="121">
        <f>SUM(X22*0.75)+(Z22*0.75)</f>
        <v>0</v>
      </c>
      <c r="AB22" s="121">
        <f>(Y22*0.75)+(Z22*0.75)</f>
        <v>0</v>
      </c>
      <c r="AC22" s="110"/>
      <c r="AD22" s="110"/>
      <c r="AE22" s="121">
        <f>AC22*0.75</f>
        <v>0</v>
      </c>
      <c r="AF22" s="121">
        <f>AD22*0.75</f>
        <v>0</v>
      </c>
      <c r="AG22" s="98">
        <v>0</v>
      </c>
      <c r="AH22" s="98">
        <v>0</v>
      </c>
      <c r="AI22" s="98">
        <f>AG22*0.75</f>
        <v>0</v>
      </c>
      <c r="AJ22" s="98">
        <f>AH22*0.75</f>
        <v>0</v>
      </c>
      <c r="AK22" s="103">
        <v>12.29</v>
      </c>
      <c r="AL22" s="98">
        <v>65.12</v>
      </c>
      <c r="AM22" s="98">
        <f>AK22*$C$2</f>
        <v>12.412899999999999</v>
      </c>
      <c r="AN22" s="98">
        <f>AL22*$C$3</f>
        <v>65.771200000000007</v>
      </c>
      <c r="AO22" s="98"/>
      <c r="AP22" s="98"/>
      <c r="AQ22" s="131"/>
      <c r="AR22" s="131"/>
      <c r="AS22" s="99"/>
      <c r="AT22" s="98">
        <f>AS22*$C$3</f>
        <v>0</v>
      </c>
      <c r="AU22" s="99"/>
      <c r="AV22" s="98">
        <f>AU22*$C$3</f>
        <v>0</v>
      </c>
      <c r="AW22" s="99">
        <v>5.73</v>
      </c>
      <c r="AX22" s="99">
        <v>36.68</v>
      </c>
      <c r="AY22" s="101"/>
      <c r="AZ22" s="98">
        <f>AY22*$D$2</f>
        <v>0</v>
      </c>
      <c r="BA22" s="98"/>
      <c r="BB22" s="98"/>
      <c r="BC22" s="99"/>
      <c r="BD22" s="99"/>
      <c r="BE22" s="98">
        <f>SUM(BC22*0.62)*$B$2</f>
        <v>0</v>
      </c>
      <c r="BF22" s="98">
        <f>SUM(BD22*0.62)*$B$3</f>
        <v>0</v>
      </c>
      <c r="BG22" s="99">
        <v>0.74</v>
      </c>
      <c r="BH22" s="99">
        <v>0</v>
      </c>
      <c r="BI22" s="98">
        <f>(BG22*$C$3)</f>
        <v>0.74739999999999995</v>
      </c>
      <c r="BJ22" s="98">
        <f>BH22*$C$3</f>
        <v>0</v>
      </c>
      <c r="BK22" s="100"/>
      <c r="BL22" s="100"/>
      <c r="BM22" s="98"/>
      <c r="BN22" s="98">
        <f>BM22*$C$3</f>
        <v>0</v>
      </c>
      <c r="BO22" s="105">
        <v>81.459999999999994</v>
      </c>
      <c r="BP22" s="98">
        <f>BO22*$C$3</f>
        <v>82.274599999999992</v>
      </c>
      <c r="BQ22" s="112"/>
      <c r="BR22" s="112"/>
      <c r="BS22" s="104">
        <f>(BQ22/$D$2)*$C$2</f>
        <v>0</v>
      </c>
      <c r="BT22" s="104">
        <f>(BR22/$D$3)*$C$3</f>
        <v>0</v>
      </c>
      <c r="BU22" s="105">
        <v>0</v>
      </c>
      <c r="BV22" s="105">
        <v>0</v>
      </c>
      <c r="BW22" s="104">
        <f>BU22*$E$2</f>
        <v>0</v>
      </c>
      <c r="BX22" s="104">
        <f>BV22*$E$3</f>
        <v>0</v>
      </c>
      <c r="BY22" s="110">
        <v>0</v>
      </c>
      <c r="BZ22" s="110">
        <v>0</v>
      </c>
      <c r="CA22" s="104">
        <f>BY22/2</f>
        <v>0</v>
      </c>
      <c r="CB22" s="104">
        <f>BZ22/2</f>
        <v>0</v>
      </c>
      <c r="CC22" s="106"/>
      <c r="CD22" s="106"/>
      <c r="CE22" s="98">
        <f>CC22*0.05</f>
        <v>0</v>
      </c>
      <c r="CF22" s="107">
        <f>CD22*0.05</f>
        <v>0</v>
      </c>
      <c r="CG22" s="81"/>
      <c r="CH22" s="65">
        <f>SUM(CI22:CO22)</f>
        <v>580000</v>
      </c>
      <c r="CI22" s="133"/>
      <c r="CJ22" s="133"/>
      <c r="CK22" s="54">
        <v>240000</v>
      </c>
      <c r="CL22" s="133"/>
      <c r="CM22" s="54">
        <v>340000</v>
      </c>
      <c r="CN22" s="133"/>
      <c r="CO22" s="133"/>
      <c r="CP22" s="69"/>
      <c r="CQ22" s="68">
        <v>0</v>
      </c>
      <c r="CR22" s="69">
        <f>SUM(AO22,AQ22,F22,P22,BS22,AM22,AA22,AE22,J22,AI22,V22,BA22,BE22,CE22,AW22,CA22,BW22)</f>
        <v>30.215900000000001</v>
      </c>
      <c r="CS22" s="69">
        <f>SUM(AP22,AR22,G22,Q22,BN22,AZ22,M22,BT22,AN22,S22,AB22,AF22,K22,AJ22,BI22,W22,BB22,BF22,CF22,BP22,BL22,CG22,AT22,AV22,AX22,CB22,BX22)</f>
        <v>209.63240000000002</v>
      </c>
      <c r="CT22" s="70">
        <f>(((CR22*$A$2)+(CS22*$A$3))*0.6)+((BJ22*$A$3)*0.75)</f>
        <v>575201.84628000006</v>
      </c>
      <c r="CU22" s="70">
        <f>((CR22*$A$2)+(CS22*$A$3))*0.4+((BJ22*$A$3)*0.25)</f>
        <v>383467.89752000006</v>
      </c>
      <c r="CV22" s="70">
        <f>CT22-CH22</f>
        <v>-4798.1537199999439</v>
      </c>
      <c r="CW22" s="55"/>
      <c r="CX22" s="118"/>
    </row>
    <row r="23" spans="1:102">
      <c r="A23" s="18"/>
      <c r="B23" s="94" t="s">
        <v>162</v>
      </c>
      <c r="C23" s="92" t="s">
        <v>163</v>
      </c>
      <c r="D23" s="102">
        <v>0</v>
      </c>
      <c r="E23" s="102">
        <v>0</v>
      </c>
      <c r="F23" s="98">
        <f t="shared" si="36"/>
        <v>0</v>
      </c>
      <c r="G23" s="98">
        <f t="shared" si="36"/>
        <v>0</v>
      </c>
      <c r="H23" s="110"/>
      <c r="I23" s="110"/>
      <c r="J23" s="98">
        <f t="shared" si="37"/>
        <v>0</v>
      </c>
      <c r="K23" s="98">
        <f t="shared" si="38"/>
        <v>0</v>
      </c>
      <c r="L23" s="103">
        <v>0</v>
      </c>
      <c r="M23" s="98">
        <f t="shared" si="39"/>
        <v>0</v>
      </c>
      <c r="N23" s="98"/>
      <c r="O23" s="98"/>
      <c r="P23" s="98">
        <f t="shared" si="40"/>
        <v>0</v>
      </c>
      <c r="Q23" s="98">
        <f t="shared" si="41"/>
        <v>0</v>
      </c>
      <c r="R23" s="103">
        <v>15.72</v>
      </c>
      <c r="S23" s="98">
        <f t="shared" si="42"/>
        <v>15.8772</v>
      </c>
      <c r="T23" s="108">
        <v>0</v>
      </c>
      <c r="U23" s="99">
        <v>31.03</v>
      </c>
      <c r="V23" s="98">
        <f t="shared" si="43"/>
        <v>0</v>
      </c>
      <c r="W23" s="98">
        <f t="shared" si="44"/>
        <v>31.340300000000003</v>
      </c>
      <c r="X23" s="120">
        <v>0</v>
      </c>
      <c r="Y23" s="120">
        <v>0</v>
      </c>
      <c r="Z23" s="110"/>
      <c r="AA23" s="121">
        <f t="shared" si="45"/>
        <v>0</v>
      </c>
      <c r="AB23" s="121">
        <f t="shared" si="46"/>
        <v>0</v>
      </c>
      <c r="AC23" s="110"/>
      <c r="AD23" s="110"/>
      <c r="AE23" s="121">
        <f t="shared" si="47"/>
        <v>0</v>
      </c>
      <c r="AF23" s="121">
        <f t="shared" si="47"/>
        <v>0</v>
      </c>
      <c r="AG23" s="98">
        <v>0</v>
      </c>
      <c r="AH23" s="98">
        <v>0</v>
      </c>
      <c r="AI23" s="98">
        <f t="shared" si="48"/>
        <v>0</v>
      </c>
      <c r="AJ23" s="98">
        <f t="shared" si="48"/>
        <v>0</v>
      </c>
      <c r="AK23" s="103">
        <v>36.549999999999997</v>
      </c>
      <c r="AL23" s="98">
        <v>58.47</v>
      </c>
      <c r="AM23" s="98">
        <f t="shared" si="49"/>
        <v>36.915499999999994</v>
      </c>
      <c r="AN23" s="98">
        <f t="shared" si="50"/>
        <v>59.054699999999997</v>
      </c>
      <c r="AO23" s="98"/>
      <c r="AP23" s="98"/>
      <c r="AQ23" s="131"/>
      <c r="AR23" s="131"/>
      <c r="AS23" s="99"/>
      <c r="AT23" s="98">
        <f t="shared" si="51"/>
        <v>0</v>
      </c>
      <c r="AU23" s="99"/>
      <c r="AV23" s="98">
        <f t="shared" si="52"/>
        <v>0</v>
      </c>
      <c r="AW23" s="99">
        <v>51.33</v>
      </c>
      <c r="AX23" s="99">
        <v>4.9800000000000004</v>
      </c>
      <c r="AY23" s="101"/>
      <c r="AZ23" s="98">
        <f t="shared" si="53"/>
        <v>0</v>
      </c>
      <c r="BA23" s="98"/>
      <c r="BB23" s="98"/>
      <c r="BC23" s="99"/>
      <c r="BD23" s="99"/>
      <c r="BE23" s="98">
        <f t="shared" si="54"/>
        <v>0</v>
      </c>
      <c r="BF23" s="98">
        <f t="shared" si="55"/>
        <v>0</v>
      </c>
      <c r="BG23" s="99"/>
      <c r="BH23" s="99"/>
      <c r="BI23" s="98">
        <f t="shared" si="56"/>
        <v>0</v>
      </c>
      <c r="BJ23" s="98">
        <f t="shared" si="57"/>
        <v>0</v>
      </c>
      <c r="BK23" s="100"/>
      <c r="BL23" s="100"/>
      <c r="BM23" s="98"/>
      <c r="BN23" s="98">
        <f t="shared" si="58"/>
        <v>0</v>
      </c>
      <c r="BO23" s="105">
        <v>18.739999999999998</v>
      </c>
      <c r="BP23" s="98">
        <f t="shared" si="59"/>
        <v>18.927399999999999</v>
      </c>
      <c r="BQ23" s="112"/>
      <c r="BR23" s="112"/>
      <c r="BS23" s="104">
        <f t="shared" si="60"/>
        <v>0</v>
      </c>
      <c r="BT23" s="104">
        <f t="shared" si="61"/>
        <v>0</v>
      </c>
      <c r="BU23" s="105">
        <v>0</v>
      </c>
      <c r="BV23" s="105">
        <v>0</v>
      </c>
      <c r="BW23" s="104">
        <f t="shared" si="62"/>
        <v>0</v>
      </c>
      <c r="BX23" s="104">
        <f t="shared" si="63"/>
        <v>0</v>
      </c>
      <c r="BY23" s="110">
        <v>0</v>
      </c>
      <c r="BZ23" s="110">
        <v>0</v>
      </c>
      <c r="CA23" s="104">
        <f t="shared" si="64"/>
        <v>0</v>
      </c>
      <c r="CB23" s="104">
        <f t="shared" si="64"/>
        <v>0</v>
      </c>
      <c r="CC23" s="106"/>
      <c r="CD23" s="106"/>
      <c r="CE23" s="98">
        <f t="shared" si="65"/>
        <v>0</v>
      </c>
      <c r="CF23" s="107">
        <f t="shared" si="65"/>
        <v>0</v>
      </c>
      <c r="CG23" s="81"/>
      <c r="CH23" s="65">
        <f t="shared" si="66"/>
        <v>527000</v>
      </c>
      <c r="CI23" s="74"/>
      <c r="CJ23" s="74"/>
      <c r="CK23" s="54">
        <v>200000</v>
      </c>
      <c r="CL23" s="74"/>
      <c r="CM23" s="54">
        <v>250000</v>
      </c>
      <c r="CN23" s="74">
        <v>37000</v>
      </c>
      <c r="CO23" s="74">
        <v>40000</v>
      </c>
      <c r="CP23" s="90"/>
      <c r="CQ23" s="68">
        <v>0</v>
      </c>
      <c r="CR23" s="69">
        <f t="shared" si="67"/>
        <v>88.245499999999993</v>
      </c>
      <c r="CS23" s="69">
        <f t="shared" si="68"/>
        <v>130.17959999999999</v>
      </c>
      <c r="CT23" s="70">
        <f t="shared" si="69"/>
        <v>527869.45427999995</v>
      </c>
      <c r="CU23" s="70">
        <f t="shared" si="70"/>
        <v>351912.96952000004</v>
      </c>
      <c r="CV23" s="70">
        <f t="shared" si="71"/>
        <v>869.45427999994718</v>
      </c>
      <c r="CW23" s="55"/>
      <c r="CX23" s="118"/>
    </row>
    <row r="24" spans="1:102">
      <c r="A24" s="18"/>
      <c r="B24" s="94" t="s">
        <v>164</v>
      </c>
      <c r="C24" s="92" t="s">
        <v>165</v>
      </c>
      <c r="D24" s="102">
        <v>0</v>
      </c>
      <c r="E24" s="102">
        <v>0</v>
      </c>
      <c r="F24" s="98">
        <f t="shared" ref="F24:F26" si="72">SUM((D24*2)*0.3)</f>
        <v>0</v>
      </c>
      <c r="G24" s="98">
        <f t="shared" ref="G24:G26" si="73">SUM((E24*2)*0.3)</f>
        <v>0</v>
      </c>
      <c r="H24" s="110"/>
      <c r="I24" s="110"/>
      <c r="J24" s="98">
        <f t="shared" si="37"/>
        <v>0</v>
      </c>
      <c r="K24" s="98">
        <f t="shared" si="38"/>
        <v>0</v>
      </c>
      <c r="L24" s="103">
        <v>0</v>
      </c>
      <c r="M24" s="98">
        <f t="shared" si="39"/>
        <v>0</v>
      </c>
      <c r="N24" s="98"/>
      <c r="O24" s="98"/>
      <c r="P24" s="98">
        <f t="shared" si="40"/>
        <v>0</v>
      </c>
      <c r="Q24" s="98">
        <f t="shared" si="41"/>
        <v>0</v>
      </c>
      <c r="R24" s="103">
        <v>0</v>
      </c>
      <c r="S24" s="98">
        <f t="shared" si="42"/>
        <v>0</v>
      </c>
      <c r="T24" s="108">
        <v>0</v>
      </c>
      <c r="U24" s="99">
        <v>0</v>
      </c>
      <c r="V24" s="98">
        <f t="shared" si="43"/>
        <v>0</v>
      </c>
      <c r="W24" s="98">
        <f t="shared" si="44"/>
        <v>0</v>
      </c>
      <c r="X24" s="120">
        <v>0</v>
      </c>
      <c r="Y24" s="120">
        <v>0</v>
      </c>
      <c r="Z24" s="110"/>
      <c r="AA24" s="121">
        <f t="shared" si="45"/>
        <v>0</v>
      </c>
      <c r="AB24" s="121">
        <f t="shared" si="46"/>
        <v>0</v>
      </c>
      <c r="AC24" s="110"/>
      <c r="AD24" s="110"/>
      <c r="AE24" s="121">
        <f t="shared" si="47"/>
        <v>0</v>
      </c>
      <c r="AF24" s="121">
        <f t="shared" si="47"/>
        <v>0</v>
      </c>
      <c r="AG24" s="98">
        <v>0</v>
      </c>
      <c r="AH24" s="98">
        <v>0</v>
      </c>
      <c r="AI24" s="98">
        <f t="shared" si="48"/>
        <v>0</v>
      </c>
      <c r="AJ24" s="98">
        <f t="shared" si="48"/>
        <v>0</v>
      </c>
      <c r="AK24" s="103">
        <v>45.48</v>
      </c>
      <c r="AL24" s="98">
        <v>2.89</v>
      </c>
      <c r="AM24" s="98">
        <f t="shared" si="49"/>
        <v>45.934799999999996</v>
      </c>
      <c r="AN24" s="98">
        <f t="shared" si="50"/>
        <v>2.9189000000000003</v>
      </c>
      <c r="AO24" s="98"/>
      <c r="AP24" s="98"/>
      <c r="AQ24" s="131"/>
      <c r="AR24" s="131"/>
      <c r="AS24" s="99"/>
      <c r="AT24" s="98">
        <f t="shared" si="51"/>
        <v>0</v>
      </c>
      <c r="AU24" s="99"/>
      <c r="AV24" s="98">
        <f t="shared" si="52"/>
        <v>0</v>
      </c>
      <c r="AW24" s="99">
        <v>95.05</v>
      </c>
      <c r="AX24" s="99">
        <v>0</v>
      </c>
      <c r="AY24" s="101"/>
      <c r="AZ24" s="98">
        <f t="shared" si="53"/>
        <v>0</v>
      </c>
      <c r="BA24" s="98"/>
      <c r="BB24" s="98"/>
      <c r="BC24" s="99"/>
      <c r="BD24" s="99"/>
      <c r="BE24" s="98">
        <f t="shared" ref="BE24:BE26" si="74">SUM(BC24*0.62)*$B$2</f>
        <v>0</v>
      </c>
      <c r="BF24" s="98">
        <f t="shared" ref="BF24:BF26" si="75">SUM(BD24*0.62)*$B$3</f>
        <v>0</v>
      </c>
      <c r="BG24" s="99"/>
      <c r="BH24" s="99"/>
      <c r="BI24" s="98">
        <f t="shared" si="56"/>
        <v>0</v>
      </c>
      <c r="BJ24" s="98">
        <f t="shared" si="57"/>
        <v>0</v>
      </c>
      <c r="BK24" s="100"/>
      <c r="BL24" s="100"/>
      <c r="BM24" s="98"/>
      <c r="BN24" s="98">
        <f t="shared" si="58"/>
        <v>0</v>
      </c>
      <c r="BO24" s="105">
        <v>0</v>
      </c>
      <c r="BP24" s="98">
        <f t="shared" si="59"/>
        <v>0</v>
      </c>
      <c r="BQ24" s="112"/>
      <c r="BR24" s="112"/>
      <c r="BS24" s="104">
        <f t="shared" si="60"/>
        <v>0</v>
      </c>
      <c r="BT24" s="104">
        <f t="shared" si="61"/>
        <v>0</v>
      </c>
      <c r="BU24" s="105">
        <v>0</v>
      </c>
      <c r="BV24" s="105">
        <v>0</v>
      </c>
      <c r="BW24" s="104">
        <f t="shared" si="62"/>
        <v>0</v>
      </c>
      <c r="BX24" s="104">
        <f t="shared" si="63"/>
        <v>0</v>
      </c>
      <c r="BY24" s="110"/>
      <c r="BZ24" s="110"/>
      <c r="CA24" s="104">
        <f t="shared" si="64"/>
        <v>0</v>
      </c>
      <c r="CB24" s="104">
        <f t="shared" si="64"/>
        <v>0</v>
      </c>
      <c r="CC24" s="106"/>
      <c r="CD24" s="106"/>
      <c r="CE24" s="98">
        <f t="shared" si="65"/>
        <v>0</v>
      </c>
      <c r="CF24" s="107">
        <f t="shared" si="65"/>
        <v>0</v>
      </c>
      <c r="CG24" s="81"/>
      <c r="CH24" s="65">
        <f t="shared" si="66"/>
        <v>350000</v>
      </c>
      <c r="CI24" s="74"/>
      <c r="CJ24" s="74"/>
      <c r="CK24" s="54">
        <v>350000</v>
      </c>
      <c r="CL24" s="74"/>
      <c r="CM24" s="54"/>
      <c r="CN24" s="74"/>
      <c r="CO24" s="74"/>
      <c r="CP24" s="90"/>
      <c r="CQ24" s="68">
        <v>0</v>
      </c>
      <c r="CR24" s="69">
        <f t="shared" si="67"/>
        <v>140.98480000000001</v>
      </c>
      <c r="CS24" s="69">
        <f t="shared" si="68"/>
        <v>2.9189000000000003</v>
      </c>
      <c r="CT24" s="70">
        <f t="shared" si="69"/>
        <v>353290.64994000003</v>
      </c>
      <c r="CU24" s="70">
        <f t="shared" si="70"/>
        <v>235527.09996000002</v>
      </c>
      <c r="CV24" s="70">
        <f t="shared" si="71"/>
        <v>3290.6499400000321</v>
      </c>
      <c r="CW24" s="55"/>
      <c r="CX24" s="118"/>
    </row>
    <row r="25" spans="1:102">
      <c r="A25" s="18" t="s">
        <v>166</v>
      </c>
      <c r="B25" s="94" t="s">
        <v>167</v>
      </c>
      <c r="C25" s="92" t="s">
        <v>168</v>
      </c>
      <c r="D25" s="102">
        <v>0</v>
      </c>
      <c r="E25" s="102">
        <v>0</v>
      </c>
      <c r="F25" s="98">
        <f t="shared" si="72"/>
        <v>0</v>
      </c>
      <c r="G25" s="98">
        <f t="shared" si="73"/>
        <v>0</v>
      </c>
      <c r="H25" s="110"/>
      <c r="I25" s="110"/>
      <c r="J25" s="98">
        <f t="shared" si="37"/>
        <v>0</v>
      </c>
      <c r="K25" s="98">
        <f t="shared" si="38"/>
        <v>0</v>
      </c>
      <c r="L25" s="103"/>
      <c r="M25" s="98">
        <f t="shared" si="39"/>
        <v>0</v>
      </c>
      <c r="N25" s="98"/>
      <c r="O25" s="98"/>
      <c r="P25" s="98">
        <f t="shared" si="40"/>
        <v>0</v>
      </c>
      <c r="Q25" s="98">
        <f t="shared" si="41"/>
        <v>0</v>
      </c>
      <c r="R25" s="103">
        <v>0</v>
      </c>
      <c r="S25" s="98">
        <f t="shared" si="42"/>
        <v>0</v>
      </c>
      <c r="T25" s="108">
        <v>0</v>
      </c>
      <c r="U25" s="99">
        <v>0</v>
      </c>
      <c r="V25" s="98">
        <f t="shared" si="43"/>
        <v>0</v>
      </c>
      <c r="W25" s="98">
        <f t="shared" si="44"/>
        <v>0</v>
      </c>
      <c r="X25" s="120">
        <v>0</v>
      </c>
      <c r="Y25" s="120">
        <v>0</v>
      </c>
      <c r="Z25" s="110"/>
      <c r="AA25" s="121">
        <f t="shared" si="45"/>
        <v>0</v>
      </c>
      <c r="AB25" s="121">
        <f t="shared" si="46"/>
        <v>0</v>
      </c>
      <c r="AC25" s="110"/>
      <c r="AD25" s="110"/>
      <c r="AE25" s="121">
        <f t="shared" si="47"/>
        <v>0</v>
      </c>
      <c r="AF25" s="121">
        <f t="shared" si="47"/>
        <v>0</v>
      </c>
      <c r="AG25" s="98">
        <v>0</v>
      </c>
      <c r="AH25" s="98">
        <v>0</v>
      </c>
      <c r="AI25" s="98">
        <f t="shared" si="48"/>
        <v>0</v>
      </c>
      <c r="AJ25" s="98">
        <f t="shared" si="48"/>
        <v>0</v>
      </c>
      <c r="AK25" s="103"/>
      <c r="AL25" s="98">
        <v>188.74</v>
      </c>
      <c r="AM25" s="98">
        <f t="shared" si="49"/>
        <v>0</v>
      </c>
      <c r="AN25" s="98">
        <f t="shared" si="50"/>
        <v>190.62740000000002</v>
      </c>
      <c r="AO25" s="98"/>
      <c r="AP25" s="98"/>
      <c r="AQ25" s="131"/>
      <c r="AR25" s="131"/>
      <c r="AS25" s="99"/>
      <c r="AT25" s="98">
        <f t="shared" si="51"/>
        <v>0</v>
      </c>
      <c r="AU25" s="99"/>
      <c r="AV25" s="98">
        <f t="shared" si="52"/>
        <v>0</v>
      </c>
      <c r="AW25" s="99">
        <v>0</v>
      </c>
      <c r="AX25" s="99">
        <v>1.33</v>
      </c>
      <c r="AY25" s="101"/>
      <c r="AZ25" s="98">
        <f t="shared" si="53"/>
        <v>0</v>
      </c>
      <c r="BA25" s="98"/>
      <c r="BB25" s="98"/>
      <c r="BC25" s="99"/>
      <c r="BD25" s="99"/>
      <c r="BE25" s="98">
        <f t="shared" si="74"/>
        <v>0</v>
      </c>
      <c r="BF25" s="98">
        <f t="shared" si="75"/>
        <v>0</v>
      </c>
      <c r="BG25" s="99"/>
      <c r="BH25" s="99"/>
      <c r="BI25" s="98">
        <f t="shared" si="56"/>
        <v>0</v>
      </c>
      <c r="BJ25" s="98">
        <f t="shared" si="57"/>
        <v>0</v>
      </c>
      <c r="BK25" s="100"/>
      <c r="BL25" s="100"/>
      <c r="BM25" s="98"/>
      <c r="BN25" s="98">
        <f t="shared" si="58"/>
        <v>0</v>
      </c>
      <c r="BO25" s="105">
        <v>43.85</v>
      </c>
      <c r="BP25" s="98">
        <f t="shared" si="59"/>
        <v>44.288499999999999</v>
      </c>
      <c r="BQ25" s="112"/>
      <c r="BR25" s="112"/>
      <c r="BS25" s="104">
        <f t="shared" si="60"/>
        <v>0</v>
      </c>
      <c r="BT25" s="104">
        <f t="shared" si="61"/>
        <v>0</v>
      </c>
      <c r="BU25" s="105">
        <v>0</v>
      </c>
      <c r="BV25" s="105">
        <v>0</v>
      </c>
      <c r="BW25" s="104">
        <f t="shared" si="62"/>
        <v>0</v>
      </c>
      <c r="BX25" s="104">
        <f t="shared" si="63"/>
        <v>0</v>
      </c>
      <c r="BY25" s="110"/>
      <c r="BZ25" s="110"/>
      <c r="CA25" s="104">
        <f t="shared" si="64"/>
        <v>0</v>
      </c>
      <c r="CB25" s="104">
        <f t="shared" si="64"/>
        <v>0</v>
      </c>
      <c r="CC25" s="106"/>
      <c r="CD25" s="106"/>
      <c r="CE25" s="98">
        <f t="shared" si="65"/>
        <v>0</v>
      </c>
      <c r="CF25" s="107">
        <f t="shared" si="65"/>
        <v>0</v>
      </c>
      <c r="CG25" s="81"/>
      <c r="CH25" s="65">
        <f t="shared" si="66"/>
        <v>570000</v>
      </c>
      <c r="CI25" s="74"/>
      <c r="CJ25" s="74"/>
      <c r="CK25" s="54"/>
      <c r="CL25" s="74"/>
      <c r="CM25" s="54">
        <v>570000</v>
      </c>
      <c r="CN25" s="74"/>
      <c r="CO25" s="74"/>
      <c r="CP25" s="90"/>
      <c r="CQ25" s="68">
        <v>0</v>
      </c>
      <c r="CR25" s="69">
        <f t="shared" si="67"/>
        <v>0</v>
      </c>
      <c r="CS25" s="69">
        <f t="shared" si="68"/>
        <v>236.24590000000003</v>
      </c>
      <c r="CT25" s="70">
        <f t="shared" si="69"/>
        <v>564580.45182000007</v>
      </c>
      <c r="CU25" s="70">
        <f t="shared" si="70"/>
        <v>376386.96788000007</v>
      </c>
      <c r="CV25" s="70">
        <f t="shared" si="71"/>
        <v>-5419.5481799999252</v>
      </c>
      <c r="CW25" s="55"/>
      <c r="CX25" s="118"/>
    </row>
    <row r="26" spans="1:102">
      <c r="A26" s="18" t="s">
        <v>169</v>
      </c>
      <c r="B26" s="94" t="s">
        <v>170</v>
      </c>
      <c r="C26" s="92" t="s">
        <v>171</v>
      </c>
      <c r="D26" s="102">
        <v>0</v>
      </c>
      <c r="E26" s="102">
        <v>0</v>
      </c>
      <c r="F26" s="98">
        <f t="shared" si="72"/>
        <v>0</v>
      </c>
      <c r="G26" s="98">
        <f t="shared" si="73"/>
        <v>0</v>
      </c>
      <c r="H26" s="110"/>
      <c r="I26" s="110"/>
      <c r="J26" s="98">
        <f t="shared" si="37"/>
        <v>0</v>
      </c>
      <c r="K26" s="98">
        <f t="shared" si="38"/>
        <v>0</v>
      </c>
      <c r="L26" s="103"/>
      <c r="M26" s="98">
        <f t="shared" si="39"/>
        <v>0</v>
      </c>
      <c r="N26" s="98"/>
      <c r="O26" s="98"/>
      <c r="P26" s="98">
        <f t="shared" si="40"/>
        <v>0</v>
      </c>
      <c r="Q26" s="98">
        <f t="shared" si="41"/>
        <v>0</v>
      </c>
      <c r="R26" s="103">
        <v>0</v>
      </c>
      <c r="S26" s="98">
        <f t="shared" si="42"/>
        <v>0</v>
      </c>
      <c r="T26" s="108">
        <v>0</v>
      </c>
      <c r="U26" s="99">
        <v>0</v>
      </c>
      <c r="V26" s="98">
        <f t="shared" si="43"/>
        <v>0</v>
      </c>
      <c r="W26" s="98">
        <f t="shared" si="44"/>
        <v>0</v>
      </c>
      <c r="X26" s="120">
        <v>0</v>
      </c>
      <c r="Y26" s="120">
        <v>0</v>
      </c>
      <c r="Z26" s="110"/>
      <c r="AA26" s="121">
        <f t="shared" si="45"/>
        <v>0</v>
      </c>
      <c r="AB26" s="121">
        <f t="shared" si="46"/>
        <v>0</v>
      </c>
      <c r="AC26" s="110"/>
      <c r="AD26" s="110"/>
      <c r="AE26" s="121">
        <f t="shared" si="47"/>
        <v>0</v>
      </c>
      <c r="AF26" s="121">
        <f t="shared" si="47"/>
        <v>0</v>
      </c>
      <c r="AG26" s="98">
        <v>0</v>
      </c>
      <c r="AH26" s="98">
        <v>0</v>
      </c>
      <c r="AI26" s="98">
        <f t="shared" si="48"/>
        <v>0</v>
      </c>
      <c r="AJ26" s="98">
        <f t="shared" si="48"/>
        <v>0</v>
      </c>
      <c r="AK26" s="103"/>
      <c r="AL26" s="98"/>
      <c r="AM26" s="98">
        <f t="shared" si="49"/>
        <v>0</v>
      </c>
      <c r="AN26" s="98">
        <f t="shared" si="50"/>
        <v>0</v>
      </c>
      <c r="AO26" s="98"/>
      <c r="AP26" s="98"/>
      <c r="AQ26" s="131"/>
      <c r="AR26" s="131"/>
      <c r="AS26" s="99"/>
      <c r="AT26" s="98">
        <f t="shared" si="51"/>
        <v>0</v>
      </c>
      <c r="AU26" s="99"/>
      <c r="AV26" s="98">
        <f t="shared" si="52"/>
        <v>0</v>
      </c>
      <c r="AW26" s="99">
        <v>0</v>
      </c>
      <c r="AX26" s="99">
        <v>0</v>
      </c>
      <c r="AY26" s="101"/>
      <c r="AZ26" s="98">
        <f t="shared" si="53"/>
        <v>0</v>
      </c>
      <c r="BA26" s="98"/>
      <c r="BB26" s="98"/>
      <c r="BC26" s="99"/>
      <c r="BD26" s="99"/>
      <c r="BE26" s="98">
        <f t="shared" si="74"/>
        <v>0</v>
      </c>
      <c r="BF26" s="98">
        <f t="shared" si="75"/>
        <v>0</v>
      </c>
      <c r="BG26" s="99"/>
      <c r="BH26" s="99"/>
      <c r="BI26" s="98">
        <f t="shared" si="56"/>
        <v>0</v>
      </c>
      <c r="BJ26" s="98">
        <f t="shared" si="57"/>
        <v>0</v>
      </c>
      <c r="BK26" s="100"/>
      <c r="BL26" s="100"/>
      <c r="BM26" s="98"/>
      <c r="BN26" s="98">
        <f t="shared" si="58"/>
        <v>0</v>
      </c>
      <c r="BO26" s="105">
        <v>0</v>
      </c>
      <c r="BP26" s="98">
        <f t="shared" si="59"/>
        <v>0</v>
      </c>
      <c r="BQ26" s="112"/>
      <c r="BR26" s="112"/>
      <c r="BS26" s="104">
        <f t="shared" si="60"/>
        <v>0</v>
      </c>
      <c r="BT26" s="104">
        <f t="shared" si="61"/>
        <v>0</v>
      </c>
      <c r="BU26" s="105">
        <v>0</v>
      </c>
      <c r="BV26" s="105">
        <v>0</v>
      </c>
      <c r="BW26" s="104">
        <f t="shared" si="62"/>
        <v>0</v>
      </c>
      <c r="BX26" s="104">
        <f t="shared" si="63"/>
        <v>0</v>
      </c>
      <c r="BY26" s="110"/>
      <c r="BZ26" s="110"/>
      <c r="CA26" s="104">
        <f t="shared" si="64"/>
        <v>0</v>
      </c>
      <c r="CB26" s="104">
        <f t="shared" si="64"/>
        <v>0</v>
      </c>
      <c r="CC26" s="106"/>
      <c r="CD26" s="106"/>
      <c r="CE26" s="98">
        <f t="shared" si="65"/>
        <v>0</v>
      </c>
      <c r="CF26" s="107">
        <f t="shared" si="65"/>
        <v>0</v>
      </c>
      <c r="CG26" s="81"/>
      <c r="CH26" s="65">
        <f t="shared" si="66"/>
        <v>0</v>
      </c>
      <c r="CI26" s="74"/>
      <c r="CJ26" s="74"/>
      <c r="CK26" s="54"/>
      <c r="CL26" s="74"/>
      <c r="CM26" s="54"/>
      <c r="CN26" s="74"/>
      <c r="CO26" s="74"/>
      <c r="CP26" s="90"/>
      <c r="CQ26" s="68">
        <v>0</v>
      </c>
      <c r="CR26" s="69">
        <f t="shared" si="67"/>
        <v>0</v>
      </c>
      <c r="CS26" s="69">
        <f t="shared" si="68"/>
        <v>0</v>
      </c>
      <c r="CT26" s="70">
        <f t="shared" si="69"/>
        <v>0</v>
      </c>
      <c r="CU26" s="70">
        <f t="shared" si="70"/>
        <v>0</v>
      </c>
      <c r="CV26" s="70">
        <f t="shared" si="71"/>
        <v>0</v>
      </c>
      <c r="CW26" s="55"/>
      <c r="CX26" s="118"/>
    </row>
    <row r="27" spans="1:102">
      <c r="A27" s="18"/>
      <c r="B27" s="94"/>
      <c r="C27" s="92"/>
      <c r="D27" s="102">
        <v>0</v>
      </c>
      <c r="E27" s="102">
        <v>0</v>
      </c>
      <c r="F27" s="98">
        <f t="shared" si="36"/>
        <v>0</v>
      </c>
      <c r="G27" s="98">
        <f t="shared" si="36"/>
        <v>0</v>
      </c>
      <c r="H27" s="110"/>
      <c r="I27" s="110"/>
      <c r="J27" s="98">
        <f t="shared" si="1"/>
        <v>0</v>
      </c>
      <c r="K27" s="98">
        <f t="shared" si="2"/>
        <v>0</v>
      </c>
      <c r="L27" s="103">
        <v>0</v>
      </c>
      <c r="M27" s="98">
        <f t="shared" si="3"/>
        <v>0</v>
      </c>
      <c r="N27" s="98"/>
      <c r="O27" s="98"/>
      <c r="P27" s="98">
        <f t="shared" si="4"/>
        <v>0</v>
      </c>
      <c r="Q27" s="98">
        <f t="shared" si="5"/>
        <v>0</v>
      </c>
      <c r="R27" s="103">
        <v>0</v>
      </c>
      <c r="S27" s="98">
        <f t="shared" si="6"/>
        <v>0</v>
      </c>
      <c r="T27" s="108">
        <v>0</v>
      </c>
      <c r="U27" s="99">
        <v>0</v>
      </c>
      <c r="V27" s="98">
        <f t="shared" si="7"/>
        <v>0</v>
      </c>
      <c r="W27" s="98">
        <f t="shared" si="8"/>
        <v>0</v>
      </c>
      <c r="X27" s="120">
        <v>0</v>
      </c>
      <c r="Y27" s="120">
        <v>0</v>
      </c>
      <c r="Z27" s="110"/>
      <c r="AA27" s="121">
        <f t="shared" si="9"/>
        <v>0</v>
      </c>
      <c r="AB27" s="121">
        <f t="shared" si="10"/>
        <v>0</v>
      </c>
      <c r="AC27" s="110"/>
      <c r="AD27" s="110"/>
      <c r="AE27" s="121">
        <f t="shared" si="11"/>
        <v>0</v>
      </c>
      <c r="AF27" s="121">
        <f t="shared" si="11"/>
        <v>0</v>
      </c>
      <c r="AG27" s="98">
        <v>0</v>
      </c>
      <c r="AH27" s="98">
        <v>0</v>
      </c>
      <c r="AI27" s="98">
        <f t="shared" si="12"/>
        <v>0</v>
      </c>
      <c r="AJ27" s="98">
        <f t="shared" si="12"/>
        <v>0</v>
      </c>
      <c r="AK27" s="103"/>
      <c r="AL27" s="98"/>
      <c r="AM27" s="98">
        <f t="shared" si="13"/>
        <v>0</v>
      </c>
      <c r="AN27" s="98">
        <f t="shared" si="14"/>
        <v>0</v>
      </c>
      <c r="AO27" s="98"/>
      <c r="AP27" s="98"/>
      <c r="AQ27" s="131"/>
      <c r="AR27" s="131"/>
      <c r="AS27" s="99"/>
      <c r="AT27" s="98">
        <f t="shared" si="15"/>
        <v>0</v>
      </c>
      <c r="AU27" s="99"/>
      <c r="AV27" s="98">
        <f t="shared" si="16"/>
        <v>0</v>
      </c>
      <c r="AW27" s="99">
        <v>0</v>
      </c>
      <c r="AX27" s="99">
        <v>0</v>
      </c>
      <c r="AY27" s="101"/>
      <c r="AZ27" s="98">
        <f t="shared" si="17"/>
        <v>0</v>
      </c>
      <c r="BA27" s="98"/>
      <c r="BB27" s="98"/>
      <c r="BC27" s="99"/>
      <c r="BD27" s="99"/>
      <c r="BE27" s="98">
        <f t="shared" si="22"/>
        <v>0</v>
      </c>
      <c r="BF27" s="98">
        <f t="shared" si="23"/>
        <v>0</v>
      </c>
      <c r="BG27" s="99"/>
      <c r="BH27" s="99"/>
      <c r="BI27" s="98">
        <f t="shared" si="24"/>
        <v>0</v>
      </c>
      <c r="BJ27" s="98">
        <f t="shared" si="18"/>
        <v>0</v>
      </c>
      <c r="BK27" s="100"/>
      <c r="BL27" s="100"/>
      <c r="BM27" s="98"/>
      <c r="BN27" s="98">
        <f t="shared" si="25"/>
        <v>0</v>
      </c>
      <c r="BO27" s="105">
        <v>0</v>
      </c>
      <c r="BP27" s="98">
        <f t="shared" si="26"/>
        <v>0</v>
      </c>
      <c r="BQ27" s="112"/>
      <c r="BR27" s="112"/>
      <c r="BS27" s="104">
        <f t="shared" si="27"/>
        <v>0</v>
      </c>
      <c r="BT27" s="104">
        <f t="shared" si="28"/>
        <v>0</v>
      </c>
      <c r="BU27" s="105">
        <v>0</v>
      </c>
      <c r="BV27" s="105">
        <v>0</v>
      </c>
      <c r="BW27" s="104">
        <f t="shared" si="29"/>
        <v>0</v>
      </c>
      <c r="BX27" s="104">
        <f t="shared" si="30"/>
        <v>0</v>
      </c>
      <c r="BY27" s="110"/>
      <c r="BZ27" s="110"/>
      <c r="CA27" s="104">
        <f t="shared" si="31"/>
        <v>0</v>
      </c>
      <c r="CB27" s="104">
        <f t="shared" si="31"/>
        <v>0</v>
      </c>
      <c r="CC27" s="106"/>
      <c r="CD27" s="106"/>
      <c r="CE27" s="98">
        <f t="shared" si="32"/>
        <v>0</v>
      </c>
      <c r="CF27" s="107">
        <f t="shared" si="32"/>
        <v>0</v>
      </c>
      <c r="CG27" s="81"/>
      <c r="CH27" s="65">
        <f t="shared" si="33"/>
        <v>0</v>
      </c>
      <c r="CI27" s="74"/>
      <c r="CJ27" s="74"/>
      <c r="CK27" s="54"/>
      <c r="CL27" s="74"/>
      <c r="CM27" s="54"/>
      <c r="CN27" s="74"/>
      <c r="CO27" s="74"/>
      <c r="CP27" s="90"/>
      <c r="CQ27" s="68">
        <v>0</v>
      </c>
      <c r="CR27" s="69">
        <f t="shared" si="19"/>
        <v>0</v>
      </c>
      <c r="CS27" s="69">
        <f t="shared" si="20"/>
        <v>0</v>
      </c>
      <c r="CT27" s="70">
        <f t="shared" si="21"/>
        <v>0</v>
      </c>
      <c r="CU27" s="70">
        <f t="shared" si="34"/>
        <v>0</v>
      </c>
      <c r="CV27" s="70">
        <f t="shared" si="35"/>
        <v>0</v>
      </c>
      <c r="CW27" s="55"/>
      <c r="CX27" s="118"/>
    </row>
    <row r="28" spans="1:102" s="5" customFormat="1" ht="44.25" customHeight="1">
      <c r="A28" s="19"/>
      <c r="B28" s="38"/>
      <c r="C28" s="20" t="s">
        <v>172</v>
      </c>
      <c r="D28" s="77">
        <f t="shared" ref="D28:BO28" si="76">SUM(D7:D27)</f>
        <v>205.07999999999998</v>
      </c>
      <c r="E28" s="77">
        <f t="shared" si="76"/>
        <v>223.75000000000003</v>
      </c>
      <c r="F28" s="77">
        <f t="shared" si="76"/>
        <v>123.048</v>
      </c>
      <c r="G28" s="77">
        <f t="shared" si="76"/>
        <v>134.25</v>
      </c>
      <c r="H28" s="77">
        <f t="shared" si="76"/>
        <v>145</v>
      </c>
      <c r="I28" s="77">
        <f t="shared" si="76"/>
        <v>330</v>
      </c>
      <c r="J28" s="77">
        <f t="shared" si="76"/>
        <v>114.23099999999999</v>
      </c>
      <c r="K28" s="77">
        <f t="shared" si="76"/>
        <v>259.97400000000005</v>
      </c>
      <c r="L28" s="77">
        <f t="shared" si="76"/>
        <v>551.73</v>
      </c>
      <c r="M28" s="77">
        <f t="shared" si="76"/>
        <v>551.73</v>
      </c>
      <c r="N28" s="77">
        <f t="shared" si="76"/>
        <v>41.769999999999996</v>
      </c>
      <c r="O28" s="77">
        <f t="shared" si="76"/>
        <v>79.33</v>
      </c>
      <c r="P28" s="77">
        <f t="shared" si="76"/>
        <v>42.1877</v>
      </c>
      <c r="Q28" s="77">
        <f t="shared" si="76"/>
        <v>80.1233</v>
      </c>
      <c r="R28" s="77">
        <f t="shared" si="76"/>
        <v>1038.3899999999999</v>
      </c>
      <c r="S28" s="77">
        <f t="shared" si="76"/>
        <v>1048.7738999999999</v>
      </c>
      <c r="T28" s="77">
        <f t="shared" si="76"/>
        <v>289.26000000000005</v>
      </c>
      <c r="U28" s="77">
        <f t="shared" si="76"/>
        <v>294</v>
      </c>
      <c r="V28" s="77">
        <f t="shared" si="76"/>
        <v>292.15260000000001</v>
      </c>
      <c r="W28" s="77">
        <f t="shared" si="76"/>
        <v>296.94</v>
      </c>
      <c r="X28" s="77">
        <f t="shared" si="76"/>
        <v>563.20000000000005</v>
      </c>
      <c r="Y28" s="77">
        <f t="shared" si="76"/>
        <v>1211.94</v>
      </c>
      <c r="Z28" s="77">
        <f t="shared" si="76"/>
        <v>0</v>
      </c>
      <c r="AA28" s="77">
        <f t="shared" si="76"/>
        <v>422.4</v>
      </c>
      <c r="AB28" s="77">
        <f t="shared" si="76"/>
        <v>908.95500000000004</v>
      </c>
      <c r="AC28" s="77">
        <f t="shared" si="76"/>
        <v>0</v>
      </c>
      <c r="AD28" s="77">
        <f t="shared" si="76"/>
        <v>0</v>
      </c>
      <c r="AE28" s="77">
        <f t="shared" si="76"/>
        <v>0</v>
      </c>
      <c r="AF28" s="77">
        <f t="shared" si="76"/>
        <v>0</v>
      </c>
      <c r="AG28" s="77">
        <f t="shared" si="76"/>
        <v>0</v>
      </c>
      <c r="AH28" s="77">
        <f t="shared" si="76"/>
        <v>0</v>
      </c>
      <c r="AI28" s="77">
        <f t="shared" si="76"/>
        <v>0</v>
      </c>
      <c r="AJ28" s="77">
        <f t="shared" si="76"/>
        <v>0</v>
      </c>
      <c r="AK28" s="77">
        <f t="shared" si="76"/>
        <v>739.18999999999994</v>
      </c>
      <c r="AL28" s="77">
        <f t="shared" si="76"/>
        <v>1558.1499999999999</v>
      </c>
      <c r="AM28" s="77">
        <f t="shared" si="76"/>
        <v>746.58189999999991</v>
      </c>
      <c r="AN28" s="77">
        <f t="shared" si="76"/>
        <v>1573.7315000000001</v>
      </c>
      <c r="AO28" s="77">
        <f t="shared" si="76"/>
        <v>0</v>
      </c>
      <c r="AP28" s="77">
        <f t="shared" si="76"/>
        <v>0</v>
      </c>
      <c r="AQ28" s="77">
        <f t="shared" si="76"/>
        <v>67.760000000000005</v>
      </c>
      <c r="AR28" s="77">
        <f t="shared" si="76"/>
        <v>150.67000000000002</v>
      </c>
      <c r="AS28" s="77">
        <f t="shared" si="76"/>
        <v>0</v>
      </c>
      <c r="AT28" s="77">
        <f t="shared" si="76"/>
        <v>0</v>
      </c>
      <c r="AU28" s="77">
        <f t="shared" si="76"/>
        <v>174.25</v>
      </c>
      <c r="AV28" s="77">
        <f t="shared" si="76"/>
        <v>175.99249999999998</v>
      </c>
      <c r="AW28" s="77">
        <f t="shared" si="76"/>
        <v>693.3599999999999</v>
      </c>
      <c r="AX28" s="77">
        <f t="shared" si="76"/>
        <v>786.98</v>
      </c>
      <c r="AY28" s="77">
        <f t="shared" si="76"/>
        <v>0</v>
      </c>
      <c r="AZ28" s="77">
        <f t="shared" si="76"/>
        <v>0</v>
      </c>
      <c r="BA28" s="77">
        <f t="shared" si="76"/>
        <v>7.24</v>
      </c>
      <c r="BB28" s="77">
        <f t="shared" si="76"/>
        <v>25.4</v>
      </c>
      <c r="BC28" s="77">
        <f t="shared" si="76"/>
        <v>64.5</v>
      </c>
      <c r="BD28" s="77">
        <f t="shared" si="76"/>
        <v>152.4</v>
      </c>
      <c r="BE28" s="77">
        <f t="shared" si="76"/>
        <v>47.988</v>
      </c>
      <c r="BF28" s="77">
        <f t="shared" si="76"/>
        <v>114.33047999999999</v>
      </c>
      <c r="BG28" s="77">
        <f t="shared" si="76"/>
        <v>768.71000000000015</v>
      </c>
      <c r="BH28" s="77">
        <f t="shared" si="76"/>
        <v>10.84</v>
      </c>
      <c r="BI28" s="77">
        <f t="shared" si="76"/>
        <v>776.39710000000002</v>
      </c>
      <c r="BJ28" s="77">
        <f t="shared" si="76"/>
        <v>10.948399999999999</v>
      </c>
      <c r="BK28" s="77">
        <f t="shared" si="76"/>
        <v>0</v>
      </c>
      <c r="BL28" s="77">
        <f t="shared" si="76"/>
        <v>0</v>
      </c>
      <c r="BM28" s="77">
        <f t="shared" si="76"/>
        <v>0</v>
      </c>
      <c r="BN28" s="77">
        <f t="shared" si="76"/>
        <v>0</v>
      </c>
      <c r="BO28" s="77">
        <f t="shared" si="76"/>
        <v>1436.93</v>
      </c>
      <c r="BP28" s="77">
        <f t="shared" ref="BP28:CP28" si="77">SUM(BP7:BP27)</f>
        <v>1451.2993000000001</v>
      </c>
      <c r="BQ28" s="114">
        <f t="shared" si="77"/>
        <v>0</v>
      </c>
      <c r="BR28" s="77">
        <f t="shared" si="77"/>
        <v>0</v>
      </c>
      <c r="BS28" s="77">
        <f t="shared" si="77"/>
        <v>0</v>
      </c>
      <c r="BT28" s="77">
        <f t="shared" si="77"/>
        <v>0</v>
      </c>
      <c r="BU28" s="77">
        <f t="shared" si="77"/>
        <v>47.32</v>
      </c>
      <c r="BV28" s="77">
        <f t="shared" si="77"/>
        <v>17.47</v>
      </c>
      <c r="BW28" s="77">
        <f t="shared" si="77"/>
        <v>58.6768</v>
      </c>
      <c r="BX28" s="77">
        <f t="shared" si="77"/>
        <v>21.488099999999999</v>
      </c>
      <c r="BY28" s="77">
        <f t="shared" si="77"/>
        <v>160.98000000000002</v>
      </c>
      <c r="BZ28" s="77">
        <f t="shared" si="77"/>
        <v>259.69000000000005</v>
      </c>
      <c r="CA28" s="77">
        <f t="shared" si="77"/>
        <v>80.490000000000009</v>
      </c>
      <c r="CB28" s="77">
        <f t="shared" si="77"/>
        <v>129.84500000000003</v>
      </c>
      <c r="CC28" s="77">
        <f t="shared" si="77"/>
        <v>333</v>
      </c>
      <c r="CD28" s="77">
        <f t="shared" si="77"/>
        <v>1221</v>
      </c>
      <c r="CE28" s="77">
        <f t="shared" si="77"/>
        <v>16.650000000000002</v>
      </c>
      <c r="CF28" s="77">
        <f t="shared" si="77"/>
        <v>61.050000000000004</v>
      </c>
      <c r="CG28" s="77">
        <f t="shared" si="77"/>
        <v>0</v>
      </c>
      <c r="CH28" s="77">
        <f t="shared" si="77"/>
        <v>27148000</v>
      </c>
      <c r="CI28" s="77">
        <f t="shared" si="77"/>
        <v>0</v>
      </c>
      <c r="CJ28" s="77">
        <f t="shared" si="77"/>
        <v>0</v>
      </c>
      <c r="CK28" s="77">
        <f t="shared" si="77"/>
        <v>11200000</v>
      </c>
      <c r="CL28" s="77">
        <f t="shared" si="77"/>
        <v>500000</v>
      </c>
      <c r="CM28" s="77">
        <f t="shared" si="77"/>
        <v>15267000</v>
      </c>
      <c r="CN28" s="77">
        <f t="shared" si="77"/>
        <v>89000</v>
      </c>
      <c r="CO28" s="77">
        <f t="shared" si="77"/>
        <v>92000</v>
      </c>
      <c r="CP28" s="77">
        <f t="shared" si="77"/>
        <v>0</v>
      </c>
      <c r="CR28" s="5">
        <f>SUM(CR7:CR27)</f>
        <v>2712.7660000000005</v>
      </c>
      <c r="CS28" s="5">
        <f>SUM(CS7:CS27)</f>
        <v>8547.9301799999994</v>
      </c>
      <c r="CT28" s="6">
        <f>SUM(CT7:CT27)</f>
        <v>27124187.554464001</v>
      </c>
      <c r="CU28" s="6">
        <f>SUM(CU7:CU27)</f>
        <v>18071889.833675995</v>
      </c>
      <c r="CV28" s="5">
        <f>SUM(CV7:CV27)</f>
        <v>-23812.445536001651</v>
      </c>
      <c r="CW28" s="56" t="s">
        <v>173</v>
      </c>
      <c r="CX28" s="57">
        <f>SUM(CX6:CX27)</f>
        <v>10011849</v>
      </c>
    </row>
    <row r="29" spans="1:102" ht="26.25">
      <c r="B29" s="39"/>
      <c r="CW29" s="58" t="s">
        <v>174</v>
      </c>
      <c r="CX29" s="47">
        <f>CU28</f>
        <v>18071889.833675995</v>
      </c>
    </row>
    <row r="30" spans="1:102" ht="28.5">
      <c r="CW30" s="59" t="s">
        <v>175</v>
      </c>
      <c r="CX30" s="76">
        <f>CX29-CX28</f>
        <v>8060040.8336759955</v>
      </c>
    </row>
    <row r="31" spans="1:102">
      <c r="B31" s="1"/>
      <c r="H31" s="10"/>
      <c r="I31" s="10"/>
      <c r="J31" s="10"/>
      <c r="K31" s="10"/>
      <c r="L31" s="88"/>
      <c r="M31" s="10"/>
      <c r="N31" s="10"/>
      <c r="O31" s="10"/>
      <c r="BT31" s="7"/>
      <c r="BX31" s="7"/>
      <c r="CB31" s="7"/>
      <c r="CC31" s="8"/>
      <c r="CD31" s="5"/>
      <c r="CE31" s="5"/>
    </row>
    <row r="32" spans="1:102">
      <c r="A32" s="12"/>
      <c r="B32" s="1"/>
      <c r="C32" s="40"/>
      <c r="D32" s="40"/>
      <c r="E32" s="40"/>
      <c r="F32" s="40"/>
      <c r="G32" s="40"/>
      <c r="H32" s="40"/>
    </row>
    <row r="33" spans="1:90" ht="52.5" customHeight="1">
      <c r="A33" s="12"/>
      <c r="B33" s="1"/>
      <c r="C33" s="40"/>
      <c r="D33" s="13"/>
      <c r="E33" s="40"/>
      <c r="F33" s="41"/>
      <c r="G33" s="42"/>
      <c r="H33" s="40"/>
      <c r="V33" s="10"/>
      <c r="W33" s="10"/>
      <c r="X33" s="10"/>
      <c r="Y33" s="10"/>
      <c r="Z33" s="10"/>
      <c r="AA33" s="10"/>
      <c r="AB33" s="10"/>
      <c r="AC33" s="10"/>
      <c r="AD33" s="10"/>
    </row>
    <row r="34" spans="1:90">
      <c r="A34" s="12"/>
      <c r="B34" s="1"/>
      <c r="C34" s="40"/>
      <c r="D34" s="13"/>
      <c r="E34" s="40"/>
      <c r="F34" s="42"/>
      <c r="G34" s="42"/>
      <c r="H34" s="40"/>
      <c r="Q34" s="40"/>
      <c r="R34" s="40"/>
      <c r="S34" s="40"/>
      <c r="T34" s="40"/>
      <c r="U34" s="40"/>
      <c r="V34" s="40"/>
      <c r="CL34" s="1">
        <v>2</v>
      </c>
    </row>
    <row r="35" spans="1:90">
      <c r="A35" s="12"/>
      <c r="B35" s="1"/>
      <c r="C35" s="40"/>
      <c r="D35" s="13"/>
      <c r="E35" s="40"/>
      <c r="F35" s="42"/>
      <c r="G35" s="42"/>
      <c r="H35" s="40"/>
      <c r="Q35" s="40"/>
      <c r="R35" s="13"/>
      <c r="S35" s="40"/>
      <c r="T35" s="41"/>
      <c r="U35" s="42"/>
      <c r="V35" s="40"/>
    </row>
    <row r="36" spans="1:90">
      <c r="A36" s="12"/>
      <c r="B36" s="1"/>
      <c r="C36" s="40"/>
      <c r="D36" s="40"/>
      <c r="E36" s="40"/>
      <c r="F36" s="40"/>
      <c r="G36" s="40"/>
      <c r="H36" s="40"/>
      <c r="Q36" s="40"/>
      <c r="R36" s="13"/>
      <c r="S36" s="40"/>
      <c r="T36" s="42"/>
      <c r="U36" s="42"/>
      <c r="V36" s="40"/>
    </row>
    <row r="37" spans="1:90" ht="20.25" customHeight="1">
      <c r="A37" s="12"/>
      <c r="B37" s="1"/>
      <c r="C37" s="40"/>
      <c r="D37" s="14"/>
      <c r="E37" s="40"/>
      <c r="F37" s="42"/>
      <c r="G37" s="42"/>
      <c r="H37" s="40"/>
      <c r="Q37" s="40"/>
      <c r="R37" s="13"/>
      <c r="S37" s="40"/>
      <c r="T37" s="42"/>
      <c r="U37" s="42"/>
      <c r="V37" s="40"/>
    </row>
    <row r="38" spans="1:90" ht="18" customHeight="1">
      <c r="A38" s="12"/>
      <c r="B38" s="1"/>
      <c r="C38" s="40"/>
      <c r="D38" s="40"/>
      <c r="E38" s="40"/>
      <c r="F38" s="40"/>
      <c r="G38" s="40"/>
      <c r="H38" s="40"/>
      <c r="Q38" s="40"/>
      <c r="R38" s="40"/>
      <c r="S38" s="40"/>
      <c r="T38" s="40"/>
      <c r="U38" s="40"/>
      <c r="V38" s="40"/>
    </row>
    <row r="39" spans="1:90">
      <c r="A39" s="12"/>
      <c r="B39" s="1"/>
      <c r="C39" s="40"/>
      <c r="D39" s="40"/>
      <c r="E39" s="40"/>
      <c r="F39" s="40"/>
      <c r="G39" s="40"/>
      <c r="H39" s="40"/>
      <c r="Q39" s="40"/>
      <c r="R39" s="14"/>
      <c r="S39" s="40"/>
      <c r="T39" s="42"/>
      <c r="U39" s="42"/>
      <c r="V39" s="40"/>
    </row>
    <row r="40" spans="1:90">
      <c r="A40" s="12"/>
      <c r="B40" s="1"/>
      <c r="Q40" s="40"/>
      <c r="R40" s="40"/>
      <c r="S40" s="40"/>
      <c r="T40" s="40"/>
      <c r="U40" s="40"/>
      <c r="V40" s="40"/>
    </row>
    <row r="41" spans="1:90">
      <c r="A41" s="12"/>
      <c r="B41" s="1"/>
      <c r="Q41" s="40"/>
      <c r="R41" s="40"/>
      <c r="S41" s="40"/>
      <c r="T41" s="40"/>
      <c r="U41" s="40"/>
      <c r="V41" s="40"/>
    </row>
    <row r="42" spans="1:90">
      <c r="A42" s="12"/>
      <c r="B42" s="1"/>
    </row>
    <row r="43" spans="1:90">
      <c r="A43" s="12"/>
      <c r="B43" s="1"/>
    </row>
    <row r="44" spans="1:90" ht="21" customHeight="1">
      <c r="A44" s="12"/>
      <c r="B44" s="1"/>
    </row>
    <row r="45" spans="1:90">
      <c r="A45" s="12"/>
      <c r="B45" s="1"/>
    </row>
    <row r="46" spans="1:90" ht="20.25" customHeight="1">
      <c r="A46" s="12"/>
      <c r="B46" s="1"/>
    </row>
    <row r="47" spans="1:90">
      <c r="B47" s="1"/>
      <c r="H47" s="10"/>
      <c r="I47" s="10"/>
      <c r="J47" s="10"/>
      <c r="K47" s="10"/>
      <c r="L47" s="10"/>
      <c r="M47" s="10"/>
      <c r="N47" s="10"/>
      <c r="O47" s="10"/>
    </row>
    <row r="48" spans="1:90">
      <c r="B48" s="1"/>
      <c r="C48" s="40"/>
      <c r="D48" s="40"/>
      <c r="E48" s="40"/>
      <c r="F48" s="40"/>
      <c r="G48" s="40"/>
      <c r="H48" s="40"/>
    </row>
    <row r="49" spans="1:11">
      <c r="B49" s="1"/>
      <c r="C49" s="40"/>
      <c r="D49" s="13"/>
      <c r="E49" s="40"/>
      <c r="F49" s="41"/>
      <c r="G49" s="42"/>
      <c r="H49" s="40"/>
    </row>
    <row r="50" spans="1:11">
      <c r="B50" s="1"/>
      <c r="C50" s="40"/>
      <c r="D50" s="13"/>
      <c r="E50" s="40"/>
      <c r="F50" s="42"/>
      <c r="G50" s="42"/>
      <c r="H50" s="40"/>
    </row>
    <row r="51" spans="1:11">
      <c r="B51" s="1"/>
      <c r="C51" s="40"/>
      <c r="D51" s="13"/>
      <c r="E51" s="40"/>
      <c r="F51" s="42"/>
      <c r="G51" s="42"/>
      <c r="H51" s="40"/>
    </row>
    <row r="52" spans="1:11" ht="21.75" customHeight="1">
      <c r="B52" s="1"/>
      <c r="C52" s="40"/>
      <c r="D52" s="40"/>
      <c r="E52" s="40"/>
      <c r="F52" s="40"/>
      <c r="G52" s="40"/>
      <c r="H52" s="40"/>
    </row>
    <row r="53" spans="1:11" ht="21.75" customHeight="1">
      <c r="B53" s="1"/>
      <c r="C53" s="40"/>
      <c r="D53" s="14"/>
      <c r="E53" s="40"/>
      <c r="F53" s="42"/>
      <c r="G53" s="42"/>
      <c r="H53" s="40"/>
    </row>
    <row r="54" spans="1:11" ht="21.75" customHeight="1">
      <c r="B54" s="1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B58" s="1"/>
    </row>
    <row r="59" spans="1:11" ht="21.75" customHeight="1">
      <c r="B59" s="1"/>
    </row>
    <row r="60" spans="1:11" ht="21.75" customHeight="1">
      <c r="B60" s="1"/>
    </row>
    <row r="61" spans="1:11" ht="21.75" customHeight="1">
      <c r="A61" s="12"/>
      <c r="B61" s="1"/>
    </row>
    <row r="62" spans="1:11" ht="21.75" customHeight="1">
      <c r="A62" s="12"/>
      <c r="B62" s="1"/>
    </row>
    <row r="63" spans="1:11" ht="21.75" customHeight="1">
      <c r="B63" s="1"/>
      <c r="K63" s="11"/>
    </row>
    <row r="64" spans="1:11" ht="21.75" customHeight="1">
      <c r="B64" s="1"/>
      <c r="K64" s="11"/>
    </row>
    <row r="65" spans="2:35">
      <c r="B65" s="1"/>
      <c r="K65" s="11"/>
    </row>
    <row r="66" spans="2:35">
      <c r="B66" s="1"/>
      <c r="K66" s="11"/>
    </row>
    <row r="67" spans="2:35">
      <c r="B67" s="1"/>
      <c r="K67" s="11"/>
    </row>
    <row r="68" spans="2:35">
      <c r="B68" s="1"/>
      <c r="K68" s="16"/>
    </row>
    <row r="69" spans="2:35">
      <c r="B69" s="1"/>
      <c r="K69" s="12"/>
    </row>
    <row r="70" spans="2:35">
      <c r="B70" s="1"/>
    </row>
    <row r="71" spans="2:35">
      <c r="B71" s="1"/>
    </row>
    <row r="72" spans="2:35">
      <c r="B72" s="9"/>
      <c r="C72" s="9"/>
      <c r="D72" s="9"/>
      <c r="E72" s="9"/>
      <c r="F72" s="9"/>
      <c r="G72" s="9"/>
      <c r="H72" s="9"/>
      <c r="I72" s="9"/>
      <c r="J72" s="9"/>
    </row>
    <row r="73" spans="2:35">
      <c r="B73" s="1"/>
    </row>
    <row r="74" spans="2:35" ht="46.5" customHeight="1">
      <c r="B74" s="1"/>
      <c r="K74" s="9"/>
      <c r="U74" s="9"/>
      <c r="V74" s="9"/>
      <c r="W74" s="9"/>
      <c r="X74" s="9"/>
      <c r="Y74" s="9"/>
      <c r="Z74" s="9"/>
      <c r="AA74" s="9"/>
      <c r="AB74" s="9"/>
      <c r="AC74" s="9"/>
      <c r="AD74" s="9"/>
      <c r="AI74" s="17"/>
    </row>
    <row r="75" spans="2:35" ht="21.75" customHeight="1">
      <c r="B75" s="1"/>
    </row>
    <row r="76" spans="2:35">
      <c r="B76" s="1"/>
      <c r="M76" s="9"/>
      <c r="N76" s="9"/>
      <c r="O76" s="9"/>
      <c r="P76" s="9"/>
      <c r="Q76" s="9"/>
      <c r="R76" s="9"/>
      <c r="S76" s="9"/>
      <c r="T76" s="9"/>
    </row>
    <row r="77" spans="2:35">
      <c r="B77" s="1"/>
    </row>
    <row r="78" spans="2:35">
      <c r="B78" s="1"/>
    </row>
    <row r="79" spans="2:35">
      <c r="B79" s="1"/>
    </row>
    <row r="80" spans="2:35">
      <c r="B80" s="1"/>
    </row>
    <row r="81" spans="1:12">
      <c r="B81" s="1"/>
    </row>
    <row r="82" spans="1:12">
      <c r="B82" s="1"/>
    </row>
    <row r="83" spans="1:12">
      <c r="B83" s="1"/>
    </row>
    <row r="84" spans="1:12">
      <c r="B84" s="1"/>
    </row>
    <row r="85" spans="1:12">
      <c r="B85" s="1"/>
    </row>
    <row r="86" spans="1:12">
      <c r="B86" s="1"/>
    </row>
    <row r="87" spans="1:12">
      <c r="B87" s="1"/>
    </row>
    <row r="88" spans="1:12">
      <c r="B88" s="1"/>
    </row>
    <row r="89" spans="1:12">
      <c r="B89" s="1"/>
    </row>
    <row r="90" spans="1:12">
      <c r="B90" s="1"/>
    </row>
    <row r="91" spans="1:12">
      <c r="B91" s="1"/>
    </row>
    <row r="92" spans="1:12">
      <c r="B92" s="1"/>
    </row>
    <row r="93" spans="1:12">
      <c r="B93" s="1"/>
    </row>
    <row r="94" spans="1:12">
      <c r="B94" s="1"/>
      <c r="D94" s="9"/>
      <c r="E94" s="9"/>
      <c r="F94" s="9"/>
      <c r="G94" s="9"/>
      <c r="H94" s="9"/>
      <c r="I94" s="9"/>
      <c r="J94" s="9"/>
      <c r="K94" s="9"/>
      <c r="L94" s="9"/>
    </row>
    <row r="95" spans="1:12">
      <c r="B95" s="1"/>
    </row>
    <row r="96" spans="1:12">
      <c r="A96" s="9"/>
      <c r="B96" s="9"/>
      <c r="C96" s="9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1:12">
      <c r="B113" s="1"/>
    </row>
    <row r="114" spans="1:12">
      <c r="B114" s="1"/>
    </row>
    <row r="115" spans="1:12">
      <c r="B115" s="1"/>
      <c r="D115" s="9"/>
      <c r="E115" s="9"/>
      <c r="F115" s="9"/>
      <c r="G115" s="9"/>
      <c r="H115" s="9"/>
      <c r="I115" s="9"/>
    </row>
    <row r="116" spans="1:12">
      <c r="B116" s="1"/>
      <c r="J116" s="9"/>
      <c r="K116" s="9"/>
      <c r="L116" s="9"/>
    </row>
    <row r="117" spans="1:12">
      <c r="A117" s="9"/>
      <c r="B117" s="9"/>
      <c r="C117" s="9"/>
    </row>
    <row r="118" spans="1:12">
      <c r="B118" s="1"/>
    </row>
    <row r="119" spans="1:12">
      <c r="B119" s="1"/>
    </row>
  </sheetData>
  <mergeCells count="27"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T5:W5"/>
    <mergeCell ref="D5:G5"/>
    <mergeCell ref="H5:K5"/>
    <mergeCell ref="L5:M5"/>
    <mergeCell ref="N5:Q5"/>
    <mergeCell ref="R5:S5"/>
  </mergeCells>
  <conditionalFormatting sqref="CT7:CV27">
    <cfRule type="cellIs" dxfId="294" priority="33" operator="lessThan">
      <formula>0</formula>
    </cfRule>
    <cfRule type="cellIs" dxfId="293" priority="34" operator="greaterThan">
      <formula>0</formula>
    </cfRule>
  </conditionalFormatting>
  <conditionalFormatting sqref="CR7:CS27">
    <cfRule type="cellIs" dxfId="292" priority="29" operator="greaterThan">
      <formula>1000</formula>
    </cfRule>
    <cfRule type="cellIs" dxfId="291" priority="30" operator="between">
      <formula>500</formula>
      <formula>1000</formula>
    </cfRule>
    <cfRule type="cellIs" dxfId="290" priority="31" operator="between">
      <formula>300</formula>
      <formula>500</formula>
    </cfRule>
    <cfRule type="cellIs" dxfId="289" priority="32" operator="lessThan">
      <formula>300</formula>
    </cfRule>
  </conditionalFormatting>
  <conditionalFormatting sqref="AI74">
    <cfRule type="cellIs" dxfId="288" priority="28" operator="greaterThanOrEqual">
      <formula>10</formula>
    </cfRule>
  </conditionalFormatting>
  <conditionalFormatting sqref="B120:B1048576 B6 C5 B13:B53">
    <cfRule type="duplicateValues" dxfId="287" priority="27"/>
  </conditionalFormatting>
  <conditionalFormatting sqref="C13:C27">
    <cfRule type="containsText" dxfId="286" priority="26" operator="containsText" text="@">
      <formula>NOT(ISERROR(SEARCH("@",C13)))</formula>
    </cfRule>
  </conditionalFormatting>
  <conditionalFormatting sqref="B13:B27">
    <cfRule type="notContainsBlanks" dxfId="285" priority="25">
      <formula>LEN(TRIM(B13))&gt;0</formula>
    </cfRule>
  </conditionalFormatting>
  <conditionalFormatting sqref="Z7:AN7 CH6:CO7 CP7:CV7 D7:M7 P7:W7 AC8:AD8 C8 AU7:AX7 AZ8:BF8 CA7:CG7 Z8:Z11 AY8:AY11 AA8:AB12 AZ9:BH12 CA8:CV12 BI7:BN12 A13:C13 AY13:BN13 A14:K16 Z13:AD13 AE8:AJ13 CA13:CO13 AS8:AX13 D8:K13 B19:Q19 A17:Q18 AM8:AP16 AS14:CO16 AQ7:AR16 BO7:BZ13 Z14:AJ20 L8:R8 L9:Q16 AM17:CO20 CP16:XFD20 CP13:CV15 CY7:XFD15 CW14:CX15 D9:E23 R9:R19 S8:W19 AK8:AL20 AW8:AX18 BG7:BH15 BO8:BO23 Z21:XFD27 A20:W27">
    <cfRule type="expression" dxfId="284" priority="24">
      <formula>CELL("row")=ROW()</formula>
    </cfRule>
  </conditionalFormatting>
  <conditionalFormatting sqref="A1">
    <cfRule type="expression" dxfId="283" priority="23">
      <formula>CELL("row")=ROW()</formula>
    </cfRule>
  </conditionalFormatting>
  <conditionalFormatting sqref="P7:S7 AC8:AD8 BK10:BL12 BN10:BN12 J7:M7 AI7:AN7 Z8:Z11 AY8:AY11 BK7:BN9 S8:S13 AM8:AP16 AS8:AS16 AQ7:AR16 S14:U19 AM17:AS20 J8:R19 AI8:AL20 AI21:AS27 AA7:AB27 AE7:AF27 BA8:BD27 BM10:BM27 J20:U27 BU7:BV27 D7:G27 AU7:AX27 BG7:BH27 BO7:BP27">
    <cfRule type="containsText" dxfId="282" priority="22" operator="containsText" text=".">
      <formula>NOT(ISERROR(SEARCH(".",D7)))</formula>
    </cfRule>
  </conditionalFormatting>
  <conditionalFormatting sqref="C7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{F5DBD1E9-6025-4013-9871-68875B60A4E8}</x14:id>
        </ext>
      </extLst>
    </cfRule>
  </conditionalFormatting>
  <conditionalFormatting sqref="AS7:AT7 AY7:BF7 N7:O7 AO7:AP7">
    <cfRule type="expression" dxfId="281" priority="20">
      <formula>CELL("row")=ROW()</formula>
    </cfRule>
  </conditionalFormatting>
  <conditionalFormatting sqref="AY7:BF7 Z7 AS7:AT7 AO7:AP7 N7:O7 AC7:AD7 H7:I12 H14:I15 AZ8:AZ27 BE8:BF27 BI7:BJ27 AT8:AT27 AG7:AH27 T7:W27">
    <cfRule type="containsText" dxfId="280" priority="19" operator="containsText" text=".">
      <formula>NOT(ISERROR(SEARCH(".",H7)))</formula>
    </cfRule>
  </conditionalFormatting>
  <conditionalFormatting sqref="C34">
    <cfRule type="duplicateValues" dxfId="279" priority="18"/>
  </conditionalFormatting>
  <conditionalFormatting sqref="C34">
    <cfRule type="containsText" dxfId="278" priority="17" operator="containsText" text="@">
      <formula>NOT(ISERROR(SEARCH("@",C34)))</formula>
    </cfRule>
  </conditionalFormatting>
  <conditionalFormatting sqref="C34">
    <cfRule type="expression" dxfId="277" priority="16">
      <formula>CELL("row")=ROW()</formula>
    </cfRule>
  </conditionalFormatting>
  <conditionalFormatting sqref="C35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{6740E5A1-4621-4F82-84A1-BA94A6730953}</x14:id>
        </ext>
      </extLst>
    </cfRule>
  </conditionalFormatting>
  <conditionalFormatting sqref="C37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{3B26FE2D-8BB2-4A21-BCC4-6C78FFAE4158}</x14:id>
        </ext>
      </extLst>
    </cfRule>
  </conditionalFormatting>
  <conditionalFormatting sqref="C42">
    <cfRule type="containsText" dxfId="276" priority="13" operator="containsText" text="@">
      <formula>NOT(ISERROR(SEARCH("@",C42)))</formula>
    </cfRule>
  </conditionalFormatting>
  <conditionalFormatting sqref="C42">
    <cfRule type="expression" dxfId="275" priority="12">
      <formula>CELL("row")=ROW()</formula>
    </cfRule>
  </conditionalFormatting>
  <conditionalFormatting sqref="C43">
    <cfRule type="duplicateValues" dxfId="274" priority="11"/>
  </conditionalFormatting>
  <conditionalFormatting sqref="C43">
    <cfRule type="containsText" dxfId="273" priority="10" operator="containsText" text="@">
      <formula>NOT(ISERROR(SEARCH("@",C43)))</formula>
    </cfRule>
  </conditionalFormatting>
  <conditionalFormatting sqref="C43">
    <cfRule type="expression" dxfId="272" priority="9">
      <formula>CELL("row")=ROW()</formula>
    </cfRule>
  </conditionalFormatting>
  <conditionalFormatting sqref="C45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{9F436A3B-55EC-455B-8260-00893D7632A2}</x14:id>
        </ext>
      </extLst>
    </cfRule>
  </conditionalFormatting>
  <conditionalFormatting sqref="C49">
    <cfRule type="duplicateValues" dxfId="271" priority="7"/>
  </conditionalFormatting>
  <conditionalFormatting sqref="C49">
    <cfRule type="containsText" dxfId="270" priority="6" operator="containsText" text="@">
      <formula>NOT(ISERROR(SEARCH("@",C49)))</formula>
    </cfRule>
  </conditionalFormatting>
  <conditionalFormatting sqref="C49">
    <cfRule type="expression" dxfId="269" priority="5">
      <formula>CELL("row")=ROW()</formula>
    </cfRule>
  </conditionalFormatting>
  <conditionalFormatting sqref="H8:I8">
    <cfRule type="containsText" dxfId="268" priority="4" operator="containsText" text=".">
      <formula>NOT(ISERROR(SEARCH(".",H8)))</formula>
    </cfRule>
  </conditionalFormatting>
  <conditionalFormatting sqref="AY12 Z12 AC12:AD12">
    <cfRule type="expression" dxfId="267" priority="3">
      <formula>CELL("row")=ROW()</formula>
    </cfRule>
  </conditionalFormatting>
  <conditionalFormatting sqref="Z12 AY12 AC12:AD12">
    <cfRule type="containsText" dxfId="266" priority="2" operator="containsText" text=".">
      <formula>NOT(ISERROR(SEARCH(".",Z12)))</formula>
    </cfRule>
  </conditionalFormatting>
  <conditionalFormatting sqref="H19:I19">
    <cfRule type="containsText" dxfId="265" priority="1" operator="containsText" text=".">
      <formula>NOT(ISERROR(SEARCH(".",H19)))</formula>
    </cfRule>
  </conditionalFormatting>
  <conditionalFormatting sqref="CT7:CT27">
    <cfRule type="colorScale" priority="2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138" scale="13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DBD1E9-6025-4013-9871-68875B60A4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6740E5A1-4621-4F82-84A1-BA94A67309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C35</xm:sqref>
        </x14:conditionalFormatting>
        <x14:conditionalFormatting xmlns:xm="http://schemas.microsoft.com/office/excel/2006/main">
          <x14:cfRule type="dataBar" id="{3B26FE2D-8BB2-4A21-BCC4-6C78FFAE41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C37</xm:sqref>
        </x14:conditionalFormatting>
        <x14:conditionalFormatting xmlns:xm="http://schemas.microsoft.com/office/excel/2006/main">
          <x14:cfRule type="dataBar" id="{9F436A3B-55EC-455B-8260-00893D7632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5F9BA-65EA-4613-A70D-B8AE9EED1AF3}">
  <sheetPr codeName="Hoja35">
    <pageSetUpPr fitToPage="1"/>
  </sheetPr>
  <dimension ref="A1:CX116"/>
  <sheetViews>
    <sheetView zoomScaleNormal="100" zoomScaleSheetLayoutView="70" workbookViewId="0">
      <pane xSplit="3" topLeftCell="CJ1" activePane="topRight" state="frozen"/>
      <selection pane="topRight" activeCell="CR7" sqref="CR7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5" width="15" style="1" bestFit="1" customWidth="1"/>
    <col min="26" max="26" width="15" style="1" customWidth="1"/>
    <col min="27" max="27" width="12.85546875" style="1" hidden="1" customWidth="1"/>
    <col min="28" max="28" width="13.140625" style="1" hidden="1" customWidth="1"/>
    <col min="29" max="29" width="12.85546875" style="1" hidden="1" customWidth="1"/>
    <col min="30" max="30" width="9.5703125" style="1" hidden="1" customWidth="1"/>
    <col min="31" max="32" width="8.42578125" style="1" hidden="1" customWidth="1"/>
    <col min="33" max="33" width="15.7109375" style="1" hidden="1" customWidth="1"/>
    <col min="34" max="34" width="13.7109375" style="1" hidden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2.85546875" style="1" bestFit="1" customWidth="1"/>
    <col min="57" max="57" width="15.7109375" style="1" hidden="1" customWidth="1"/>
    <col min="58" max="58" width="14.140625" style="1" hidden="1" customWidth="1"/>
    <col min="59" max="59" width="13.42578125" style="1" customWidth="1"/>
    <col min="60" max="60" width="13.5703125" style="1" customWidth="1"/>
    <col min="61" max="61" width="14.85546875" style="1" hidden="1" customWidth="1"/>
    <col min="62" max="62" width="11.28515625" style="1" hidden="1" customWidth="1"/>
    <col min="63" max="63" width="10.5703125" style="1" hidden="1" customWidth="1"/>
    <col min="64" max="64" width="12.7109375" style="1" hidden="1" customWidth="1"/>
    <col min="65" max="66" width="18.140625" style="1" hidden="1" customWidth="1"/>
    <col min="67" max="67" width="22.7109375" style="1" customWidth="1"/>
    <col min="68" max="68" width="14.28515625" style="1" bestFit="1" customWidth="1"/>
    <col min="69" max="69" width="16.28515625" style="1" hidden="1" customWidth="1"/>
    <col min="70" max="70" width="15.7109375" style="1" hidden="1" customWidth="1"/>
    <col min="71" max="71" width="11.5703125" style="1" hidden="1" customWidth="1"/>
    <col min="72" max="72" width="12.140625" style="1" hidden="1" customWidth="1"/>
    <col min="73" max="73" width="15.140625" style="1" customWidth="1"/>
    <col min="74" max="74" width="15.7109375" style="1" customWidth="1"/>
    <col min="75" max="75" width="13" style="1" customWidth="1"/>
    <col min="76" max="76" width="13.28515625" style="1" customWidth="1"/>
    <col min="77" max="77" width="15.140625" style="1" customWidth="1"/>
    <col min="78" max="78" width="15.7109375" style="1" customWidth="1"/>
    <col min="79" max="79" width="13.85546875" style="1" customWidth="1"/>
    <col min="80" max="80" width="15.85546875" style="1" customWidth="1"/>
    <col min="81" max="82" width="14.28515625" style="1" bestFit="1" customWidth="1"/>
    <col min="83" max="84" width="12.140625" style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34">
        <v>3900</v>
      </c>
      <c r="B2" s="135">
        <v>1.24</v>
      </c>
      <c r="C2" s="136">
        <v>1.02</v>
      </c>
      <c r="D2" s="137">
        <v>395.32</v>
      </c>
      <c r="E2" s="137">
        <v>1.24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144">
        <v>3934</v>
      </c>
      <c r="B3" s="145">
        <v>1.25</v>
      </c>
      <c r="C3" s="145">
        <v>1.0209999999999999</v>
      </c>
      <c r="D3" s="146">
        <v>395.32</v>
      </c>
      <c r="E3" s="146">
        <v>1.24</v>
      </c>
      <c r="F3" s="32"/>
      <c r="H3" s="32"/>
      <c r="L3" s="32"/>
      <c r="T3" s="43"/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O4" s="78" t="s">
        <v>10</v>
      </c>
      <c r="CH4" s="80"/>
    </row>
    <row r="5" spans="1:102" s="4" customFormat="1" ht="43.5" customHeigh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19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29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83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82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141" t="s">
        <v>112</v>
      </c>
      <c r="BX6" s="141" t="s">
        <v>112</v>
      </c>
      <c r="BY6" s="82" t="s">
        <v>45</v>
      </c>
      <c r="BZ6" s="82" t="s">
        <v>46</v>
      </c>
      <c r="CA6" s="141" t="s">
        <v>53</v>
      </c>
      <c r="CB6" s="141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/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4600000</v>
      </c>
    </row>
    <row r="7" spans="1:102">
      <c r="A7" s="44"/>
      <c r="B7" s="45" t="s">
        <v>118</v>
      </c>
      <c r="C7" s="46" t="s">
        <v>119</v>
      </c>
      <c r="D7" s="102">
        <v>0</v>
      </c>
      <c r="E7" s="102">
        <v>0</v>
      </c>
      <c r="F7" s="98">
        <f>SUM((D7*2)*0.3)</f>
        <v>0</v>
      </c>
      <c r="G7" s="98">
        <f>SUM((E7*2)*0.3)</f>
        <v>0</v>
      </c>
      <c r="H7" s="98">
        <v>15</v>
      </c>
      <c r="I7" s="98">
        <v>10</v>
      </c>
      <c r="J7" s="98">
        <f>SUM(H7*0.78)*$C$2</f>
        <v>11.934000000000001</v>
      </c>
      <c r="K7" s="98">
        <f>SUM(I7*0.78)*$C$3</f>
        <v>7.9638</v>
      </c>
      <c r="L7" s="103">
        <v>92.83</v>
      </c>
      <c r="M7" s="98">
        <f>L7</f>
        <v>92.83</v>
      </c>
      <c r="N7" s="98">
        <v>47.33</v>
      </c>
      <c r="O7" s="98">
        <v>40.83</v>
      </c>
      <c r="P7" s="98">
        <f>N7*$C$2</f>
        <v>48.276600000000002</v>
      </c>
      <c r="Q7" s="98">
        <f>O7*$C$3</f>
        <v>41.687429999999992</v>
      </c>
      <c r="R7" s="103">
        <v>24.6</v>
      </c>
      <c r="S7" s="98">
        <f>R7*$C$3</f>
        <v>25.116599999999998</v>
      </c>
      <c r="T7" s="103">
        <v>43.92</v>
      </c>
      <c r="U7" s="98">
        <v>75.790000000000006</v>
      </c>
      <c r="V7" s="98">
        <f>SUM(T7*($C$2))</f>
        <v>44.798400000000001</v>
      </c>
      <c r="W7" s="98">
        <f>SUM(U7*($C$3))</f>
        <v>77.381590000000003</v>
      </c>
      <c r="X7" s="120">
        <v>1.25</v>
      </c>
      <c r="Y7" s="120">
        <v>0</v>
      </c>
      <c r="Z7" s="121"/>
      <c r="AA7" s="121">
        <f>SUM(X7*0.75)+(Z7*0.75)</f>
        <v>0.9375</v>
      </c>
      <c r="AB7" s="121">
        <f>(Y7*0.75)+(Z7*0.75)</f>
        <v>0</v>
      </c>
      <c r="AC7" s="121">
        <v>0</v>
      </c>
      <c r="AD7" s="121">
        <v>0</v>
      </c>
      <c r="AE7" s="121">
        <f>AC7*0.75</f>
        <v>0</v>
      </c>
      <c r="AF7" s="121">
        <f>AD7*0.75</f>
        <v>0</v>
      </c>
      <c r="AG7" s="98"/>
      <c r="AH7" s="98"/>
      <c r="AI7" s="98">
        <f>AG7*0.75</f>
        <v>0</v>
      </c>
      <c r="AJ7" s="98">
        <f>AH7*0.75</f>
        <v>0</v>
      </c>
      <c r="AK7" s="103">
        <v>67.599999999999994</v>
      </c>
      <c r="AL7" s="98">
        <v>86.8</v>
      </c>
      <c r="AM7" s="98">
        <f>AK7*$C$2</f>
        <v>68.951999999999998</v>
      </c>
      <c r="AN7" s="98">
        <f>AL7*$C$3</f>
        <v>88.622799999999984</v>
      </c>
      <c r="AO7" s="98">
        <v>0</v>
      </c>
      <c r="AP7" s="98">
        <v>0</v>
      </c>
      <c r="AQ7" s="130"/>
      <c r="AR7" s="130"/>
      <c r="AS7" s="98"/>
      <c r="AT7" s="98">
        <f>AS7*$C$3</f>
        <v>0</v>
      </c>
      <c r="AU7" s="98"/>
      <c r="AV7" s="98">
        <f>AU7*$C$3</f>
        <v>0</v>
      </c>
      <c r="AW7" s="98">
        <v>41.43</v>
      </c>
      <c r="AX7" s="98">
        <v>26.56</v>
      </c>
      <c r="AY7" s="98"/>
      <c r="AZ7" s="98">
        <f>AY7*$D$2</f>
        <v>0</v>
      </c>
      <c r="BA7" s="98">
        <v>90.9</v>
      </c>
      <c r="BB7" s="98">
        <v>87.4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>BH7*$C$3</f>
        <v>0</v>
      </c>
      <c r="BK7" s="98"/>
      <c r="BL7" s="98"/>
      <c r="BM7" s="98">
        <v>0</v>
      </c>
      <c r="BN7" s="98">
        <f>BM7*$C$3</f>
        <v>0</v>
      </c>
      <c r="BO7" s="105">
        <v>62.71</v>
      </c>
      <c r="BP7" s="98">
        <f>BO7*$C$3</f>
        <v>64.026910000000001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42">
        <f>BU7*$E$2</f>
        <v>0</v>
      </c>
      <c r="BX7" s="142">
        <f>BV7*$E$3</f>
        <v>0</v>
      </c>
      <c r="BY7" s="110">
        <v>187.45</v>
      </c>
      <c r="BZ7" s="110">
        <v>29.5</v>
      </c>
      <c r="CA7" s="142">
        <f>BY7/2</f>
        <v>93.724999999999994</v>
      </c>
      <c r="CB7" s="142">
        <f>BZ7/2</f>
        <v>14.75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2180000</v>
      </c>
      <c r="CI7" s="72"/>
      <c r="CJ7" s="72"/>
      <c r="CK7" s="53">
        <v>1210000</v>
      </c>
      <c r="CL7" s="72"/>
      <c r="CM7" s="53">
        <v>970000</v>
      </c>
      <c r="CN7" s="72"/>
      <c r="CO7" s="72"/>
      <c r="CP7" s="90"/>
      <c r="CQ7" s="68">
        <v>0</v>
      </c>
      <c r="CR7" s="69">
        <f>SUM(AO7,AQ7,F7,P7,BS7,AM7,AA7,AE7,J7,AI7,V7,BA7,BE7,CE7,AW7,CA7,BW7)</f>
        <v>400.95349999999996</v>
      </c>
      <c r="CS7" s="69">
        <f>SUM(AP7,AR7,G7,Q7,BN7,AZ7,M7,BT7,AN7,S7,AB7,AF7,K7,AJ7,BI7,W7,BB7,BF7,CF7,BP7,BL7,CG7,AT7,AV7,AX7,CB7,BX7)</f>
        <v>526.33912999999995</v>
      </c>
      <c r="CT7" s="147">
        <f>(((CR7*$A$2)+(CS7*$A$3))*0.6)+((BJ7*$A$3)*0.75)</f>
        <v>2180602.0724519999</v>
      </c>
      <c r="CU7" s="70">
        <f t="shared" ref="CU7:CU24" si="0">((CR7*$A$2)+(CS7*$A$3))*0.4+((BJ7*$A$3)*0.25)</f>
        <v>1453734.7149680001</v>
      </c>
      <c r="CV7" s="143">
        <f>CT7-CH7</f>
        <v>602.07245199987665</v>
      </c>
      <c r="CW7" s="1" t="s">
        <v>120</v>
      </c>
      <c r="CX7" s="126">
        <v>1215337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ref="F8:G18" si="1">SUM((D8*2)*0.3)</f>
        <v>0</v>
      </c>
      <c r="G8" s="98">
        <f t="shared" si="1"/>
        <v>0</v>
      </c>
      <c r="H8" s="98">
        <v>0</v>
      </c>
      <c r="I8" s="98">
        <v>15</v>
      </c>
      <c r="J8" s="98">
        <f t="shared" ref="J8:J24" si="2">SUM(H8*0.78)*$C$2</f>
        <v>0</v>
      </c>
      <c r="K8" s="98">
        <f t="shared" ref="K8:K24" si="3">SUM(I8*0.78)*$C$3</f>
        <v>11.9457</v>
      </c>
      <c r="L8" s="103">
        <v>76.56</v>
      </c>
      <c r="M8" s="98">
        <f t="shared" ref="M8:M24" si="4">L8</f>
        <v>76.56</v>
      </c>
      <c r="N8" s="99"/>
      <c r="O8" s="99"/>
      <c r="P8" s="98">
        <f t="shared" ref="P8:P24" si="5">N8*$C$2</f>
        <v>0</v>
      </c>
      <c r="Q8" s="98">
        <f t="shared" ref="Q8:Q24" si="6">O8*$C$3</f>
        <v>0</v>
      </c>
      <c r="R8" s="103"/>
      <c r="S8" s="98">
        <f t="shared" ref="S8:S24" si="7">R8*$C$3</f>
        <v>0</v>
      </c>
      <c r="T8" s="103">
        <v>12.99</v>
      </c>
      <c r="U8" s="98">
        <v>14.42</v>
      </c>
      <c r="V8" s="98">
        <f t="shared" ref="V8:V24" si="8">SUM(T8*($C$2))</f>
        <v>13.2498</v>
      </c>
      <c r="W8" s="98">
        <f t="shared" ref="W8:W24" si="9">SUM(U8*($C$3))</f>
        <v>14.722819999999999</v>
      </c>
      <c r="X8" s="120">
        <v>58</v>
      </c>
      <c r="Y8" s="120">
        <v>49</v>
      </c>
      <c r="Z8" s="119"/>
      <c r="AA8" s="121">
        <f t="shared" ref="AA8:AA24" si="10">SUM(X8*0.75)+(Z8*0.75)</f>
        <v>43.5</v>
      </c>
      <c r="AB8" s="121">
        <f t="shared" ref="AB8:AB24" si="11">(Y8*0.75)+(Z8*0.75)</f>
        <v>36.75</v>
      </c>
      <c r="AC8" s="119"/>
      <c r="AD8" s="119"/>
      <c r="AE8" s="121">
        <f t="shared" ref="AE8:AF24" si="12">AC8*0.75</f>
        <v>0</v>
      </c>
      <c r="AF8" s="121">
        <f t="shared" si="12"/>
        <v>0</v>
      </c>
      <c r="AG8" s="98"/>
      <c r="AH8" s="98"/>
      <c r="AI8" s="98">
        <f t="shared" ref="AI8:AJ24" si="13">AG8*0.75</f>
        <v>0</v>
      </c>
      <c r="AJ8" s="98">
        <f t="shared" si="13"/>
        <v>0</v>
      </c>
      <c r="AK8" s="103">
        <v>38.97</v>
      </c>
      <c r="AL8" s="98">
        <v>233.45</v>
      </c>
      <c r="AM8" s="98">
        <f t="shared" ref="AM8:AM24" si="14">AK8*$C$2</f>
        <v>39.749400000000001</v>
      </c>
      <c r="AN8" s="98">
        <f t="shared" ref="AN8:AN24" si="15">AL8*$C$3</f>
        <v>238.35244999999998</v>
      </c>
      <c r="AO8" s="99">
        <v>0</v>
      </c>
      <c r="AP8" s="99">
        <v>0</v>
      </c>
      <c r="AQ8" s="131"/>
      <c r="AR8" s="131"/>
      <c r="AS8" s="99"/>
      <c r="AT8" s="98">
        <f t="shared" ref="AT8:AT24" si="16">AS8*$C$3</f>
        <v>0</v>
      </c>
      <c r="AU8" s="99"/>
      <c r="AV8" s="98">
        <f t="shared" ref="AV8:AV24" si="17">AU8*$C$3</f>
        <v>0</v>
      </c>
      <c r="AW8" s="98">
        <v>68.13</v>
      </c>
      <c r="AX8" s="98">
        <v>40.56</v>
      </c>
      <c r="AY8" s="99"/>
      <c r="AZ8" s="98">
        <f t="shared" ref="AZ8:AZ24" si="18">AY8*$D$2</f>
        <v>0</v>
      </c>
      <c r="BA8" s="99"/>
      <c r="BB8" s="99"/>
      <c r="BC8" s="99">
        <v>24.5</v>
      </c>
      <c r="BD8" s="99">
        <f>66.3+19</f>
        <v>85.3</v>
      </c>
      <c r="BE8" s="98">
        <f t="shared" ref="BE8:BE24" si="19">SUM(BC8*0.62)*$B$2</f>
        <v>18.835599999999999</v>
      </c>
      <c r="BF8" s="98">
        <f t="shared" ref="BF8:BF24" si="20">SUM(BD8*0.62)*$B$3</f>
        <v>66.107499999999987</v>
      </c>
      <c r="BG8" s="98">
        <v>53.28</v>
      </c>
      <c r="BH8" s="98">
        <v>0</v>
      </c>
      <c r="BI8" s="98">
        <f t="shared" ref="BI8:BI24" si="21">(BG8*$C$3)</f>
        <v>54.398879999999998</v>
      </c>
      <c r="BJ8" s="98">
        <f t="shared" ref="BJ8:BJ24" si="22">BH8*$C$3</f>
        <v>0</v>
      </c>
      <c r="BK8" s="99"/>
      <c r="BL8" s="99"/>
      <c r="BM8" s="99"/>
      <c r="BN8" s="98">
        <f t="shared" ref="BN8:BN24" si="23">BM8*$C$3</f>
        <v>0</v>
      </c>
      <c r="BO8" s="105">
        <v>28.45</v>
      </c>
      <c r="BP8" s="98">
        <f t="shared" ref="BP8:BP24" si="24">BO8*$C$3</f>
        <v>29.047449999999998</v>
      </c>
      <c r="BQ8" s="113">
        <v>0</v>
      </c>
      <c r="BR8" s="113">
        <v>0</v>
      </c>
      <c r="BS8" s="104">
        <f t="shared" ref="BS8:BS24" si="25">(BQ8/$D$2)*$C$2</f>
        <v>0</v>
      </c>
      <c r="BT8" s="104">
        <f t="shared" ref="BT8:BT24" si="26">(BR8/$D$3)*$C$3</f>
        <v>0</v>
      </c>
      <c r="BU8" s="105">
        <v>5</v>
      </c>
      <c r="BV8" s="105">
        <v>30.67</v>
      </c>
      <c r="BW8" s="142">
        <f t="shared" ref="BW8:BW24" si="27">BU8*$E$2</f>
        <v>6.2</v>
      </c>
      <c r="BX8" s="142">
        <f t="shared" ref="BX8:BX24" si="28">BV8*$E$3</f>
        <v>38.030799999999999</v>
      </c>
      <c r="BY8" s="110">
        <v>139.93</v>
      </c>
      <c r="BZ8" s="110">
        <v>161.30000000000001</v>
      </c>
      <c r="CA8" s="142">
        <f t="shared" ref="CA8:CB24" si="29">BY8/2</f>
        <v>69.965000000000003</v>
      </c>
      <c r="CB8" s="142">
        <f t="shared" si="29"/>
        <v>80.650000000000006</v>
      </c>
      <c r="CC8" s="109">
        <v>0</v>
      </c>
      <c r="CD8" s="109">
        <v>0</v>
      </c>
      <c r="CE8" s="98">
        <f t="shared" ref="CE8:CF24" si="30">CC8*0.05</f>
        <v>0</v>
      </c>
      <c r="CF8" s="107">
        <f t="shared" si="30"/>
        <v>0</v>
      </c>
      <c r="CG8" s="81"/>
      <c r="CH8" s="65">
        <f t="shared" ref="CH8:CH24" si="31">SUM(CI8:CO8)</f>
        <v>2230000</v>
      </c>
      <c r="CI8" s="73"/>
      <c r="CJ8" s="125"/>
      <c r="CK8" s="66">
        <v>790000</v>
      </c>
      <c r="CL8" s="73"/>
      <c r="CM8" s="66">
        <v>1405000</v>
      </c>
      <c r="CN8" s="73">
        <v>35000</v>
      </c>
      <c r="CO8" s="73"/>
      <c r="CP8" s="90"/>
      <c r="CQ8" s="68">
        <v>0</v>
      </c>
      <c r="CR8" s="69">
        <f t="shared" ref="CR8:CR24" si="32">SUM(AO8,AQ8,F8,P8,BS8,AM8,AA8,AE8,J8,AI8,V8,BA8,BE8,CE8,AW8,CA8,BW8)</f>
        <v>259.62979999999999</v>
      </c>
      <c r="CS8" s="69">
        <f t="shared" ref="CS8:CS24" si="33">SUM(AP8,AR8,G8,Q8,BN8,AZ8,M8,BT8,AN8,S8,AB8,AF8,K8,AJ8,BI8,W8,BB8,BF8,CF8,BP8,BL8,CG8,AT8,AV8,AX8,CB8,BX8)</f>
        <v>687.12559999999996</v>
      </c>
      <c r="CT8" s="70">
        <f t="shared" ref="CT8:CT24" si="34">(((CR8*$A$2)+(CS8*$A$3))*0.6)+((BJ8*$A$3)*0.75)</f>
        <v>2229424.9982399996</v>
      </c>
      <c r="CU8" s="70">
        <f t="shared" si="0"/>
        <v>1486283.3321599998</v>
      </c>
      <c r="CV8" s="70">
        <f t="shared" ref="CV8:CV24" si="35">CT8-CH8</f>
        <v>-575.00176000036299</v>
      </c>
      <c r="CW8" s="15" t="s">
        <v>123</v>
      </c>
      <c r="CX8" s="127">
        <v>103480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1"/>
        <v>0</v>
      </c>
      <c r="G9" s="98">
        <f t="shared" si="1"/>
        <v>0</v>
      </c>
      <c r="H9" s="98"/>
      <c r="I9" s="98"/>
      <c r="J9" s="98">
        <f t="shared" si="2"/>
        <v>0</v>
      </c>
      <c r="K9" s="98">
        <f t="shared" si="3"/>
        <v>0</v>
      </c>
      <c r="L9" s="103">
        <v>108.7</v>
      </c>
      <c r="M9" s="98">
        <f t="shared" si="4"/>
        <v>108.7</v>
      </c>
      <c r="N9" s="98"/>
      <c r="O9" s="98"/>
      <c r="P9" s="98">
        <f t="shared" si="5"/>
        <v>0</v>
      </c>
      <c r="Q9" s="98">
        <f t="shared" si="6"/>
        <v>0</v>
      </c>
      <c r="R9" s="103">
        <v>20.02</v>
      </c>
      <c r="S9" s="98">
        <f t="shared" si="7"/>
        <v>20.440419999999996</v>
      </c>
      <c r="T9" s="103">
        <v>1.62</v>
      </c>
      <c r="U9" s="98">
        <v>1.79</v>
      </c>
      <c r="V9" s="98">
        <f t="shared" si="8"/>
        <v>1.6524000000000001</v>
      </c>
      <c r="W9" s="98">
        <f t="shared" si="9"/>
        <v>1.8275899999999998</v>
      </c>
      <c r="X9" s="120">
        <v>0</v>
      </c>
      <c r="Y9" s="120">
        <v>18</v>
      </c>
      <c r="Z9" s="121"/>
      <c r="AA9" s="121">
        <f t="shared" si="10"/>
        <v>0</v>
      </c>
      <c r="AB9" s="121">
        <f t="shared" si="11"/>
        <v>13.5</v>
      </c>
      <c r="AC9" s="123">
        <v>0</v>
      </c>
      <c r="AD9" s="123">
        <v>0</v>
      </c>
      <c r="AE9" s="121">
        <f t="shared" si="12"/>
        <v>0</v>
      </c>
      <c r="AF9" s="121">
        <f t="shared" si="12"/>
        <v>0</v>
      </c>
      <c r="AG9" s="98"/>
      <c r="AH9" s="98"/>
      <c r="AI9" s="98">
        <f t="shared" si="13"/>
        <v>0</v>
      </c>
      <c r="AJ9" s="98">
        <f t="shared" si="13"/>
        <v>0</v>
      </c>
      <c r="AK9" s="103">
        <v>55.83</v>
      </c>
      <c r="AL9" s="98">
        <v>37.07</v>
      </c>
      <c r="AM9" s="98">
        <f t="shared" si="14"/>
        <v>56.946599999999997</v>
      </c>
      <c r="AN9" s="98">
        <f t="shared" si="15"/>
        <v>37.848469999999999</v>
      </c>
      <c r="AO9" s="98"/>
      <c r="AP9" s="98"/>
      <c r="AQ9" s="130"/>
      <c r="AR9" s="130"/>
      <c r="AS9" s="99"/>
      <c r="AT9" s="98">
        <f t="shared" si="16"/>
        <v>0</v>
      </c>
      <c r="AU9" s="98"/>
      <c r="AV9" s="98">
        <f t="shared" si="17"/>
        <v>0</v>
      </c>
      <c r="AW9" s="98">
        <v>12.34</v>
      </c>
      <c r="AX9" s="98">
        <v>27.16</v>
      </c>
      <c r="AY9" s="98"/>
      <c r="AZ9" s="98">
        <f t="shared" si="18"/>
        <v>0</v>
      </c>
      <c r="BA9" s="98"/>
      <c r="BB9" s="98"/>
      <c r="BC9" s="98"/>
      <c r="BD9" s="98"/>
      <c r="BE9" s="98">
        <f t="shared" si="19"/>
        <v>0</v>
      </c>
      <c r="BF9" s="98">
        <f t="shared" si="20"/>
        <v>0</v>
      </c>
      <c r="BG9" s="98">
        <v>36.97</v>
      </c>
      <c r="BH9" s="98">
        <v>2.2400000000000002</v>
      </c>
      <c r="BI9" s="98">
        <f t="shared" si="21"/>
        <v>37.746369999999999</v>
      </c>
      <c r="BJ9" s="98">
        <f t="shared" si="22"/>
        <v>2.2870400000000002</v>
      </c>
      <c r="BK9" s="98"/>
      <c r="BL9" s="98"/>
      <c r="BM9" s="98"/>
      <c r="BN9" s="98">
        <f t="shared" si="23"/>
        <v>0</v>
      </c>
      <c r="BO9" s="105">
        <v>68.349999999999994</v>
      </c>
      <c r="BP9" s="98">
        <f t="shared" si="24"/>
        <v>69.785349999999994</v>
      </c>
      <c r="BQ9" s="112">
        <v>0</v>
      </c>
      <c r="BR9" s="112">
        <v>0</v>
      </c>
      <c r="BS9" s="104">
        <f>(BQ9/$D$2)*$C$2</f>
        <v>0</v>
      </c>
      <c r="BT9" s="104">
        <f t="shared" si="26"/>
        <v>0</v>
      </c>
      <c r="BU9" s="105">
        <v>52.48</v>
      </c>
      <c r="BV9" s="105">
        <v>0</v>
      </c>
      <c r="BW9" s="142">
        <f t="shared" si="27"/>
        <v>65.075199999999995</v>
      </c>
      <c r="BX9" s="142">
        <f t="shared" si="28"/>
        <v>0</v>
      </c>
      <c r="BY9" s="110">
        <v>1.36</v>
      </c>
      <c r="BZ9" s="110">
        <v>3.04</v>
      </c>
      <c r="CA9" s="142">
        <f t="shared" si="29"/>
        <v>0.68</v>
      </c>
      <c r="CB9" s="142">
        <f t="shared" si="29"/>
        <v>1.52</v>
      </c>
      <c r="CC9" s="106"/>
      <c r="CD9" s="106"/>
      <c r="CE9" s="98">
        <f t="shared" si="30"/>
        <v>0</v>
      </c>
      <c r="CF9" s="107">
        <f t="shared" si="30"/>
        <v>0</v>
      </c>
      <c r="CG9" s="89"/>
      <c r="CH9" s="65">
        <f t="shared" si="31"/>
        <v>1080000</v>
      </c>
      <c r="CI9" s="73"/>
      <c r="CJ9" s="73"/>
      <c r="CK9" s="66">
        <v>650000</v>
      </c>
      <c r="CL9" s="73"/>
      <c r="CM9" s="66">
        <v>410000</v>
      </c>
      <c r="CN9" s="73">
        <v>20000</v>
      </c>
      <c r="CO9" s="73"/>
      <c r="CP9" s="90"/>
      <c r="CQ9" s="68">
        <v>0</v>
      </c>
      <c r="CR9" s="69">
        <f t="shared" si="32"/>
        <v>136.6942</v>
      </c>
      <c r="CS9" s="69">
        <f t="shared" si="33"/>
        <v>318.52819999999997</v>
      </c>
      <c r="CT9" s="70">
        <f t="shared" si="34"/>
        <v>1078466.3027999999</v>
      </c>
      <c r="CU9" s="70">
        <f t="shared" si="0"/>
        <v>716728.23135999998</v>
      </c>
      <c r="CV9" s="70">
        <f t="shared" si="35"/>
        <v>-1533.6972000000533</v>
      </c>
      <c r="CW9" s="87" t="s">
        <v>126</v>
      </c>
      <c r="CX9" s="87">
        <v>2830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1"/>
        <v>0</v>
      </c>
      <c r="G10" s="98">
        <f t="shared" si="1"/>
        <v>0</v>
      </c>
      <c r="H10" s="98">
        <v>118</v>
      </c>
      <c r="I10" s="98">
        <v>10</v>
      </c>
      <c r="J10" s="98">
        <f t="shared" si="2"/>
        <v>93.880800000000008</v>
      </c>
      <c r="K10" s="98">
        <f t="shared" si="3"/>
        <v>7.9638</v>
      </c>
      <c r="L10" s="103">
        <v>64.81</v>
      </c>
      <c r="M10" s="98">
        <f t="shared" si="4"/>
        <v>64.81</v>
      </c>
      <c r="N10" s="99"/>
      <c r="O10" s="99"/>
      <c r="P10" s="98">
        <f t="shared" si="5"/>
        <v>0</v>
      </c>
      <c r="Q10" s="98">
        <f t="shared" si="6"/>
        <v>0</v>
      </c>
      <c r="R10" s="103">
        <v>144.25</v>
      </c>
      <c r="S10" s="98">
        <f t="shared" si="7"/>
        <v>147.27924999999999</v>
      </c>
      <c r="T10" s="103">
        <v>13.39</v>
      </c>
      <c r="U10" s="98">
        <v>31.86</v>
      </c>
      <c r="V10" s="98">
        <f t="shared" si="8"/>
        <v>13.6578</v>
      </c>
      <c r="W10" s="98">
        <f t="shared" si="9"/>
        <v>32.529059999999994</v>
      </c>
      <c r="X10" s="120">
        <v>0</v>
      </c>
      <c r="Y10" s="120">
        <v>0</v>
      </c>
      <c r="Z10" s="119"/>
      <c r="AA10" s="121">
        <f t="shared" si="10"/>
        <v>0</v>
      </c>
      <c r="AB10" s="121">
        <f t="shared" si="11"/>
        <v>0</v>
      </c>
      <c r="AC10" s="122">
        <v>0</v>
      </c>
      <c r="AD10" s="122">
        <v>0</v>
      </c>
      <c r="AE10" s="121">
        <f t="shared" si="12"/>
        <v>0</v>
      </c>
      <c r="AF10" s="121">
        <f t="shared" si="12"/>
        <v>0</v>
      </c>
      <c r="AG10" s="98">
        <v>0</v>
      </c>
      <c r="AH10" s="98">
        <v>0</v>
      </c>
      <c r="AI10" s="98">
        <f t="shared" si="13"/>
        <v>0</v>
      </c>
      <c r="AJ10" s="98">
        <f t="shared" si="13"/>
        <v>0</v>
      </c>
      <c r="AK10" s="103">
        <v>59.03</v>
      </c>
      <c r="AL10" s="98">
        <v>107.93</v>
      </c>
      <c r="AM10" s="98">
        <f t="shared" si="14"/>
        <v>60.210599999999999</v>
      </c>
      <c r="AN10" s="98">
        <f t="shared" si="15"/>
        <v>110.19653</v>
      </c>
      <c r="AO10" s="98"/>
      <c r="AP10" s="98"/>
      <c r="AQ10" s="131">
        <v>0</v>
      </c>
      <c r="AR10" s="131"/>
      <c r="AS10" s="99"/>
      <c r="AT10" s="98">
        <f t="shared" si="16"/>
        <v>0</v>
      </c>
      <c r="AU10" s="99"/>
      <c r="AV10" s="98">
        <f t="shared" si="17"/>
        <v>0</v>
      </c>
      <c r="AW10" s="98">
        <v>54.52</v>
      </c>
      <c r="AX10" s="98">
        <v>50.85</v>
      </c>
      <c r="AY10" s="99"/>
      <c r="AZ10" s="98">
        <f t="shared" si="18"/>
        <v>0</v>
      </c>
      <c r="BA10" s="99"/>
      <c r="BB10" s="99"/>
      <c r="BC10" s="99"/>
      <c r="BD10" s="99"/>
      <c r="BE10" s="98">
        <f t="shared" si="19"/>
        <v>0</v>
      </c>
      <c r="BF10" s="98">
        <f t="shared" si="20"/>
        <v>0</v>
      </c>
      <c r="BG10" s="98">
        <v>53.58</v>
      </c>
      <c r="BH10" s="98">
        <v>11.24</v>
      </c>
      <c r="BI10" s="98">
        <f t="shared" si="21"/>
        <v>54.705179999999991</v>
      </c>
      <c r="BJ10" s="98">
        <f t="shared" si="22"/>
        <v>11.476039999999999</v>
      </c>
      <c r="BK10" s="99"/>
      <c r="BL10" s="99"/>
      <c r="BM10" s="98"/>
      <c r="BN10" s="98">
        <f t="shared" si="23"/>
        <v>0</v>
      </c>
      <c r="BO10" s="105">
        <v>48.18</v>
      </c>
      <c r="BP10" s="98">
        <f t="shared" si="24"/>
        <v>49.191779999999994</v>
      </c>
      <c r="BQ10" s="113"/>
      <c r="BR10" s="113"/>
      <c r="BS10" s="104">
        <f t="shared" si="25"/>
        <v>0</v>
      </c>
      <c r="BT10" s="104">
        <f t="shared" si="26"/>
        <v>0</v>
      </c>
      <c r="BU10" s="105">
        <v>0</v>
      </c>
      <c r="BV10" s="105">
        <v>0</v>
      </c>
      <c r="BW10" s="142">
        <f t="shared" si="27"/>
        <v>0</v>
      </c>
      <c r="BX10" s="142">
        <f t="shared" si="28"/>
        <v>0</v>
      </c>
      <c r="BY10" s="111"/>
      <c r="BZ10" s="111"/>
      <c r="CA10" s="142">
        <f t="shared" si="29"/>
        <v>0</v>
      </c>
      <c r="CB10" s="142">
        <f t="shared" si="29"/>
        <v>0</v>
      </c>
      <c r="CC10" s="109"/>
      <c r="CD10" s="109"/>
      <c r="CE10" s="98">
        <f t="shared" si="30"/>
        <v>0</v>
      </c>
      <c r="CF10" s="107">
        <f t="shared" si="30"/>
        <v>0</v>
      </c>
      <c r="CG10" s="89"/>
      <c r="CH10" s="65">
        <f t="shared" si="31"/>
        <v>1780000</v>
      </c>
      <c r="CI10" s="73"/>
      <c r="CJ10" s="73"/>
      <c r="CK10" s="66">
        <v>880000</v>
      </c>
      <c r="CL10" s="73"/>
      <c r="CM10" s="66">
        <v>900000</v>
      </c>
      <c r="CN10" s="73"/>
      <c r="CO10" s="73"/>
      <c r="CP10" s="90"/>
      <c r="CQ10" s="68">
        <v>0</v>
      </c>
      <c r="CR10" s="69">
        <f t="shared" si="32"/>
        <v>222.26920000000004</v>
      </c>
      <c r="CS10" s="69">
        <f>SUM(AP10,AR10,G10,Q10,BN10,AZ10,M10,BT10,AN10,S10,AB10,AF10,K10,AJ10,BI10,W10,BB10,BF10,CF10,BP10,BL10,CG10,AT10,AV10,AX10,CB10,BX10)</f>
        <v>517.52559999999994</v>
      </c>
      <c r="CT10" s="70">
        <f t="shared" si="34"/>
        <v>1775537.41026</v>
      </c>
      <c r="CU10" s="70">
        <f t="shared" si="0"/>
        <v>1172404.9215000002</v>
      </c>
      <c r="CV10" s="70">
        <f t="shared" si="35"/>
        <v>-4462.5897399999667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1"/>
        <v>0</v>
      </c>
      <c r="G11" s="98">
        <f t="shared" si="1"/>
        <v>0</v>
      </c>
      <c r="H11" s="98">
        <v>0</v>
      </c>
      <c r="I11" s="98">
        <v>0</v>
      </c>
      <c r="J11" s="98">
        <f t="shared" si="2"/>
        <v>0</v>
      </c>
      <c r="K11" s="98">
        <f t="shared" si="3"/>
        <v>0</v>
      </c>
      <c r="L11" s="103">
        <v>37.880000000000003</v>
      </c>
      <c r="M11" s="98">
        <f t="shared" si="4"/>
        <v>37.880000000000003</v>
      </c>
      <c r="N11" s="98"/>
      <c r="O11" s="98"/>
      <c r="P11" s="98">
        <f t="shared" si="5"/>
        <v>0</v>
      </c>
      <c r="Q11" s="98">
        <f t="shared" si="6"/>
        <v>0</v>
      </c>
      <c r="R11" s="103">
        <v>82.55</v>
      </c>
      <c r="S11" s="98">
        <f t="shared" si="7"/>
        <v>84.283549999999991</v>
      </c>
      <c r="T11" s="103">
        <v>21.58</v>
      </c>
      <c r="U11" s="98">
        <v>12.66</v>
      </c>
      <c r="V11" s="98">
        <f t="shared" si="8"/>
        <v>22.011599999999998</v>
      </c>
      <c r="W11" s="98">
        <f t="shared" si="9"/>
        <v>12.925859999999998</v>
      </c>
      <c r="X11" s="120">
        <v>0</v>
      </c>
      <c r="Y11" s="120">
        <v>0</v>
      </c>
      <c r="Z11" s="121"/>
      <c r="AA11" s="121">
        <f t="shared" si="10"/>
        <v>0</v>
      </c>
      <c r="AB11" s="121">
        <f t="shared" si="11"/>
        <v>0</v>
      </c>
      <c r="AC11" s="123">
        <v>0</v>
      </c>
      <c r="AD11" s="123">
        <v>0</v>
      </c>
      <c r="AE11" s="121">
        <f t="shared" si="12"/>
        <v>0</v>
      </c>
      <c r="AF11" s="121">
        <f t="shared" si="12"/>
        <v>0</v>
      </c>
      <c r="AG11" s="98"/>
      <c r="AH11" s="98"/>
      <c r="AI11" s="98">
        <f t="shared" si="13"/>
        <v>0</v>
      </c>
      <c r="AJ11" s="98">
        <f t="shared" si="13"/>
        <v>0</v>
      </c>
      <c r="AK11" s="103">
        <v>78.08</v>
      </c>
      <c r="AL11" s="98">
        <v>97.05</v>
      </c>
      <c r="AM11" s="98">
        <f t="shared" si="14"/>
        <v>79.641599999999997</v>
      </c>
      <c r="AN11" s="98">
        <f t="shared" si="15"/>
        <v>99.088049999999981</v>
      </c>
      <c r="AO11" s="98"/>
      <c r="AP11" s="98"/>
      <c r="AQ11" s="131">
        <v>0</v>
      </c>
      <c r="AR11" s="131">
        <v>22.84</v>
      </c>
      <c r="AS11" s="99"/>
      <c r="AT11" s="98">
        <f t="shared" si="16"/>
        <v>0</v>
      </c>
      <c r="AU11" s="98"/>
      <c r="AV11" s="98">
        <f t="shared" si="17"/>
        <v>0</v>
      </c>
      <c r="AW11" s="98">
        <v>51.12</v>
      </c>
      <c r="AX11" s="98">
        <v>42.12</v>
      </c>
      <c r="AY11" s="98"/>
      <c r="AZ11" s="98">
        <f t="shared" si="18"/>
        <v>0</v>
      </c>
      <c r="BA11" s="98"/>
      <c r="BB11" s="98"/>
      <c r="BC11" s="98"/>
      <c r="BD11" s="98"/>
      <c r="BE11" s="98">
        <f t="shared" si="19"/>
        <v>0</v>
      </c>
      <c r="BF11" s="98">
        <f t="shared" si="20"/>
        <v>0</v>
      </c>
      <c r="BG11" s="98">
        <v>40.520000000000003</v>
      </c>
      <c r="BH11" s="98">
        <v>20.55</v>
      </c>
      <c r="BI11" s="98">
        <f t="shared" si="21"/>
        <v>41.370919999999998</v>
      </c>
      <c r="BJ11" s="98">
        <f t="shared" si="22"/>
        <v>20.981549999999999</v>
      </c>
      <c r="BK11" s="98"/>
      <c r="BL11" s="98"/>
      <c r="BM11" s="98"/>
      <c r="BN11" s="98">
        <f t="shared" si="23"/>
        <v>0</v>
      </c>
      <c r="BO11" s="105">
        <v>33.229999999999997</v>
      </c>
      <c r="BP11" s="98">
        <f t="shared" si="24"/>
        <v>33.927829999999993</v>
      </c>
      <c r="BQ11" s="112">
        <v>0</v>
      </c>
      <c r="BR11" s="112">
        <v>0</v>
      </c>
      <c r="BS11" s="104">
        <f t="shared" si="25"/>
        <v>0</v>
      </c>
      <c r="BT11" s="104">
        <f t="shared" si="26"/>
        <v>0</v>
      </c>
      <c r="BU11" s="105">
        <v>24.18</v>
      </c>
      <c r="BV11" s="105">
        <v>0.75</v>
      </c>
      <c r="BW11" s="142">
        <f t="shared" si="27"/>
        <v>29.9832</v>
      </c>
      <c r="BX11" s="142">
        <f t="shared" si="28"/>
        <v>0.92999999999999994</v>
      </c>
      <c r="BY11" s="110">
        <v>0</v>
      </c>
      <c r="BZ11" s="110">
        <v>0</v>
      </c>
      <c r="CA11" s="142">
        <f t="shared" si="29"/>
        <v>0</v>
      </c>
      <c r="CB11" s="142">
        <f t="shared" si="29"/>
        <v>0</v>
      </c>
      <c r="CC11" s="106"/>
      <c r="CD11" s="106"/>
      <c r="CE11" s="98">
        <f t="shared" si="30"/>
        <v>0</v>
      </c>
      <c r="CF11" s="107">
        <f t="shared" si="30"/>
        <v>0</v>
      </c>
      <c r="CG11" s="89"/>
      <c r="CH11" s="65">
        <f t="shared" si="31"/>
        <v>1380000</v>
      </c>
      <c r="CI11" s="73"/>
      <c r="CJ11" s="73"/>
      <c r="CK11" s="66">
        <v>780000</v>
      </c>
      <c r="CL11" s="73"/>
      <c r="CM11" s="66">
        <v>600000</v>
      </c>
      <c r="CN11" s="73"/>
      <c r="CO11" s="73"/>
      <c r="CP11" s="90"/>
      <c r="CQ11" s="68">
        <v>0</v>
      </c>
      <c r="CR11" s="69">
        <f t="shared" si="32"/>
        <v>182.75640000000001</v>
      </c>
      <c r="CS11" s="69">
        <f t="shared" si="33"/>
        <v>375.36620999999997</v>
      </c>
      <c r="CT11" s="70">
        <f t="shared" si="34"/>
        <v>1375570.441359</v>
      </c>
      <c r="CU11" s="70">
        <f t="shared" si="0"/>
        <v>896411.60648100008</v>
      </c>
      <c r="CV11" s="70">
        <f t="shared" si="35"/>
        <v>-4429.5586409999523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3</v>
      </c>
      <c r="E12" s="102">
        <v>13.4</v>
      </c>
      <c r="F12" s="98">
        <f t="shared" si="1"/>
        <v>1.7999999999999998</v>
      </c>
      <c r="G12" s="98">
        <f t="shared" si="1"/>
        <v>8.0399999999999991</v>
      </c>
      <c r="H12" s="98"/>
      <c r="I12" s="98"/>
      <c r="J12" s="98">
        <f t="shared" si="2"/>
        <v>0</v>
      </c>
      <c r="K12" s="98">
        <f t="shared" si="3"/>
        <v>0</v>
      </c>
      <c r="L12" s="103">
        <v>74.98</v>
      </c>
      <c r="M12" s="98">
        <f t="shared" si="4"/>
        <v>74.98</v>
      </c>
      <c r="N12" s="99"/>
      <c r="O12" s="99"/>
      <c r="P12" s="98">
        <f t="shared" si="5"/>
        <v>0</v>
      </c>
      <c r="Q12" s="98">
        <f t="shared" si="6"/>
        <v>0</v>
      </c>
      <c r="R12" s="103">
        <v>29.93</v>
      </c>
      <c r="S12" s="98">
        <f t="shared" si="7"/>
        <v>30.558529999999998</v>
      </c>
      <c r="T12" s="103">
        <v>6.27</v>
      </c>
      <c r="U12" s="98">
        <v>3.63</v>
      </c>
      <c r="V12" s="98">
        <f t="shared" si="8"/>
        <v>6.3953999999999995</v>
      </c>
      <c r="W12" s="98">
        <f t="shared" si="9"/>
        <v>3.7062299999999997</v>
      </c>
      <c r="X12" s="120">
        <v>788</v>
      </c>
      <c r="Y12" s="120">
        <v>609</v>
      </c>
      <c r="Z12" s="119"/>
      <c r="AA12" s="121">
        <f t="shared" si="10"/>
        <v>591</v>
      </c>
      <c r="AB12" s="121">
        <f t="shared" si="11"/>
        <v>456.75</v>
      </c>
      <c r="AC12" s="119"/>
      <c r="AD12" s="119"/>
      <c r="AE12" s="121">
        <f t="shared" si="12"/>
        <v>0</v>
      </c>
      <c r="AF12" s="121">
        <f t="shared" si="12"/>
        <v>0</v>
      </c>
      <c r="AG12" s="98"/>
      <c r="AH12" s="98"/>
      <c r="AI12" s="98">
        <f t="shared" si="13"/>
        <v>0</v>
      </c>
      <c r="AJ12" s="98">
        <f t="shared" si="13"/>
        <v>0</v>
      </c>
      <c r="AK12" s="103">
        <v>8.76</v>
      </c>
      <c r="AL12" s="98">
        <v>11.98</v>
      </c>
      <c r="AM12" s="98">
        <f t="shared" si="14"/>
        <v>8.9352</v>
      </c>
      <c r="AN12" s="98">
        <f t="shared" si="15"/>
        <v>12.231579999999999</v>
      </c>
      <c r="AO12" s="98"/>
      <c r="AP12" s="98"/>
      <c r="AQ12" s="131">
        <v>0</v>
      </c>
      <c r="AR12" s="131"/>
      <c r="AS12" s="99"/>
      <c r="AT12" s="98">
        <f t="shared" si="16"/>
        <v>0</v>
      </c>
      <c r="AU12" s="99">
        <v>26.6</v>
      </c>
      <c r="AV12" s="98">
        <f>AU12*$C$3</f>
        <v>27.1586</v>
      </c>
      <c r="AW12" s="98">
        <v>22.81</v>
      </c>
      <c r="AX12" s="98">
        <v>21.96</v>
      </c>
      <c r="AY12" s="99"/>
      <c r="AZ12" s="98">
        <f t="shared" si="18"/>
        <v>0</v>
      </c>
      <c r="BA12" s="99"/>
      <c r="BB12" s="99"/>
      <c r="BC12" s="99"/>
      <c r="BD12" s="99"/>
      <c r="BE12" s="98">
        <f t="shared" si="19"/>
        <v>0</v>
      </c>
      <c r="BF12" s="98">
        <f t="shared" si="20"/>
        <v>0</v>
      </c>
      <c r="BG12" s="98">
        <v>25.09</v>
      </c>
      <c r="BH12" s="98">
        <v>1.05</v>
      </c>
      <c r="BI12" s="98">
        <f t="shared" si="21"/>
        <v>25.616889999999998</v>
      </c>
      <c r="BJ12" s="98">
        <f t="shared" si="22"/>
        <v>1.0720499999999999</v>
      </c>
      <c r="BK12" s="99"/>
      <c r="BL12" s="99"/>
      <c r="BM12" s="98"/>
      <c r="BN12" s="98">
        <f t="shared" si="23"/>
        <v>0</v>
      </c>
      <c r="BO12" s="105">
        <v>16.8</v>
      </c>
      <c r="BP12" s="98">
        <f t="shared" si="24"/>
        <v>17.152799999999999</v>
      </c>
      <c r="BQ12" s="113"/>
      <c r="BR12" s="113"/>
      <c r="BS12" s="104">
        <f t="shared" si="25"/>
        <v>0</v>
      </c>
      <c r="BT12" s="104">
        <f t="shared" si="26"/>
        <v>0</v>
      </c>
      <c r="BU12" s="105">
        <v>0</v>
      </c>
      <c r="BV12" s="105">
        <v>0</v>
      </c>
      <c r="BW12" s="142">
        <f t="shared" si="27"/>
        <v>0</v>
      </c>
      <c r="BX12" s="142">
        <f t="shared" si="28"/>
        <v>0</v>
      </c>
      <c r="BY12" s="111"/>
      <c r="BZ12" s="111"/>
      <c r="CA12" s="142">
        <f t="shared" si="29"/>
        <v>0</v>
      </c>
      <c r="CB12" s="142">
        <f t="shared" si="29"/>
        <v>0</v>
      </c>
      <c r="CC12" s="109"/>
      <c r="CD12" s="109"/>
      <c r="CE12" s="98">
        <f t="shared" si="30"/>
        <v>0</v>
      </c>
      <c r="CF12" s="107">
        <f t="shared" si="30"/>
        <v>0</v>
      </c>
      <c r="CG12" s="89"/>
      <c r="CH12" s="65">
        <f t="shared" si="31"/>
        <v>3080000</v>
      </c>
      <c r="CI12" s="73"/>
      <c r="CJ12" s="73"/>
      <c r="CK12" s="66">
        <v>1710000</v>
      </c>
      <c r="CL12" s="73"/>
      <c r="CM12" s="66">
        <v>1370000</v>
      </c>
      <c r="CN12" s="73"/>
      <c r="CO12" s="73"/>
      <c r="CP12" s="90"/>
      <c r="CQ12" s="68">
        <v>0</v>
      </c>
      <c r="CR12" s="69">
        <f t="shared" si="32"/>
        <v>630.9405999999999</v>
      </c>
      <c r="CS12" s="69">
        <f t="shared" si="33"/>
        <v>678.15463</v>
      </c>
      <c r="CT12" s="70">
        <f t="shared" si="34"/>
        <v>3080280.2761769998</v>
      </c>
      <c r="CU12" s="70">
        <f t="shared" si="0"/>
        <v>2052465.8229429999</v>
      </c>
      <c r="CV12" s="70">
        <f t="shared" si="35"/>
        <v>280.27617699978873</v>
      </c>
      <c r="CW12" s="67" t="s">
        <v>135</v>
      </c>
      <c r="CX12" s="116">
        <v>250000</v>
      </c>
    </row>
    <row r="13" spans="1:102">
      <c r="A13" s="18"/>
      <c r="B13" s="94" t="s">
        <v>136</v>
      </c>
      <c r="C13" s="92" t="s">
        <v>137</v>
      </c>
      <c r="D13" s="102">
        <v>0</v>
      </c>
      <c r="E13" s="102">
        <v>0</v>
      </c>
      <c r="F13" s="98">
        <f t="shared" si="1"/>
        <v>0</v>
      </c>
      <c r="G13" s="98">
        <f t="shared" si="1"/>
        <v>0</v>
      </c>
      <c r="H13" s="110"/>
      <c r="I13" s="110"/>
      <c r="J13" s="98">
        <f t="shared" si="2"/>
        <v>0</v>
      </c>
      <c r="K13" s="98">
        <f t="shared" si="3"/>
        <v>0</v>
      </c>
      <c r="L13" s="103">
        <v>35.94</v>
      </c>
      <c r="M13" s="98">
        <f t="shared" si="4"/>
        <v>35.94</v>
      </c>
      <c r="N13" s="98"/>
      <c r="O13" s="98"/>
      <c r="P13" s="98">
        <f t="shared" si="5"/>
        <v>0</v>
      </c>
      <c r="Q13" s="98">
        <f t="shared" si="6"/>
        <v>0</v>
      </c>
      <c r="R13" s="103">
        <v>10.91</v>
      </c>
      <c r="S13" s="98">
        <f t="shared" si="7"/>
        <v>11.139109999999999</v>
      </c>
      <c r="T13" s="103">
        <v>14.1</v>
      </c>
      <c r="U13" s="98">
        <v>3.94</v>
      </c>
      <c r="V13" s="98">
        <f t="shared" si="8"/>
        <v>14.382</v>
      </c>
      <c r="W13" s="98">
        <f t="shared" si="9"/>
        <v>4.0227399999999998</v>
      </c>
      <c r="X13" s="120"/>
      <c r="Y13" s="120"/>
      <c r="Z13" s="110"/>
      <c r="AA13" s="121">
        <f t="shared" si="10"/>
        <v>0</v>
      </c>
      <c r="AB13" s="121">
        <f t="shared" si="11"/>
        <v>0</v>
      </c>
      <c r="AC13" s="110"/>
      <c r="AD13" s="110"/>
      <c r="AE13" s="121">
        <f t="shared" si="12"/>
        <v>0</v>
      </c>
      <c r="AF13" s="121">
        <f t="shared" si="12"/>
        <v>0</v>
      </c>
      <c r="AG13" s="98"/>
      <c r="AH13" s="98"/>
      <c r="AI13" s="98">
        <f t="shared" si="13"/>
        <v>0</v>
      </c>
      <c r="AJ13" s="98">
        <f t="shared" si="13"/>
        <v>0</v>
      </c>
      <c r="AK13" s="103">
        <v>38.950000000000003</v>
      </c>
      <c r="AL13" s="98">
        <v>17.670000000000002</v>
      </c>
      <c r="AM13" s="98">
        <f t="shared" si="14"/>
        <v>39.729000000000006</v>
      </c>
      <c r="AN13" s="98">
        <f t="shared" si="15"/>
        <v>18.041070000000001</v>
      </c>
      <c r="AO13" s="98"/>
      <c r="AP13" s="98"/>
      <c r="AQ13" s="131"/>
      <c r="AR13" s="131"/>
      <c r="AS13" s="99"/>
      <c r="AT13" s="98">
        <f t="shared" si="16"/>
        <v>0</v>
      </c>
      <c r="AU13" s="99">
        <v>11.3</v>
      </c>
      <c r="AV13" s="98">
        <f t="shared" si="17"/>
        <v>11.5373</v>
      </c>
      <c r="AW13" s="98">
        <v>7.89</v>
      </c>
      <c r="AX13" s="98">
        <v>0.48</v>
      </c>
      <c r="AY13" s="101"/>
      <c r="AZ13" s="98">
        <f t="shared" si="18"/>
        <v>0</v>
      </c>
      <c r="BA13" s="98"/>
      <c r="BB13" s="98"/>
      <c r="BC13" s="99"/>
      <c r="BD13" s="99"/>
      <c r="BE13" s="98">
        <f t="shared" si="19"/>
        <v>0</v>
      </c>
      <c r="BF13" s="98">
        <f t="shared" si="20"/>
        <v>0</v>
      </c>
      <c r="BG13" s="98">
        <v>22.53</v>
      </c>
      <c r="BH13" s="98">
        <v>0</v>
      </c>
      <c r="BI13" s="98">
        <f t="shared" si="21"/>
        <v>23.003129999999999</v>
      </c>
      <c r="BJ13" s="98">
        <f t="shared" si="22"/>
        <v>0</v>
      </c>
      <c r="BK13" s="100"/>
      <c r="BL13" s="100"/>
      <c r="BM13" s="98"/>
      <c r="BN13" s="98">
        <f t="shared" si="23"/>
        <v>0</v>
      </c>
      <c r="BO13" s="105">
        <v>5.14</v>
      </c>
      <c r="BP13" s="98">
        <f t="shared" si="24"/>
        <v>5.2479399999999989</v>
      </c>
      <c r="BQ13" s="112"/>
      <c r="BR13" s="112"/>
      <c r="BS13" s="104">
        <f t="shared" si="25"/>
        <v>0</v>
      </c>
      <c r="BT13" s="104">
        <f t="shared" si="26"/>
        <v>0</v>
      </c>
      <c r="BU13" s="105">
        <v>2.5</v>
      </c>
      <c r="BV13" s="105">
        <v>0</v>
      </c>
      <c r="BW13" s="142">
        <f t="shared" si="27"/>
        <v>3.1</v>
      </c>
      <c r="BX13" s="142">
        <f t="shared" si="28"/>
        <v>0</v>
      </c>
      <c r="BY13" s="110">
        <v>1.02</v>
      </c>
      <c r="BZ13" s="110">
        <v>0.85</v>
      </c>
      <c r="CA13" s="142">
        <f t="shared" si="29"/>
        <v>0.51</v>
      </c>
      <c r="CB13" s="142">
        <f t="shared" si="29"/>
        <v>0.42499999999999999</v>
      </c>
      <c r="CC13" s="106"/>
      <c r="CD13" s="106"/>
      <c r="CE13" s="98">
        <f t="shared" si="30"/>
        <v>0</v>
      </c>
      <c r="CF13" s="107">
        <f t="shared" si="30"/>
        <v>0</v>
      </c>
      <c r="CG13" s="81"/>
      <c r="CH13" s="65">
        <f t="shared" si="31"/>
        <v>415000</v>
      </c>
      <c r="CI13" s="74"/>
      <c r="CJ13" s="74"/>
      <c r="CK13" s="54">
        <v>300000</v>
      </c>
      <c r="CL13" s="74"/>
      <c r="CM13" s="54">
        <v>115000</v>
      </c>
      <c r="CN13" s="74"/>
      <c r="CO13" s="74"/>
      <c r="CP13" s="90"/>
      <c r="CQ13" s="68">
        <v>0</v>
      </c>
      <c r="CR13" s="69">
        <f t="shared" si="32"/>
        <v>65.611000000000004</v>
      </c>
      <c r="CS13" s="69">
        <f t="shared" si="33"/>
        <v>109.83629000000001</v>
      </c>
      <c r="CT13" s="70">
        <f t="shared" si="34"/>
        <v>412787.31891600002</v>
      </c>
      <c r="CU13" s="70">
        <f t="shared" si="0"/>
        <v>275191.54594400007</v>
      </c>
      <c r="CV13" s="70">
        <f t="shared" si="35"/>
        <v>-2212.6810839999816</v>
      </c>
      <c r="CW13" s="91" t="s">
        <v>138</v>
      </c>
      <c r="CX13" s="117">
        <v>0</v>
      </c>
    </row>
    <row r="14" spans="1:102">
      <c r="A14" s="18"/>
      <c r="B14" s="94" t="s">
        <v>139</v>
      </c>
      <c r="C14" s="92" t="s">
        <v>140</v>
      </c>
      <c r="D14" s="102">
        <v>23</v>
      </c>
      <c r="E14" s="102">
        <v>1.1000000000000001</v>
      </c>
      <c r="F14" s="98">
        <f t="shared" si="1"/>
        <v>13.799999999999999</v>
      </c>
      <c r="G14" s="98">
        <f t="shared" si="1"/>
        <v>0.66</v>
      </c>
      <c r="H14" s="119">
        <v>105</v>
      </c>
      <c r="I14" s="119">
        <v>12</v>
      </c>
      <c r="J14" s="98">
        <f t="shared" si="2"/>
        <v>83.538000000000011</v>
      </c>
      <c r="K14" s="98">
        <f t="shared" si="3"/>
        <v>9.5565599999999993</v>
      </c>
      <c r="L14" s="103">
        <v>5.42</v>
      </c>
      <c r="M14" s="98">
        <f t="shared" si="4"/>
        <v>5.42</v>
      </c>
      <c r="N14" s="98"/>
      <c r="O14" s="98"/>
      <c r="P14" s="98">
        <f t="shared" si="5"/>
        <v>0</v>
      </c>
      <c r="Q14" s="98">
        <f t="shared" si="6"/>
        <v>0</v>
      </c>
      <c r="R14" s="103">
        <v>21.93</v>
      </c>
      <c r="S14" s="98">
        <f t="shared" si="7"/>
        <v>22.390529999999998</v>
      </c>
      <c r="T14" s="103">
        <v>2.5</v>
      </c>
      <c r="U14" s="98">
        <v>3.66</v>
      </c>
      <c r="V14" s="98">
        <f t="shared" si="8"/>
        <v>2.5499999999999998</v>
      </c>
      <c r="W14" s="98">
        <f t="shared" si="9"/>
        <v>3.7368599999999996</v>
      </c>
      <c r="X14" s="120">
        <v>0</v>
      </c>
      <c r="Y14" s="120">
        <v>0</v>
      </c>
      <c r="Z14" s="110"/>
      <c r="AA14" s="121">
        <f t="shared" si="10"/>
        <v>0</v>
      </c>
      <c r="AB14" s="121">
        <f t="shared" si="11"/>
        <v>0</v>
      </c>
      <c r="AC14" s="110"/>
      <c r="AD14" s="110"/>
      <c r="AE14" s="121">
        <f t="shared" si="12"/>
        <v>0</v>
      </c>
      <c r="AF14" s="121">
        <f t="shared" si="12"/>
        <v>0</v>
      </c>
      <c r="AG14" s="98"/>
      <c r="AH14" s="98"/>
      <c r="AI14" s="98">
        <f t="shared" si="13"/>
        <v>0</v>
      </c>
      <c r="AJ14" s="98">
        <f t="shared" si="13"/>
        <v>0</v>
      </c>
      <c r="AK14" s="103">
        <v>58.72</v>
      </c>
      <c r="AL14" s="98">
        <v>78.33</v>
      </c>
      <c r="AM14" s="98">
        <f t="shared" si="14"/>
        <v>59.894399999999997</v>
      </c>
      <c r="AN14" s="98">
        <f t="shared" si="15"/>
        <v>79.974929999999986</v>
      </c>
      <c r="AO14" s="98"/>
      <c r="AP14" s="98"/>
      <c r="AQ14" s="131">
        <v>11.32</v>
      </c>
      <c r="AR14" s="131">
        <v>0.84</v>
      </c>
      <c r="AS14" s="99"/>
      <c r="AT14" s="98">
        <f t="shared" si="16"/>
        <v>0</v>
      </c>
      <c r="AU14" s="99">
        <v>47.3</v>
      </c>
      <c r="AV14" s="98">
        <f t="shared" si="17"/>
        <v>48.293299999999995</v>
      </c>
      <c r="AW14" s="98">
        <v>93.02</v>
      </c>
      <c r="AX14" s="98">
        <v>9.41</v>
      </c>
      <c r="AY14" s="101"/>
      <c r="AZ14" s="98">
        <f t="shared" si="18"/>
        <v>0</v>
      </c>
      <c r="BA14" s="98"/>
      <c r="BB14" s="98"/>
      <c r="BC14" s="99"/>
      <c r="BD14" s="99"/>
      <c r="BE14" s="98">
        <f t="shared" si="19"/>
        <v>0</v>
      </c>
      <c r="BF14" s="98">
        <f t="shared" si="20"/>
        <v>0</v>
      </c>
      <c r="BG14" s="98">
        <v>42.19</v>
      </c>
      <c r="BH14" s="98">
        <v>3.36</v>
      </c>
      <c r="BI14" s="98">
        <f t="shared" si="21"/>
        <v>43.07598999999999</v>
      </c>
      <c r="BJ14" s="98">
        <f t="shared" si="22"/>
        <v>3.4305599999999994</v>
      </c>
      <c r="BK14" s="100"/>
      <c r="BL14" s="100"/>
      <c r="BM14" s="98">
        <v>0</v>
      </c>
      <c r="BN14" s="98">
        <f t="shared" si="23"/>
        <v>0</v>
      </c>
      <c r="BO14" s="105">
        <v>9.2899999999999991</v>
      </c>
      <c r="BP14" s="98">
        <f t="shared" si="24"/>
        <v>9.4850899999999978</v>
      </c>
      <c r="BQ14" s="112"/>
      <c r="BR14" s="112"/>
      <c r="BS14" s="104">
        <f t="shared" si="25"/>
        <v>0</v>
      </c>
      <c r="BT14" s="104">
        <f t="shared" si="26"/>
        <v>0</v>
      </c>
      <c r="BU14" s="105">
        <v>0</v>
      </c>
      <c r="BV14" s="105">
        <v>0</v>
      </c>
      <c r="BW14" s="142">
        <f t="shared" si="27"/>
        <v>0</v>
      </c>
      <c r="BX14" s="142">
        <f t="shared" si="28"/>
        <v>0</v>
      </c>
      <c r="BY14" s="110"/>
      <c r="BZ14" s="110"/>
      <c r="CA14" s="142">
        <f t="shared" si="29"/>
        <v>0</v>
      </c>
      <c r="CB14" s="142">
        <f t="shared" si="29"/>
        <v>0</v>
      </c>
      <c r="CC14" s="106"/>
      <c r="CD14" s="106"/>
      <c r="CE14" s="98">
        <f t="shared" si="30"/>
        <v>0</v>
      </c>
      <c r="CF14" s="107">
        <f t="shared" si="30"/>
        <v>0</v>
      </c>
      <c r="CG14" s="81"/>
      <c r="CH14" s="65">
        <f t="shared" si="31"/>
        <v>1180000</v>
      </c>
      <c r="CI14" s="74"/>
      <c r="CJ14" s="74"/>
      <c r="CK14" s="54">
        <v>820000</v>
      </c>
      <c r="CL14" s="74"/>
      <c r="CM14" s="54">
        <v>360000</v>
      </c>
      <c r="CN14" s="74"/>
      <c r="CO14" s="74"/>
      <c r="CP14" s="90"/>
      <c r="CQ14" s="68">
        <v>0</v>
      </c>
      <c r="CR14" s="69">
        <f t="shared" si="32"/>
        <v>264.12240000000003</v>
      </c>
      <c r="CS14" s="69">
        <f t="shared" si="33"/>
        <v>232.84325999999996</v>
      </c>
      <c r="CT14" s="70">
        <f t="shared" si="34"/>
        <v>1177771.5141839997</v>
      </c>
      <c r="CU14" s="70">
        <f t="shared" si="0"/>
        <v>781807.05369600002</v>
      </c>
      <c r="CV14" s="70">
        <f t="shared" si="35"/>
        <v>-2228.4858160002623</v>
      </c>
      <c r="CW14" s="55" t="s">
        <v>141</v>
      </c>
      <c r="CX14" s="118">
        <f>140000+140000+200000+200000+200000</f>
        <v>880000</v>
      </c>
    </row>
    <row r="15" spans="1:102">
      <c r="A15" s="18"/>
      <c r="B15" s="94" t="s">
        <v>142</v>
      </c>
      <c r="C15" s="92" t="s">
        <v>143</v>
      </c>
      <c r="D15" s="102">
        <v>0</v>
      </c>
      <c r="E15" s="102">
        <v>0</v>
      </c>
      <c r="F15" s="98">
        <f t="shared" si="1"/>
        <v>0</v>
      </c>
      <c r="G15" s="98">
        <f t="shared" si="1"/>
        <v>0</v>
      </c>
      <c r="H15" s="119"/>
      <c r="I15" s="119"/>
      <c r="J15" s="98">
        <f t="shared" si="2"/>
        <v>0</v>
      </c>
      <c r="K15" s="98">
        <f t="shared" si="3"/>
        <v>0</v>
      </c>
      <c r="L15" s="103">
        <v>0</v>
      </c>
      <c r="M15" s="98">
        <f t="shared" si="4"/>
        <v>0</v>
      </c>
      <c r="N15" s="98">
        <v>0</v>
      </c>
      <c r="O15" s="98">
        <v>0</v>
      </c>
      <c r="P15" s="98">
        <f t="shared" si="5"/>
        <v>0</v>
      </c>
      <c r="Q15" s="98">
        <f t="shared" si="6"/>
        <v>0</v>
      </c>
      <c r="R15" s="103">
        <v>0</v>
      </c>
      <c r="S15" s="98">
        <f t="shared" si="7"/>
        <v>0</v>
      </c>
      <c r="T15" s="103">
        <v>0</v>
      </c>
      <c r="U15" s="98">
        <v>0</v>
      </c>
      <c r="V15" s="98">
        <f t="shared" si="8"/>
        <v>0</v>
      </c>
      <c r="W15" s="98">
        <f t="shared" si="9"/>
        <v>0</v>
      </c>
      <c r="X15" s="120">
        <v>0</v>
      </c>
      <c r="Y15" s="120">
        <v>0</v>
      </c>
      <c r="Z15" s="110"/>
      <c r="AA15" s="121">
        <f t="shared" si="10"/>
        <v>0</v>
      </c>
      <c r="AB15" s="121">
        <f t="shared" si="11"/>
        <v>0</v>
      </c>
      <c r="AC15" s="110"/>
      <c r="AD15" s="110"/>
      <c r="AE15" s="121">
        <f t="shared" si="12"/>
        <v>0</v>
      </c>
      <c r="AF15" s="121">
        <f t="shared" si="12"/>
        <v>0</v>
      </c>
      <c r="AG15" s="98"/>
      <c r="AH15" s="98"/>
      <c r="AI15" s="98">
        <f t="shared" si="13"/>
        <v>0</v>
      </c>
      <c r="AJ15" s="98">
        <f t="shared" si="13"/>
        <v>0</v>
      </c>
      <c r="AK15" s="103">
        <v>0.14000000000000001</v>
      </c>
      <c r="AL15" s="98">
        <v>0.08</v>
      </c>
      <c r="AM15" s="98">
        <f t="shared" si="14"/>
        <v>0.14280000000000001</v>
      </c>
      <c r="AN15" s="98">
        <f t="shared" si="15"/>
        <v>8.1679999999999989E-2</v>
      </c>
      <c r="AO15" s="98"/>
      <c r="AP15" s="98"/>
      <c r="AQ15" s="131">
        <v>0</v>
      </c>
      <c r="AR15" s="131"/>
      <c r="AS15" s="99"/>
      <c r="AT15" s="98">
        <f t="shared" si="16"/>
        <v>0</v>
      </c>
      <c r="AU15" s="99">
        <v>0</v>
      </c>
      <c r="AV15" s="98">
        <f t="shared" si="17"/>
        <v>0</v>
      </c>
      <c r="AW15" s="98">
        <v>0</v>
      </c>
      <c r="AX15" s="98">
        <v>0</v>
      </c>
      <c r="AY15" s="101"/>
      <c r="AZ15" s="98">
        <f t="shared" si="18"/>
        <v>0</v>
      </c>
      <c r="BA15" s="98"/>
      <c r="BB15" s="98"/>
      <c r="BC15" s="99"/>
      <c r="BD15" s="99"/>
      <c r="BE15" s="98">
        <f t="shared" si="19"/>
        <v>0</v>
      </c>
      <c r="BF15" s="98">
        <f t="shared" si="20"/>
        <v>0</v>
      </c>
      <c r="BG15" s="98"/>
      <c r="BH15" s="98"/>
      <c r="BI15" s="98">
        <f t="shared" si="21"/>
        <v>0</v>
      </c>
      <c r="BJ15" s="98">
        <f t="shared" si="22"/>
        <v>0</v>
      </c>
      <c r="BK15" s="100"/>
      <c r="BL15" s="100"/>
      <c r="BM15" s="98"/>
      <c r="BN15" s="98">
        <f t="shared" si="23"/>
        <v>0</v>
      </c>
      <c r="BO15" s="105">
        <v>0</v>
      </c>
      <c r="BP15" s="98">
        <f t="shared" si="24"/>
        <v>0</v>
      </c>
      <c r="BQ15" s="112"/>
      <c r="BR15" s="112"/>
      <c r="BS15" s="104">
        <f t="shared" si="25"/>
        <v>0</v>
      </c>
      <c r="BT15" s="104">
        <f t="shared" si="26"/>
        <v>0</v>
      </c>
      <c r="BU15" s="105">
        <v>0</v>
      </c>
      <c r="BV15" s="105">
        <v>0</v>
      </c>
      <c r="BW15" s="142">
        <f t="shared" si="27"/>
        <v>0</v>
      </c>
      <c r="BX15" s="142">
        <f t="shared" si="28"/>
        <v>0</v>
      </c>
      <c r="BY15" s="110"/>
      <c r="BZ15" s="110"/>
      <c r="CA15" s="142">
        <f t="shared" si="29"/>
        <v>0</v>
      </c>
      <c r="CB15" s="142">
        <f t="shared" si="29"/>
        <v>0</v>
      </c>
      <c r="CC15" s="106"/>
      <c r="CD15" s="106"/>
      <c r="CE15" s="98">
        <f t="shared" si="30"/>
        <v>0</v>
      </c>
      <c r="CF15" s="107">
        <f t="shared" si="30"/>
        <v>0</v>
      </c>
      <c r="CG15" s="81"/>
      <c r="CH15" s="65">
        <f t="shared" si="31"/>
        <v>0</v>
      </c>
      <c r="CI15" s="74"/>
      <c r="CJ15" s="74"/>
      <c r="CK15" s="54"/>
      <c r="CL15" s="74"/>
      <c r="CM15" s="54"/>
      <c r="CN15" s="74"/>
      <c r="CO15" s="74"/>
      <c r="CP15" s="90"/>
      <c r="CQ15" s="68">
        <v>0</v>
      </c>
      <c r="CR15" s="69">
        <f t="shared" si="32"/>
        <v>0.14280000000000001</v>
      </c>
      <c r="CS15" s="69">
        <f t="shared" si="33"/>
        <v>8.1679999999999989E-2</v>
      </c>
      <c r="CT15" s="70">
        <f t="shared" si="34"/>
        <v>526.9494719999999</v>
      </c>
      <c r="CU15" s="70">
        <f t="shared" si="0"/>
        <v>351.29964799999999</v>
      </c>
      <c r="CV15" s="70">
        <f t="shared" si="35"/>
        <v>526.9494719999999</v>
      </c>
      <c r="CW15" s="55" t="s">
        <v>144</v>
      </c>
      <c r="CX15" s="118">
        <f>1500000+1400000</f>
        <v>2900000</v>
      </c>
    </row>
    <row r="16" spans="1:102">
      <c r="A16" s="18"/>
      <c r="B16" s="94" t="s">
        <v>145</v>
      </c>
      <c r="C16" s="92" t="s">
        <v>146</v>
      </c>
      <c r="D16" s="102">
        <v>11.7</v>
      </c>
      <c r="E16" s="102">
        <v>133.5</v>
      </c>
      <c r="F16" s="98">
        <f t="shared" si="1"/>
        <v>7.02</v>
      </c>
      <c r="G16" s="98">
        <f t="shared" si="1"/>
        <v>80.099999999999994</v>
      </c>
      <c r="H16" s="110"/>
      <c r="I16" s="110"/>
      <c r="J16" s="98">
        <f t="shared" si="2"/>
        <v>0</v>
      </c>
      <c r="K16" s="98">
        <f t="shared" si="3"/>
        <v>0</v>
      </c>
      <c r="L16" s="103">
        <v>46.79</v>
      </c>
      <c r="M16" s="98">
        <f t="shared" si="4"/>
        <v>46.79</v>
      </c>
      <c r="N16" s="98"/>
      <c r="O16" s="98"/>
      <c r="P16" s="98">
        <f t="shared" si="5"/>
        <v>0</v>
      </c>
      <c r="Q16" s="98">
        <f t="shared" si="6"/>
        <v>0</v>
      </c>
      <c r="R16" s="103">
        <v>173.29</v>
      </c>
      <c r="S16" s="98">
        <f t="shared" si="7"/>
        <v>176.92908999999997</v>
      </c>
      <c r="T16" s="103">
        <v>43.88</v>
      </c>
      <c r="U16" s="98">
        <v>28.92</v>
      </c>
      <c r="V16" s="98">
        <f t="shared" si="8"/>
        <v>44.757600000000004</v>
      </c>
      <c r="W16" s="98">
        <f t="shared" si="9"/>
        <v>29.52732</v>
      </c>
      <c r="X16" s="120"/>
      <c r="Y16" s="120"/>
      <c r="Z16" s="110"/>
      <c r="AA16" s="121">
        <f t="shared" si="10"/>
        <v>0</v>
      </c>
      <c r="AB16" s="121">
        <f t="shared" si="11"/>
        <v>0</v>
      </c>
      <c r="AC16" s="110"/>
      <c r="AD16" s="110"/>
      <c r="AE16" s="121">
        <f t="shared" si="12"/>
        <v>0</v>
      </c>
      <c r="AF16" s="121">
        <f t="shared" si="12"/>
        <v>0</v>
      </c>
      <c r="AG16" s="98"/>
      <c r="AH16" s="98"/>
      <c r="AI16" s="98">
        <f t="shared" si="13"/>
        <v>0</v>
      </c>
      <c r="AJ16" s="98">
        <f t="shared" si="13"/>
        <v>0</v>
      </c>
      <c r="AK16" s="103">
        <v>42.79</v>
      </c>
      <c r="AL16" s="98">
        <v>15.7</v>
      </c>
      <c r="AM16" s="98">
        <f t="shared" si="14"/>
        <v>43.645800000000001</v>
      </c>
      <c r="AN16" s="98">
        <f t="shared" si="15"/>
        <v>16.029699999999998</v>
      </c>
      <c r="AO16" s="98"/>
      <c r="AP16" s="98"/>
      <c r="AQ16" s="131">
        <v>13.67</v>
      </c>
      <c r="AR16" s="131">
        <v>0.86</v>
      </c>
      <c r="AS16" s="99"/>
      <c r="AT16" s="98">
        <f t="shared" si="16"/>
        <v>0</v>
      </c>
      <c r="AU16" s="99">
        <v>107.65</v>
      </c>
      <c r="AV16" s="98">
        <f t="shared" si="17"/>
        <v>109.91064999999999</v>
      </c>
      <c r="AW16" s="98">
        <v>26.47</v>
      </c>
      <c r="AX16" s="98">
        <v>80.44</v>
      </c>
      <c r="AY16" s="101"/>
      <c r="AZ16" s="98">
        <f t="shared" si="18"/>
        <v>0</v>
      </c>
      <c r="BA16" s="98"/>
      <c r="BB16" s="98"/>
      <c r="BC16" s="99"/>
      <c r="BD16" s="99"/>
      <c r="BE16" s="98">
        <f t="shared" si="19"/>
        <v>0</v>
      </c>
      <c r="BF16" s="98">
        <f t="shared" si="20"/>
        <v>0</v>
      </c>
      <c r="BG16" s="99"/>
      <c r="BH16" s="99"/>
      <c r="BI16" s="98">
        <f t="shared" si="21"/>
        <v>0</v>
      </c>
      <c r="BJ16" s="98">
        <f t="shared" si="22"/>
        <v>0</v>
      </c>
      <c r="BK16" s="100"/>
      <c r="BL16" s="100"/>
      <c r="BM16" s="98"/>
      <c r="BN16" s="98">
        <f t="shared" si="23"/>
        <v>0</v>
      </c>
      <c r="BO16" s="105">
        <v>210.45</v>
      </c>
      <c r="BP16" s="98">
        <f t="shared" si="24"/>
        <v>214.86944999999997</v>
      </c>
      <c r="BQ16" s="112"/>
      <c r="BR16" s="112"/>
      <c r="BS16" s="104">
        <f t="shared" si="25"/>
        <v>0</v>
      </c>
      <c r="BT16" s="104">
        <f t="shared" si="26"/>
        <v>0</v>
      </c>
      <c r="BU16" s="105">
        <v>0</v>
      </c>
      <c r="BV16" s="105">
        <v>0</v>
      </c>
      <c r="BW16" s="142">
        <f t="shared" si="27"/>
        <v>0</v>
      </c>
      <c r="BX16" s="142">
        <f t="shared" si="28"/>
        <v>0</v>
      </c>
      <c r="BY16" s="110"/>
      <c r="BZ16" s="110"/>
      <c r="CA16" s="142">
        <f t="shared" si="29"/>
        <v>0</v>
      </c>
      <c r="CB16" s="142">
        <f t="shared" si="29"/>
        <v>0</v>
      </c>
      <c r="CC16" s="106"/>
      <c r="CD16" s="106"/>
      <c r="CE16" s="98">
        <f t="shared" si="30"/>
        <v>0</v>
      </c>
      <c r="CF16" s="107">
        <f t="shared" si="30"/>
        <v>0</v>
      </c>
      <c r="CG16" s="81"/>
      <c r="CH16" s="65">
        <f t="shared" si="31"/>
        <v>2100000</v>
      </c>
      <c r="CI16" s="74"/>
      <c r="CJ16" s="74"/>
      <c r="CK16" s="54">
        <v>870000</v>
      </c>
      <c r="CL16" s="74"/>
      <c r="CM16" s="54">
        <v>1230000</v>
      </c>
      <c r="CN16" s="74"/>
      <c r="CO16" s="74"/>
      <c r="CP16" s="90"/>
      <c r="CQ16" s="68">
        <v>0</v>
      </c>
      <c r="CR16" s="69">
        <f t="shared" si="32"/>
        <v>135.5634</v>
      </c>
      <c r="CS16" s="69">
        <f t="shared" si="33"/>
        <v>755.45621000000006</v>
      </c>
      <c r="CT16" s="70">
        <f t="shared" si="34"/>
        <v>2100397.1940840003</v>
      </c>
      <c r="CU16" s="70">
        <f t="shared" si="0"/>
        <v>1400264.7960560003</v>
      </c>
      <c r="CV16" s="70">
        <f t="shared" si="35"/>
        <v>397.19408400030807</v>
      </c>
      <c r="CW16" s="55" t="s">
        <v>147</v>
      </c>
      <c r="CX16" s="118">
        <v>320000</v>
      </c>
    </row>
    <row r="17" spans="1:102">
      <c r="A17" s="18"/>
      <c r="B17" s="94" t="s">
        <v>148</v>
      </c>
      <c r="C17" s="92" t="s">
        <v>149</v>
      </c>
      <c r="D17" s="102">
        <v>11.8</v>
      </c>
      <c r="E17" s="102">
        <v>1.2</v>
      </c>
      <c r="F17" s="98">
        <f t="shared" si="1"/>
        <v>7.08</v>
      </c>
      <c r="G17" s="98">
        <f t="shared" si="1"/>
        <v>0.72</v>
      </c>
      <c r="H17" s="110"/>
      <c r="I17" s="110"/>
      <c r="J17" s="98">
        <f t="shared" si="2"/>
        <v>0</v>
      </c>
      <c r="K17" s="98">
        <f t="shared" si="3"/>
        <v>0</v>
      </c>
      <c r="L17" s="103">
        <v>0</v>
      </c>
      <c r="M17" s="98">
        <f t="shared" si="4"/>
        <v>0</v>
      </c>
      <c r="N17" s="98"/>
      <c r="O17" s="98"/>
      <c r="P17" s="98">
        <f t="shared" si="5"/>
        <v>0</v>
      </c>
      <c r="Q17" s="98">
        <f t="shared" si="6"/>
        <v>0</v>
      </c>
      <c r="R17" s="103">
        <v>62.66</v>
      </c>
      <c r="S17" s="98">
        <f t="shared" si="7"/>
        <v>63.97585999999999</v>
      </c>
      <c r="T17" s="103">
        <v>7.84</v>
      </c>
      <c r="U17" s="98">
        <v>1.94</v>
      </c>
      <c r="V17" s="98">
        <f t="shared" si="8"/>
        <v>7.9968000000000004</v>
      </c>
      <c r="W17" s="98">
        <f t="shared" si="9"/>
        <v>1.9807399999999997</v>
      </c>
      <c r="X17" s="120"/>
      <c r="Y17" s="120"/>
      <c r="Z17" s="110"/>
      <c r="AA17" s="121">
        <f t="shared" si="10"/>
        <v>0</v>
      </c>
      <c r="AB17" s="121">
        <f t="shared" si="11"/>
        <v>0</v>
      </c>
      <c r="AC17" s="110"/>
      <c r="AD17" s="110"/>
      <c r="AE17" s="121">
        <f t="shared" si="12"/>
        <v>0</v>
      </c>
      <c r="AF17" s="121">
        <f t="shared" si="12"/>
        <v>0</v>
      </c>
      <c r="AG17" s="98"/>
      <c r="AH17" s="98"/>
      <c r="AI17" s="98">
        <f t="shared" si="13"/>
        <v>0</v>
      </c>
      <c r="AJ17" s="98">
        <f t="shared" si="13"/>
        <v>0</v>
      </c>
      <c r="AK17" s="103">
        <v>132.15</v>
      </c>
      <c r="AL17" s="98">
        <v>17.670000000000002</v>
      </c>
      <c r="AM17" s="98">
        <f t="shared" si="14"/>
        <v>134.79300000000001</v>
      </c>
      <c r="AN17" s="98">
        <f t="shared" si="15"/>
        <v>18.041070000000001</v>
      </c>
      <c r="AO17" s="98"/>
      <c r="AP17" s="98"/>
      <c r="AQ17" s="131"/>
      <c r="AR17" s="131"/>
      <c r="AS17" s="99"/>
      <c r="AT17" s="98">
        <f t="shared" si="16"/>
        <v>0</v>
      </c>
      <c r="AU17" s="99"/>
      <c r="AV17" s="98">
        <f t="shared" si="17"/>
        <v>0</v>
      </c>
      <c r="AW17" s="98">
        <v>20.309999999999999</v>
      </c>
      <c r="AX17" s="98">
        <v>36.07</v>
      </c>
      <c r="AY17" s="101"/>
      <c r="AZ17" s="98">
        <f t="shared" si="18"/>
        <v>0</v>
      </c>
      <c r="BA17" s="98"/>
      <c r="BB17" s="98"/>
      <c r="BC17" s="99">
        <f>85.4+5</f>
        <v>90.4</v>
      </c>
      <c r="BD17" s="99">
        <f>25+1</f>
        <v>26</v>
      </c>
      <c r="BE17" s="98">
        <f t="shared" si="19"/>
        <v>69.499520000000004</v>
      </c>
      <c r="BF17" s="98">
        <f t="shared" si="20"/>
        <v>20.150000000000002</v>
      </c>
      <c r="BG17" s="99">
        <v>57.37</v>
      </c>
      <c r="BH17" s="99">
        <v>5.16</v>
      </c>
      <c r="BI17" s="98">
        <f t="shared" si="21"/>
        <v>58.574769999999994</v>
      </c>
      <c r="BJ17" s="98">
        <f t="shared" si="22"/>
        <v>5.2683599999999995</v>
      </c>
      <c r="BK17" s="100"/>
      <c r="BL17" s="100"/>
      <c r="BM17" s="98"/>
      <c r="BN17" s="98">
        <f t="shared" si="23"/>
        <v>0</v>
      </c>
      <c r="BO17" s="105">
        <v>54.71</v>
      </c>
      <c r="BP17" s="98">
        <f t="shared" si="24"/>
        <v>55.858909999999995</v>
      </c>
      <c r="BQ17" s="112"/>
      <c r="BR17" s="112"/>
      <c r="BS17" s="104">
        <f t="shared" si="25"/>
        <v>0</v>
      </c>
      <c r="BT17" s="104">
        <f t="shared" si="26"/>
        <v>0</v>
      </c>
      <c r="BU17" s="105">
        <v>0</v>
      </c>
      <c r="BV17" s="105">
        <v>0</v>
      </c>
      <c r="BW17" s="142">
        <f t="shared" si="27"/>
        <v>0</v>
      </c>
      <c r="BX17" s="142">
        <f t="shared" si="28"/>
        <v>0</v>
      </c>
      <c r="BY17" s="110"/>
      <c r="BZ17" s="110"/>
      <c r="CA17" s="142">
        <f t="shared" si="29"/>
        <v>0</v>
      </c>
      <c r="CB17" s="142">
        <f t="shared" si="29"/>
        <v>0</v>
      </c>
      <c r="CC17" s="106"/>
      <c r="CD17" s="106"/>
      <c r="CE17" s="98">
        <f t="shared" si="30"/>
        <v>0</v>
      </c>
      <c r="CF17" s="107">
        <f t="shared" si="30"/>
        <v>0</v>
      </c>
      <c r="CG17" s="81"/>
      <c r="CH17" s="65">
        <f t="shared" si="31"/>
        <v>1180000</v>
      </c>
      <c r="CI17" s="74"/>
      <c r="CJ17" s="74"/>
      <c r="CK17" s="54">
        <v>930000</v>
      </c>
      <c r="CL17" s="74"/>
      <c r="CM17" s="54">
        <v>250000</v>
      </c>
      <c r="CN17" s="74"/>
      <c r="CO17" s="74"/>
      <c r="CP17" s="90"/>
      <c r="CQ17" s="68">
        <v>0</v>
      </c>
      <c r="CR17" s="69">
        <f t="shared" si="32"/>
        <v>239.67932000000002</v>
      </c>
      <c r="CS17" s="69">
        <f t="shared" si="33"/>
        <v>255.37134999999995</v>
      </c>
      <c r="CT17" s="70">
        <f t="shared" si="34"/>
        <v>1179172.4395199998</v>
      </c>
      <c r="CU17" s="70">
        <f t="shared" si="0"/>
        <v>780933.52761999995</v>
      </c>
      <c r="CV17" s="70">
        <f t="shared" si="35"/>
        <v>-827.56048000021838</v>
      </c>
      <c r="CW17" s="55"/>
      <c r="CX17" s="118"/>
    </row>
    <row r="18" spans="1:102">
      <c r="A18" s="132" t="s">
        <v>152</v>
      </c>
      <c r="B18" s="94" t="s">
        <v>153</v>
      </c>
      <c r="C18" s="92" t="s">
        <v>154</v>
      </c>
      <c r="D18" s="102">
        <v>22.1</v>
      </c>
      <c r="E18" s="102">
        <v>10.9</v>
      </c>
      <c r="F18" s="98">
        <f t="shared" si="1"/>
        <v>13.26</v>
      </c>
      <c r="G18" s="98">
        <f t="shared" si="1"/>
        <v>6.54</v>
      </c>
      <c r="H18" s="119"/>
      <c r="I18" s="119"/>
      <c r="J18" s="98">
        <f t="shared" si="2"/>
        <v>0</v>
      </c>
      <c r="K18" s="98">
        <f t="shared" si="3"/>
        <v>0</v>
      </c>
      <c r="L18" s="103"/>
      <c r="M18" s="98">
        <f t="shared" si="4"/>
        <v>0</v>
      </c>
      <c r="N18" s="98">
        <v>21.96</v>
      </c>
      <c r="O18" s="98">
        <v>18.02</v>
      </c>
      <c r="P18" s="98">
        <f t="shared" si="5"/>
        <v>22.3992</v>
      </c>
      <c r="Q18" s="98">
        <f t="shared" si="6"/>
        <v>18.398419999999998</v>
      </c>
      <c r="R18" s="103">
        <v>193.29</v>
      </c>
      <c r="S18" s="98">
        <f t="shared" si="7"/>
        <v>197.34908999999996</v>
      </c>
      <c r="T18" s="103">
        <v>16.940000000000001</v>
      </c>
      <c r="U18" s="98">
        <v>14.2</v>
      </c>
      <c r="V18" s="98">
        <f t="shared" si="8"/>
        <v>17.2788</v>
      </c>
      <c r="W18" s="98">
        <f t="shared" si="9"/>
        <v>14.498199999999997</v>
      </c>
      <c r="X18" s="120"/>
      <c r="Y18" s="120"/>
      <c r="Z18" s="110"/>
      <c r="AA18" s="121">
        <f t="shared" si="10"/>
        <v>0</v>
      </c>
      <c r="AB18" s="121">
        <f t="shared" si="11"/>
        <v>0</v>
      </c>
      <c r="AC18" s="110"/>
      <c r="AD18" s="110"/>
      <c r="AE18" s="121">
        <f t="shared" si="12"/>
        <v>0</v>
      </c>
      <c r="AF18" s="121">
        <f t="shared" si="12"/>
        <v>0</v>
      </c>
      <c r="AG18" s="98"/>
      <c r="AH18" s="98"/>
      <c r="AI18" s="98">
        <f t="shared" si="13"/>
        <v>0</v>
      </c>
      <c r="AJ18" s="98">
        <f t="shared" si="13"/>
        <v>0</v>
      </c>
      <c r="AK18" s="103">
        <v>247.39</v>
      </c>
      <c r="AL18" s="98">
        <v>164.79</v>
      </c>
      <c r="AM18" s="98">
        <f t="shared" si="14"/>
        <v>252.33779999999999</v>
      </c>
      <c r="AN18" s="98">
        <f t="shared" si="15"/>
        <v>168.25058999999999</v>
      </c>
      <c r="AO18" s="98"/>
      <c r="AP18" s="98"/>
      <c r="AQ18" s="131"/>
      <c r="AR18" s="131"/>
      <c r="AS18" s="99"/>
      <c r="AT18" s="98">
        <f t="shared" si="16"/>
        <v>0</v>
      </c>
      <c r="AU18" s="99"/>
      <c r="AV18" s="98">
        <f t="shared" si="17"/>
        <v>0</v>
      </c>
      <c r="AW18" s="98"/>
      <c r="AX18" s="98"/>
      <c r="AY18" s="101"/>
      <c r="AZ18" s="98">
        <f t="shared" si="18"/>
        <v>0</v>
      </c>
      <c r="BA18" s="98"/>
      <c r="BB18" s="98"/>
      <c r="BC18" s="99"/>
      <c r="BD18" s="99"/>
      <c r="BE18" s="98">
        <f t="shared" si="19"/>
        <v>0</v>
      </c>
      <c r="BF18" s="98">
        <f t="shared" si="20"/>
        <v>0</v>
      </c>
      <c r="BG18" s="99">
        <v>72.62</v>
      </c>
      <c r="BH18" s="99">
        <v>0</v>
      </c>
      <c r="BI18" s="98">
        <f t="shared" si="21"/>
        <v>74.145020000000002</v>
      </c>
      <c r="BJ18" s="98">
        <f t="shared" si="22"/>
        <v>0</v>
      </c>
      <c r="BK18" s="100"/>
      <c r="BL18" s="100"/>
      <c r="BM18" s="98"/>
      <c r="BN18" s="98">
        <f t="shared" si="23"/>
        <v>0</v>
      </c>
      <c r="BO18" s="105">
        <v>188.04</v>
      </c>
      <c r="BP18" s="98">
        <f t="shared" si="24"/>
        <v>191.98883999999998</v>
      </c>
      <c r="BQ18" s="112"/>
      <c r="BR18" s="112"/>
      <c r="BS18" s="104">
        <f t="shared" si="25"/>
        <v>0</v>
      </c>
      <c r="BT18" s="104">
        <f t="shared" si="26"/>
        <v>0</v>
      </c>
      <c r="BU18" s="105">
        <v>11.9</v>
      </c>
      <c r="BV18" s="105">
        <v>11.32</v>
      </c>
      <c r="BW18" s="142">
        <f t="shared" si="27"/>
        <v>14.756</v>
      </c>
      <c r="BX18" s="142">
        <f t="shared" si="28"/>
        <v>14.036799999999999</v>
      </c>
      <c r="BY18" s="110">
        <v>22.59</v>
      </c>
      <c r="BZ18" s="110">
        <v>6</v>
      </c>
      <c r="CA18" s="142">
        <f t="shared" si="29"/>
        <v>11.295</v>
      </c>
      <c r="CB18" s="142">
        <f t="shared" si="29"/>
        <v>3</v>
      </c>
      <c r="CC18" s="106">
        <v>31</v>
      </c>
      <c r="CD18" s="106">
        <v>54</v>
      </c>
      <c r="CE18" s="98">
        <f t="shared" si="30"/>
        <v>1.55</v>
      </c>
      <c r="CF18" s="107">
        <f t="shared" si="30"/>
        <v>2.7</v>
      </c>
      <c r="CG18" s="81"/>
      <c r="CH18" s="65">
        <f t="shared" si="31"/>
        <v>2410000</v>
      </c>
      <c r="CI18" s="74"/>
      <c r="CJ18" s="74"/>
      <c r="CK18" s="54">
        <v>1450000</v>
      </c>
      <c r="CL18" s="74"/>
      <c r="CM18" s="54">
        <v>960000</v>
      </c>
      <c r="CN18" s="74"/>
      <c r="CO18" s="74"/>
      <c r="CP18" s="90"/>
      <c r="CQ18" s="68">
        <v>0</v>
      </c>
      <c r="CR18" s="69">
        <f t="shared" si="32"/>
        <v>332.8768</v>
      </c>
      <c r="CS18" s="69">
        <f t="shared" si="33"/>
        <v>690.90695999999991</v>
      </c>
      <c r="CT18" s="70">
        <f t="shared" si="34"/>
        <v>2409748.5003839997</v>
      </c>
      <c r="CU18" s="70">
        <f t="shared" si="0"/>
        <v>1606499.0002560001</v>
      </c>
      <c r="CV18" s="70">
        <f t="shared" si="35"/>
        <v>-251.49961600033566</v>
      </c>
      <c r="CW18" s="55"/>
      <c r="CX18" s="118"/>
    </row>
    <row r="19" spans="1:102">
      <c r="A19" s="18"/>
      <c r="B19" s="94" t="s">
        <v>157</v>
      </c>
      <c r="C19" s="92" t="s">
        <v>158</v>
      </c>
      <c r="D19" s="102">
        <v>0</v>
      </c>
      <c r="E19" s="102">
        <v>0</v>
      </c>
      <c r="F19" s="98">
        <f t="shared" ref="F19:G24" si="36">SUM((D19*2)*0.3)</f>
        <v>0</v>
      </c>
      <c r="G19" s="98">
        <f t="shared" si="36"/>
        <v>0</v>
      </c>
      <c r="H19" s="110"/>
      <c r="I19" s="110"/>
      <c r="J19" s="98">
        <f t="shared" ref="J19:J23" si="37">SUM(H19*0.78)*$C$2</f>
        <v>0</v>
      </c>
      <c r="K19" s="98">
        <f t="shared" ref="K19:K23" si="38">SUM(I19*0.78)*$C$3</f>
        <v>0</v>
      </c>
      <c r="L19" s="103"/>
      <c r="M19" s="98">
        <f t="shared" ref="M19:M23" si="39">L19</f>
        <v>0</v>
      </c>
      <c r="N19" s="98"/>
      <c r="O19" s="98"/>
      <c r="P19" s="98">
        <f t="shared" ref="P19:P23" si="40">N19*$C$2</f>
        <v>0</v>
      </c>
      <c r="Q19" s="98">
        <f t="shared" ref="Q19:Q23" si="41">O19*$C$3</f>
        <v>0</v>
      </c>
      <c r="R19" s="103">
        <v>38.869999999999997</v>
      </c>
      <c r="S19" s="98">
        <f t="shared" ref="S19:S23" si="42">R19*$C$3</f>
        <v>39.686269999999993</v>
      </c>
      <c r="T19" s="103">
        <v>28.64</v>
      </c>
      <c r="U19" s="98">
        <v>29.87</v>
      </c>
      <c r="V19" s="98">
        <f t="shared" ref="V19:V23" si="43">SUM(T19*($C$2))</f>
        <v>29.212800000000001</v>
      </c>
      <c r="W19" s="98">
        <f t="shared" ref="W19:W23" si="44">SUM(U19*($C$3))</f>
        <v>30.497269999999997</v>
      </c>
      <c r="X19" s="120">
        <v>0</v>
      </c>
      <c r="Y19" s="120">
        <v>0</v>
      </c>
      <c r="Z19" s="110"/>
      <c r="AA19" s="121">
        <f t="shared" ref="AA19:AA23" si="45">SUM(X19*0.75)+(Z19*0.75)</f>
        <v>0</v>
      </c>
      <c r="AB19" s="121">
        <f t="shared" ref="AB19:AB23" si="46">(Y19*0.75)+(Z19*0.75)</f>
        <v>0</v>
      </c>
      <c r="AC19" s="110"/>
      <c r="AD19" s="110"/>
      <c r="AE19" s="121">
        <f t="shared" ref="AE19:AF23" si="47">AC19*0.75</f>
        <v>0</v>
      </c>
      <c r="AF19" s="121">
        <f t="shared" si="47"/>
        <v>0</v>
      </c>
      <c r="AG19" s="98">
        <v>0</v>
      </c>
      <c r="AH19" s="98">
        <v>0</v>
      </c>
      <c r="AI19" s="98">
        <f t="shared" ref="AI19:AJ23" si="48">AG19*0.75</f>
        <v>0</v>
      </c>
      <c r="AJ19" s="98">
        <f t="shared" si="48"/>
        <v>0</v>
      </c>
      <c r="AK19" s="103">
        <v>1.88</v>
      </c>
      <c r="AL19" s="98">
        <v>81.760000000000005</v>
      </c>
      <c r="AM19" s="98">
        <f t="shared" ref="AM19:AM23" si="49">AK19*$C$2</f>
        <v>1.9176</v>
      </c>
      <c r="AN19" s="98">
        <f t="shared" ref="AN19:AN23" si="50">AL19*$C$3</f>
        <v>83.476959999999991</v>
      </c>
      <c r="AO19" s="98"/>
      <c r="AP19" s="98"/>
      <c r="AQ19" s="131">
        <v>36.119999999999997</v>
      </c>
      <c r="AR19" s="131">
        <v>36.880000000000003</v>
      </c>
      <c r="AS19" s="99"/>
      <c r="AT19" s="98">
        <f t="shared" ref="AT19:AT23" si="51">AS19*$C$3</f>
        <v>0</v>
      </c>
      <c r="AU19" s="99"/>
      <c r="AV19" s="98">
        <f t="shared" ref="AV19:AV23" si="52">AU19*$C$3</f>
        <v>0</v>
      </c>
      <c r="AW19" s="98">
        <v>3.2</v>
      </c>
      <c r="AX19" s="98">
        <v>162.01</v>
      </c>
      <c r="AY19" s="101"/>
      <c r="AZ19" s="98">
        <f t="shared" ref="AZ19:AZ23" si="53">AY19*$D$2</f>
        <v>0</v>
      </c>
      <c r="BA19" s="98"/>
      <c r="BB19" s="98"/>
      <c r="BC19" s="99"/>
      <c r="BD19" s="99"/>
      <c r="BE19" s="98">
        <f t="shared" ref="BE19:BE23" si="54">SUM(BC19*0.62)*$B$2</f>
        <v>0</v>
      </c>
      <c r="BF19" s="98">
        <f t="shared" ref="BF19:BF23" si="55">SUM(BD19*0.62)*$B$3</f>
        <v>0</v>
      </c>
      <c r="BG19" s="99"/>
      <c r="BH19" s="99"/>
      <c r="BI19" s="98">
        <f t="shared" ref="BI19:BI23" si="56">(BG19*$C$3)</f>
        <v>0</v>
      </c>
      <c r="BJ19" s="98">
        <f t="shared" ref="BJ19:BJ23" si="57">BH19*$C$3</f>
        <v>0</v>
      </c>
      <c r="BK19" s="100"/>
      <c r="BL19" s="100"/>
      <c r="BM19" s="98"/>
      <c r="BN19" s="98">
        <f t="shared" ref="BN19:BN23" si="58">BM19*$C$3</f>
        <v>0</v>
      </c>
      <c r="BO19" s="105">
        <v>99.86</v>
      </c>
      <c r="BP19" s="98">
        <f t="shared" ref="BP19:BP23" si="59">BO19*$C$3</f>
        <v>101.95705999999998</v>
      </c>
      <c r="BQ19" s="112"/>
      <c r="BR19" s="112"/>
      <c r="BS19" s="104">
        <f t="shared" ref="BS19:BS23" si="60">(BQ19/$D$2)*$C$2</f>
        <v>0</v>
      </c>
      <c r="BT19" s="104">
        <f t="shared" ref="BT19:BT23" si="61">(BR19/$D$3)*$C$3</f>
        <v>0</v>
      </c>
      <c r="BU19" s="105">
        <v>0</v>
      </c>
      <c r="BV19" s="105">
        <v>0</v>
      </c>
      <c r="BW19" s="142">
        <f t="shared" ref="BW19:BW23" si="62">BU19*$E$2</f>
        <v>0</v>
      </c>
      <c r="BX19" s="142">
        <f t="shared" ref="BX19:BX23" si="63">BV19*$E$3</f>
        <v>0</v>
      </c>
      <c r="BY19" s="110">
        <v>65.84</v>
      </c>
      <c r="BZ19" s="110">
        <v>37.520000000000003</v>
      </c>
      <c r="CA19" s="142">
        <f t="shared" ref="CA19:CB23" si="64">BY19/2</f>
        <v>32.92</v>
      </c>
      <c r="CB19" s="142">
        <f t="shared" si="64"/>
        <v>18.760000000000002</v>
      </c>
      <c r="CC19" s="106"/>
      <c r="CD19" s="106"/>
      <c r="CE19" s="98">
        <f t="shared" ref="CE19:CF23" si="65">CC19*0.05</f>
        <v>0</v>
      </c>
      <c r="CF19" s="107">
        <f t="shared" si="65"/>
        <v>0</v>
      </c>
      <c r="CG19" s="81"/>
      <c r="CH19" s="65">
        <f t="shared" ref="CH19:CH23" si="66">SUM(CI19:CO19)</f>
        <v>1757000</v>
      </c>
      <c r="CI19" s="74"/>
      <c r="CJ19" s="74"/>
      <c r="CK19" s="54">
        <v>372000</v>
      </c>
      <c r="CL19" s="74">
        <v>380000</v>
      </c>
      <c r="CM19" s="54">
        <v>1005000</v>
      </c>
      <c r="CN19" s="74"/>
      <c r="CO19" s="74"/>
      <c r="CP19" s="90"/>
      <c r="CQ19" s="68">
        <v>0</v>
      </c>
      <c r="CR19" s="69">
        <f t="shared" ref="CR19:CR23" si="67">SUM(AO19,AQ19,F19,P19,BS19,AM19,AA19,AE19,J19,AI19,V19,BA19,BE19,CE19,AW19,CA19,BW19)</f>
        <v>103.3704</v>
      </c>
      <c r="CS19" s="69">
        <f t="shared" ref="CS19:CS23" si="68">SUM(AP19,AR19,G19,Q19,BN19,AZ19,M19,BT19,AN19,S19,AB19,AF19,K19,AJ19,BI19,W19,BB19,BF19,CF19,BP19,BL19,CG19,AT19,AV19,AX19,CB19,BX19)</f>
        <v>473.26755999999995</v>
      </c>
      <c r="CT19" s="70">
        <f t="shared" ref="CT19:CT23" si="69">(((CR19*$A$2)+(CS19*$A$3))*0.6)+((BJ19*$A$3)*0.75)</f>
        <v>1358987.4846239998</v>
      </c>
      <c r="CU19" s="70">
        <f t="shared" ref="CU19:CU23" si="70">((CR19*$A$2)+(CS19*$A$3))*0.4+((BJ19*$A$3)*0.25)</f>
        <v>905991.65641599987</v>
      </c>
      <c r="CV19" s="70">
        <f t="shared" ref="CV19:CV23" si="71">CT19-CH19</f>
        <v>-398012.5153760002</v>
      </c>
      <c r="CW19" s="55"/>
      <c r="CX19" s="118"/>
    </row>
    <row r="20" spans="1:102">
      <c r="A20" s="18" t="s">
        <v>166</v>
      </c>
      <c r="B20" s="94" t="s">
        <v>167</v>
      </c>
      <c r="C20" s="92" t="s">
        <v>168</v>
      </c>
      <c r="D20" s="102">
        <v>1.1499999999999999</v>
      </c>
      <c r="E20" s="102">
        <v>0.31</v>
      </c>
      <c r="F20" s="98">
        <f t="shared" si="36"/>
        <v>0.69</v>
      </c>
      <c r="G20" s="98">
        <f t="shared" si="36"/>
        <v>0.186</v>
      </c>
      <c r="H20" s="110"/>
      <c r="I20" s="110"/>
      <c r="J20" s="98">
        <f t="shared" si="37"/>
        <v>0</v>
      </c>
      <c r="K20" s="98">
        <f t="shared" si="38"/>
        <v>0</v>
      </c>
      <c r="L20" s="103"/>
      <c r="M20" s="98">
        <f t="shared" si="39"/>
        <v>0</v>
      </c>
      <c r="N20" s="98"/>
      <c r="O20" s="98"/>
      <c r="P20" s="98">
        <f t="shared" si="40"/>
        <v>0</v>
      </c>
      <c r="Q20" s="98">
        <f t="shared" si="41"/>
        <v>0</v>
      </c>
      <c r="R20" s="103">
        <v>83.49</v>
      </c>
      <c r="S20" s="98">
        <f t="shared" si="42"/>
        <v>85.243289999999988</v>
      </c>
      <c r="T20" s="108">
        <v>4.96</v>
      </c>
      <c r="U20" s="98">
        <v>10.79</v>
      </c>
      <c r="V20" s="98">
        <f t="shared" si="43"/>
        <v>5.0591999999999997</v>
      </c>
      <c r="W20" s="98">
        <f t="shared" si="44"/>
        <v>11.016589999999999</v>
      </c>
      <c r="X20" s="120"/>
      <c r="Y20" s="120"/>
      <c r="Z20" s="110"/>
      <c r="AA20" s="121">
        <f t="shared" si="45"/>
        <v>0</v>
      </c>
      <c r="AB20" s="121">
        <f t="shared" si="46"/>
        <v>0</v>
      </c>
      <c r="AC20" s="110"/>
      <c r="AD20" s="110"/>
      <c r="AE20" s="121">
        <f t="shared" si="47"/>
        <v>0</v>
      </c>
      <c r="AF20" s="121">
        <f t="shared" si="47"/>
        <v>0</v>
      </c>
      <c r="AG20" s="98">
        <v>0</v>
      </c>
      <c r="AH20" s="98">
        <v>0</v>
      </c>
      <c r="AI20" s="98">
        <f t="shared" si="48"/>
        <v>0</v>
      </c>
      <c r="AJ20" s="98">
        <f t="shared" si="48"/>
        <v>0</v>
      </c>
      <c r="AK20" s="103">
        <v>264.25</v>
      </c>
      <c r="AL20" s="98">
        <v>57.71</v>
      </c>
      <c r="AM20" s="98">
        <f t="shared" si="49"/>
        <v>269.53500000000003</v>
      </c>
      <c r="AN20" s="98">
        <f t="shared" si="50"/>
        <v>58.921909999999997</v>
      </c>
      <c r="AO20" s="98"/>
      <c r="AP20" s="98"/>
      <c r="AQ20" s="131"/>
      <c r="AR20" s="131"/>
      <c r="AS20" s="99"/>
      <c r="AT20" s="98">
        <f t="shared" si="51"/>
        <v>0</v>
      </c>
      <c r="AU20" s="99"/>
      <c r="AV20" s="98">
        <f t="shared" si="52"/>
        <v>0</v>
      </c>
      <c r="AW20" s="98">
        <v>57.72</v>
      </c>
      <c r="AX20" s="98">
        <v>61.76</v>
      </c>
      <c r="AY20" s="101"/>
      <c r="AZ20" s="98">
        <f t="shared" si="53"/>
        <v>0</v>
      </c>
      <c r="BA20" s="98"/>
      <c r="BB20" s="98"/>
      <c r="BC20" s="99"/>
      <c r="BD20" s="99"/>
      <c r="BE20" s="98">
        <f t="shared" si="54"/>
        <v>0</v>
      </c>
      <c r="BF20" s="98">
        <f t="shared" si="55"/>
        <v>0</v>
      </c>
      <c r="BG20" s="99"/>
      <c r="BH20" s="99"/>
      <c r="BI20" s="98">
        <f t="shared" si="56"/>
        <v>0</v>
      </c>
      <c r="BJ20" s="98">
        <f t="shared" si="57"/>
        <v>0</v>
      </c>
      <c r="BK20" s="100"/>
      <c r="BL20" s="100"/>
      <c r="BM20" s="98"/>
      <c r="BN20" s="98">
        <f t="shared" si="58"/>
        <v>0</v>
      </c>
      <c r="BO20" s="105">
        <v>58.08</v>
      </c>
      <c r="BP20" s="98">
        <f t="shared" si="59"/>
        <v>59.299679999999995</v>
      </c>
      <c r="BQ20" s="112"/>
      <c r="BR20" s="112"/>
      <c r="BS20" s="104">
        <f t="shared" si="60"/>
        <v>0</v>
      </c>
      <c r="BT20" s="104">
        <f t="shared" si="61"/>
        <v>0</v>
      </c>
      <c r="BU20" s="105">
        <v>0</v>
      </c>
      <c r="BV20" s="105">
        <v>0</v>
      </c>
      <c r="BW20" s="142">
        <f t="shared" si="62"/>
        <v>0</v>
      </c>
      <c r="BX20" s="142">
        <f t="shared" si="63"/>
        <v>0</v>
      </c>
      <c r="BY20" s="110"/>
      <c r="BZ20" s="110"/>
      <c r="CA20" s="142">
        <f t="shared" si="64"/>
        <v>0</v>
      </c>
      <c r="CB20" s="142">
        <f t="shared" si="64"/>
        <v>0</v>
      </c>
      <c r="CC20" s="106"/>
      <c r="CD20" s="106"/>
      <c r="CE20" s="98">
        <f t="shared" si="65"/>
        <v>0</v>
      </c>
      <c r="CF20" s="107">
        <f t="shared" si="65"/>
        <v>0</v>
      </c>
      <c r="CG20" s="81"/>
      <c r="CH20" s="65">
        <f t="shared" si="66"/>
        <v>1435000</v>
      </c>
      <c r="CI20" s="74"/>
      <c r="CJ20" s="74"/>
      <c r="CK20" s="54">
        <v>1000000</v>
      </c>
      <c r="CL20" s="74"/>
      <c r="CM20" s="54">
        <v>400000</v>
      </c>
      <c r="CN20" s="74">
        <v>35000</v>
      </c>
      <c r="CO20" s="74"/>
      <c r="CP20" s="90"/>
      <c r="CQ20" s="68">
        <v>0</v>
      </c>
      <c r="CR20" s="69">
        <f t="shared" si="67"/>
        <v>333.00419999999997</v>
      </c>
      <c r="CS20" s="69">
        <f t="shared" si="68"/>
        <v>276.42746999999997</v>
      </c>
      <c r="CT20" s="70">
        <f t="shared" si="69"/>
        <v>1431709.2281879999</v>
      </c>
      <c r="CU20" s="70">
        <f t="shared" si="70"/>
        <v>954472.81879200006</v>
      </c>
      <c r="CV20" s="70">
        <f t="shared" si="71"/>
        <v>-3290.7718120000791</v>
      </c>
      <c r="CW20" s="55"/>
      <c r="CX20" s="118"/>
    </row>
    <row r="21" spans="1:102">
      <c r="A21" s="18"/>
      <c r="B21" s="94" t="s">
        <v>176</v>
      </c>
      <c r="C21" s="92" t="s">
        <v>177</v>
      </c>
      <c r="D21" s="102">
        <v>0</v>
      </c>
      <c r="E21" s="102">
        <v>0</v>
      </c>
      <c r="F21" s="98">
        <f t="shared" si="36"/>
        <v>0</v>
      </c>
      <c r="G21" s="98">
        <f t="shared" si="36"/>
        <v>0</v>
      </c>
      <c r="H21" s="110"/>
      <c r="I21" s="110"/>
      <c r="J21" s="98">
        <f t="shared" ref="J21:J22" si="72">SUM(H21*0.78)*$C$2</f>
        <v>0</v>
      </c>
      <c r="K21" s="98">
        <f t="shared" ref="K21:K22" si="73">SUM(I21*0.78)*$C$3</f>
        <v>0</v>
      </c>
      <c r="L21" s="103">
        <v>0</v>
      </c>
      <c r="M21" s="98">
        <f t="shared" ref="M21:M22" si="74">L21</f>
        <v>0</v>
      </c>
      <c r="N21" s="98"/>
      <c r="O21" s="98"/>
      <c r="P21" s="98">
        <f t="shared" ref="P21:P22" si="75">N21*$C$2</f>
        <v>0</v>
      </c>
      <c r="Q21" s="98">
        <f t="shared" ref="Q21:Q22" si="76">O21*$C$3</f>
        <v>0</v>
      </c>
      <c r="R21" s="103">
        <v>0</v>
      </c>
      <c r="S21" s="98">
        <f t="shared" ref="S21:S22" si="77">R21*$C$3</f>
        <v>0</v>
      </c>
      <c r="T21" s="108"/>
      <c r="U21" s="99"/>
      <c r="V21" s="98">
        <f t="shared" ref="V21:V22" si="78">SUM(T21*($C$2))</f>
        <v>0</v>
      </c>
      <c r="W21" s="98">
        <f t="shared" ref="W21:W22" si="79">SUM(U21*($C$3))</f>
        <v>0</v>
      </c>
      <c r="X21" s="120"/>
      <c r="Y21" s="120"/>
      <c r="Z21" s="110"/>
      <c r="AA21" s="121">
        <f t="shared" ref="AA21:AA22" si="80">SUM(X21*0.75)+(Z21*0.75)</f>
        <v>0</v>
      </c>
      <c r="AB21" s="121">
        <f t="shared" ref="AB21:AB22" si="81">(Y21*0.75)+(Z21*0.75)</f>
        <v>0</v>
      </c>
      <c r="AC21" s="110"/>
      <c r="AD21" s="110"/>
      <c r="AE21" s="121">
        <f t="shared" ref="AE21:AE22" si="82">AC21*0.75</f>
        <v>0</v>
      </c>
      <c r="AF21" s="121">
        <f t="shared" ref="AF21:AF22" si="83">AD21*0.75</f>
        <v>0</v>
      </c>
      <c r="AG21" s="98">
        <v>0</v>
      </c>
      <c r="AH21" s="98">
        <v>0</v>
      </c>
      <c r="AI21" s="98">
        <f t="shared" ref="AI21:AI22" si="84">AG21*0.75</f>
        <v>0</v>
      </c>
      <c r="AJ21" s="98">
        <f t="shared" ref="AJ21:AJ22" si="85">AH21*0.75</f>
        <v>0</v>
      </c>
      <c r="AK21" s="103">
        <v>54.5</v>
      </c>
      <c r="AL21" s="98">
        <v>284.66000000000003</v>
      </c>
      <c r="AM21" s="98">
        <f t="shared" ref="AM21:AM22" si="86">AK21*$C$2</f>
        <v>55.59</v>
      </c>
      <c r="AN21" s="98">
        <f t="shared" ref="AN21:AN22" si="87">AL21*$C$3</f>
        <v>290.63785999999999</v>
      </c>
      <c r="AO21" s="98"/>
      <c r="AP21" s="98"/>
      <c r="AQ21" s="131"/>
      <c r="AR21" s="131"/>
      <c r="AS21" s="99"/>
      <c r="AT21" s="98">
        <f t="shared" ref="AT21:AT22" si="88">AS21*$C$3</f>
        <v>0</v>
      </c>
      <c r="AU21" s="99"/>
      <c r="AV21" s="98">
        <f t="shared" ref="AV21:AV22" si="89">AU21*$C$3</f>
        <v>0</v>
      </c>
      <c r="AW21" s="99">
        <v>12.95</v>
      </c>
      <c r="AX21" s="99">
        <v>145.71</v>
      </c>
      <c r="AY21" s="101"/>
      <c r="AZ21" s="98">
        <f t="shared" ref="AZ21:AZ22" si="90">AY21*$D$2</f>
        <v>0</v>
      </c>
      <c r="BA21" s="98"/>
      <c r="BB21" s="98"/>
      <c r="BC21" s="99"/>
      <c r="BD21" s="99"/>
      <c r="BE21" s="98">
        <f t="shared" ref="BE21:BE22" si="91">SUM(BC21*0.62)*$B$2</f>
        <v>0</v>
      </c>
      <c r="BF21" s="98">
        <f t="shared" ref="BF21:BF22" si="92">SUM(BD21*0.62)*$B$3</f>
        <v>0</v>
      </c>
      <c r="BG21" s="99"/>
      <c r="BH21" s="99"/>
      <c r="BI21" s="98">
        <f t="shared" ref="BI21:BI22" si="93">(BG21*$C$3)</f>
        <v>0</v>
      </c>
      <c r="BJ21" s="98">
        <f t="shared" ref="BJ21:BJ22" si="94">BH21*$C$3</f>
        <v>0</v>
      </c>
      <c r="BK21" s="100"/>
      <c r="BL21" s="100"/>
      <c r="BM21" s="98"/>
      <c r="BN21" s="98">
        <f t="shared" ref="BN21:BN22" si="95">BM21*$C$3</f>
        <v>0</v>
      </c>
      <c r="BO21" s="105">
        <v>76.680000000000007</v>
      </c>
      <c r="BP21" s="98">
        <f t="shared" ref="BP21:BP22" si="96">BO21*$C$3</f>
        <v>78.290279999999996</v>
      </c>
      <c r="BQ21" s="112"/>
      <c r="BR21" s="112"/>
      <c r="BS21" s="104">
        <f t="shared" ref="BS21:BS22" si="97">(BQ21/$D$2)*$C$2</f>
        <v>0</v>
      </c>
      <c r="BT21" s="104">
        <f t="shared" ref="BT21:BT22" si="98">(BR21/$D$3)*$C$3</f>
        <v>0</v>
      </c>
      <c r="BU21" s="105">
        <v>0</v>
      </c>
      <c r="BV21" s="105">
        <v>0</v>
      </c>
      <c r="BW21" s="142">
        <f t="shared" ref="BW21:BW22" si="99">BU21*$E$2</f>
        <v>0</v>
      </c>
      <c r="BX21" s="142">
        <f t="shared" ref="BX21:BX22" si="100">BV21*$E$3</f>
        <v>0</v>
      </c>
      <c r="BY21" s="110"/>
      <c r="BZ21" s="110"/>
      <c r="CA21" s="142">
        <f t="shared" ref="CA21:CA22" si="101">BY21/2</f>
        <v>0</v>
      </c>
      <c r="CB21" s="142">
        <f t="shared" ref="CB21:CB22" si="102">BZ21/2</f>
        <v>0</v>
      </c>
      <c r="CC21" s="106"/>
      <c r="CD21" s="106"/>
      <c r="CE21" s="98">
        <f t="shared" ref="CE21:CE22" si="103">CC21*0.05</f>
        <v>0</v>
      </c>
      <c r="CF21" s="107">
        <f t="shared" ref="CF21:CF22" si="104">CD21*0.05</f>
        <v>0</v>
      </c>
      <c r="CG21" s="81"/>
      <c r="CH21" s="65">
        <f t="shared" ref="CH21:CH22" si="105">SUM(CI21:CO21)</f>
        <v>1374000</v>
      </c>
      <c r="CI21" s="74"/>
      <c r="CJ21" s="74"/>
      <c r="CK21" s="54">
        <v>244000</v>
      </c>
      <c r="CL21" s="74"/>
      <c r="CM21" s="54">
        <v>1095000</v>
      </c>
      <c r="CN21" s="74">
        <v>35000</v>
      </c>
      <c r="CO21" s="74"/>
      <c r="CP21" s="90"/>
      <c r="CQ21" s="68">
        <v>0</v>
      </c>
      <c r="CR21" s="69">
        <f t="shared" ref="CR21:CR22" si="106">SUM(AO21,AQ21,F21,P21,BS21,AM21,AA21,AE21,J21,AI21,V21,BA21,BE21,CE21,AW21,CA21,BW21)</f>
        <v>68.540000000000006</v>
      </c>
      <c r="CS21" s="69">
        <f t="shared" ref="CS21:CS22" si="107">SUM(AP21,AR21,G21,Q21,BN21,AZ21,M21,BT21,AN21,S21,AB21,AF21,K21,AJ21,BI21,W21,BB21,BF21,CF21,BP21,BL21,CG21,AT21,AV21,AX21,CB21,BX21)</f>
        <v>514.63814000000002</v>
      </c>
      <c r="CT21" s="70">
        <f t="shared" ref="CT21:CT22" si="108">(((CR21*$A$2)+(CS21*$A$3))*0.6)+((BJ21*$A$3)*0.75)</f>
        <v>1375135.465656</v>
      </c>
      <c r="CU21" s="70">
        <f t="shared" ref="CU21:CU22" si="109">((CR21*$A$2)+(CS21*$A$3))*0.4+((BJ21*$A$3)*0.25)</f>
        <v>916756.97710400005</v>
      </c>
      <c r="CV21" s="70">
        <f t="shared" ref="CV21:CV22" si="110">CT21-CH21</f>
        <v>1135.4656559999567</v>
      </c>
      <c r="CW21" s="55"/>
      <c r="CX21" s="118"/>
    </row>
    <row r="22" spans="1:102">
      <c r="A22" s="18"/>
      <c r="B22" s="94" t="s">
        <v>178</v>
      </c>
      <c r="C22" s="92" t="s">
        <v>179</v>
      </c>
      <c r="D22" s="102">
        <v>0</v>
      </c>
      <c r="E22" s="102">
        <v>0</v>
      </c>
      <c r="F22" s="98">
        <f t="shared" si="36"/>
        <v>0</v>
      </c>
      <c r="G22" s="98">
        <f t="shared" si="36"/>
        <v>0</v>
      </c>
      <c r="H22" s="110"/>
      <c r="I22" s="110"/>
      <c r="J22" s="98">
        <f t="shared" si="72"/>
        <v>0</v>
      </c>
      <c r="K22" s="98">
        <f t="shared" si="73"/>
        <v>0</v>
      </c>
      <c r="L22" s="103">
        <v>0</v>
      </c>
      <c r="M22" s="98">
        <f t="shared" si="74"/>
        <v>0</v>
      </c>
      <c r="N22" s="98"/>
      <c r="O22" s="98"/>
      <c r="P22" s="98">
        <f t="shared" si="75"/>
        <v>0</v>
      </c>
      <c r="Q22" s="98">
        <f t="shared" si="76"/>
        <v>0</v>
      </c>
      <c r="R22" s="103">
        <v>0</v>
      </c>
      <c r="S22" s="98">
        <f t="shared" si="77"/>
        <v>0</v>
      </c>
      <c r="T22" s="108"/>
      <c r="U22" s="99"/>
      <c r="V22" s="98">
        <f t="shared" si="78"/>
        <v>0</v>
      </c>
      <c r="W22" s="98">
        <f t="shared" si="79"/>
        <v>0</v>
      </c>
      <c r="X22" s="120"/>
      <c r="Y22" s="120"/>
      <c r="Z22" s="110"/>
      <c r="AA22" s="121">
        <f t="shared" si="80"/>
        <v>0</v>
      </c>
      <c r="AB22" s="121">
        <f t="shared" si="81"/>
        <v>0</v>
      </c>
      <c r="AC22" s="110"/>
      <c r="AD22" s="110"/>
      <c r="AE22" s="121">
        <f t="shared" si="82"/>
        <v>0</v>
      </c>
      <c r="AF22" s="121">
        <f t="shared" si="83"/>
        <v>0</v>
      </c>
      <c r="AG22" s="98">
        <v>0</v>
      </c>
      <c r="AH22" s="98">
        <v>0</v>
      </c>
      <c r="AI22" s="98">
        <f t="shared" si="84"/>
        <v>0</v>
      </c>
      <c r="AJ22" s="98">
        <f t="shared" si="85"/>
        <v>0</v>
      </c>
      <c r="AK22" s="103">
        <v>1.45</v>
      </c>
      <c r="AL22" s="98">
        <v>63.57</v>
      </c>
      <c r="AM22" s="98">
        <f t="shared" si="86"/>
        <v>1.4789999999999999</v>
      </c>
      <c r="AN22" s="98">
        <f t="shared" si="87"/>
        <v>64.904969999999992</v>
      </c>
      <c r="AO22" s="98"/>
      <c r="AP22" s="98"/>
      <c r="AQ22" s="131">
        <v>32.43</v>
      </c>
      <c r="AR22" s="131">
        <v>297.2</v>
      </c>
      <c r="AS22" s="99"/>
      <c r="AT22" s="98">
        <f t="shared" si="88"/>
        <v>0</v>
      </c>
      <c r="AU22" s="99"/>
      <c r="AV22" s="98">
        <f t="shared" si="89"/>
        <v>0</v>
      </c>
      <c r="AW22" s="99">
        <v>0</v>
      </c>
      <c r="AX22" s="99">
        <v>33.72</v>
      </c>
      <c r="AY22" s="101"/>
      <c r="AZ22" s="98">
        <f t="shared" si="90"/>
        <v>0</v>
      </c>
      <c r="BA22" s="98"/>
      <c r="BB22" s="98"/>
      <c r="BC22" s="99"/>
      <c r="BD22" s="99"/>
      <c r="BE22" s="98">
        <f t="shared" si="91"/>
        <v>0</v>
      </c>
      <c r="BF22" s="98">
        <f t="shared" si="92"/>
        <v>0</v>
      </c>
      <c r="BG22" s="99"/>
      <c r="BH22" s="99"/>
      <c r="BI22" s="98">
        <f t="shared" si="93"/>
        <v>0</v>
      </c>
      <c r="BJ22" s="98">
        <f t="shared" si="94"/>
        <v>0</v>
      </c>
      <c r="BK22" s="100"/>
      <c r="BL22" s="100"/>
      <c r="BM22" s="98"/>
      <c r="BN22" s="98">
        <f t="shared" si="95"/>
        <v>0</v>
      </c>
      <c r="BO22" s="105"/>
      <c r="BP22" s="98">
        <f t="shared" si="96"/>
        <v>0</v>
      </c>
      <c r="BQ22" s="112"/>
      <c r="BR22" s="112"/>
      <c r="BS22" s="104">
        <f t="shared" si="97"/>
        <v>0</v>
      </c>
      <c r="BT22" s="104">
        <f t="shared" si="98"/>
        <v>0</v>
      </c>
      <c r="BU22" s="105">
        <v>0</v>
      </c>
      <c r="BV22" s="105">
        <v>0</v>
      </c>
      <c r="BW22" s="142">
        <f t="shared" si="99"/>
        <v>0</v>
      </c>
      <c r="BX22" s="142">
        <f t="shared" si="100"/>
        <v>0</v>
      </c>
      <c r="BY22" s="110"/>
      <c r="BZ22" s="110"/>
      <c r="CA22" s="142">
        <f t="shared" si="101"/>
        <v>0</v>
      </c>
      <c r="CB22" s="142">
        <f t="shared" si="102"/>
        <v>0</v>
      </c>
      <c r="CC22" s="106"/>
      <c r="CD22" s="106"/>
      <c r="CE22" s="98">
        <f t="shared" si="103"/>
        <v>0</v>
      </c>
      <c r="CF22" s="107">
        <f t="shared" si="104"/>
        <v>0</v>
      </c>
      <c r="CG22" s="81"/>
      <c r="CH22" s="65">
        <f t="shared" si="105"/>
        <v>1015000</v>
      </c>
      <c r="CI22" s="74"/>
      <c r="CJ22" s="74"/>
      <c r="CK22" s="54">
        <v>80000</v>
      </c>
      <c r="CL22" s="74">
        <f>100000+570000</f>
        <v>670000</v>
      </c>
      <c r="CM22" s="54">
        <v>265000</v>
      </c>
      <c r="CN22" s="74"/>
      <c r="CO22" s="74"/>
      <c r="CP22" s="90"/>
      <c r="CQ22" s="68">
        <v>0</v>
      </c>
      <c r="CR22" s="69">
        <f t="shared" si="106"/>
        <v>33.908999999999999</v>
      </c>
      <c r="CS22" s="69">
        <f t="shared" si="107"/>
        <v>395.82497000000001</v>
      </c>
      <c r="CT22" s="70">
        <f t="shared" si="108"/>
        <v>1013652.3191880001</v>
      </c>
      <c r="CU22" s="70">
        <f t="shared" si="109"/>
        <v>675768.21279200015</v>
      </c>
      <c r="CV22" s="70">
        <f t="shared" si="110"/>
        <v>-1347.6808119999478</v>
      </c>
      <c r="CW22" s="55"/>
      <c r="CX22" s="118"/>
    </row>
    <row r="23" spans="1:102">
      <c r="A23" s="18"/>
      <c r="B23" s="94" t="s">
        <v>180</v>
      </c>
      <c r="C23" s="92" t="s">
        <v>181</v>
      </c>
      <c r="D23" s="102">
        <v>0</v>
      </c>
      <c r="E23" s="102">
        <v>0</v>
      </c>
      <c r="F23" s="98">
        <f t="shared" ref="F23" si="111">SUM((D23*2)*0.3)</f>
        <v>0</v>
      </c>
      <c r="G23" s="98">
        <f t="shared" ref="G23" si="112">SUM((E23*2)*0.3)</f>
        <v>0</v>
      </c>
      <c r="H23" s="110"/>
      <c r="I23" s="110"/>
      <c r="J23" s="98">
        <f t="shared" si="37"/>
        <v>0</v>
      </c>
      <c r="K23" s="98">
        <f t="shared" si="38"/>
        <v>0</v>
      </c>
      <c r="L23" s="103">
        <v>0</v>
      </c>
      <c r="M23" s="98">
        <f t="shared" si="39"/>
        <v>0</v>
      </c>
      <c r="N23" s="98"/>
      <c r="O23" s="98"/>
      <c r="P23" s="98">
        <f t="shared" si="40"/>
        <v>0</v>
      </c>
      <c r="Q23" s="98">
        <f t="shared" si="41"/>
        <v>0</v>
      </c>
      <c r="R23" s="103">
        <v>0</v>
      </c>
      <c r="S23" s="98">
        <f t="shared" si="42"/>
        <v>0</v>
      </c>
      <c r="T23" s="108">
        <v>0</v>
      </c>
      <c r="U23" s="99">
        <v>0</v>
      </c>
      <c r="V23" s="98">
        <f t="shared" si="43"/>
        <v>0</v>
      </c>
      <c r="W23" s="98">
        <f t="shared" si="44"/>
        <v>0</v>
      </c>
      <c r="X23" s="120">
        <v>0</v>
      </c>
      <c r="Y23" s="120">
        <v>0</v>
      </c>
      <c r="Z23" s="110"/>
      <c r="AA23" s="121">
        <f t="shared" si="45"/>
        <v>0</v>
      </c>
      <c r="AB23" s="121">
        <f t="shared" si="46"/>
        <v>0</v>
      </c>
      <c r="AC23" s="110"/>
      <c r="AD23" s="110"/>
      <c r="AE23" s="121">
        <f t="shared" si="47"/>
        <v>0</v>
      </c>
      <c r="AF23" s="121">
        <f t="shared" si="47"/>
        <v>0</v>
      </c>
      <c r="AG23" s="98">
        <v>0</v>
      </c>
      <c r="AH23" s="98">
        <v>0</v>
      </c>
      <c r="AI23" s="98">
        <f t="shared" si="48"/>
        <v>0</v>
      </c>
      <c r="AJ23" s="98">
        <f t="shared" si="48"/>
        <v>0</v>
      </c>
      <c r="AK23" s="103">
        <v>0</v>
      </c>
      <c r="AL23" s="98">
        <v>28.1</v>
      </c>
      <c r="AM23" s="98">
        <f t="shared" si="49"/>
        <v>0</v>
      </c>
      <c r="AN23" s="98">
        <f t="shared" si="50"/>
        <v>28.690099999999997</v>
      </c>
      <c r="AO23" s="98"/>
      <c r="AP23" s="98"/>
      <c r="AQ23" s="131"/>
      <c r="AR23" s="131"/>
      <c r="AS23" s="99"/>
      <c r="AT23" s="98">
        <f t="shared" si="51"/>
        <v>0</v>
      </c>
      <c r="AU23" s="99"/>
      <c r="AV23" s="98">
        <f t="shared" si="52"/>
        <v>0</v>
      </c>
      <c r="AW23" s="99">
        <v>0</v>
      </c>
      <c r="AX23" s="99">
        <v>48.88</v>
      </c>
      <c r="AY23" s="101"/>
      <c r="AZ23" s="98">
        <f t="shared" si="53"/>
        <v>0</v>
      </c>
      <c r="BA23" s="98"/>
      <c r="BB23" s="98"/>
      <c r="BC23" s="99"/>
      <c r="BD23" s="99"/>
      <c r="BE23" s="98">
        <f t="shared" si="54"/>
        <v>0</v>
      </c>
      <c r="BF23" s="98">
        <f t="shared" si="55"/>
        <v>0</v>
      </c>
      <c r="BG23" s="99"/>
      <c r="BH23" s="99"/>
      <c r="BI23" s="98">
        <f t="shared" si="56"/>
        <v>0</v>
      </c>
      <c r="BJ23" s="98">
        <f t="shared" si="57"/>
        <v>0</v>
      </c>
      <c r="BK23" s="100"/>
      <c r="BL23" s="100"/>
      <c r="BM23" s="98"/>
      <c r="BN23" s="98">
        <f t="shared" si="58"/>
        <v>0</v>
      </c>
      <c r="BO23" s="105">
        <v>0</v>
      </c>
      <c r="BP23" s="98">
        <f t="shared" si="59"/>
        <v>0</v>
      </c>
      <c r="BQ23" s="112"/>
      <c r="BR23" s="112"/>
      <c r="BS23" s="104">
        <f t="shared" si="60"/>
        <v>0</v>
      </c>
      <c r="BT23" s="104">
        <f t="shared" si="61"/>
        <v>0</v>
      </c>
      <c r="BU23" s="105">
        <v>0</v>
      </c>
      <c r="BV23" s="105">
        <v>0</v>
      </c>
      <c r="BW23" s="142">
        <f t="shared" si="62"/>
        <v>0</v>
      </c>
      <c r="BX23" s="142">
        <f t="shared" si="63"/>
        <v>0</v>
      </c>
      <c r="BY23" s="110"/>
      <c r="BZ23" s="110"/>
      <c r="CA23" s="142">
        <f t="shared" si="64"/>
        <v>0</v>
      </c>
      <c r="CB23" s="142">
        <f t="shared" si="64"/>
        <v>0</v>
      </c>
      <c r="CC23" s="106"/>
      <c r="CD23" s="106"/>
      <c r="CE23" s="98">
        <f t="shared" si="65"/>
        <v>0</v>
      </c>
      <c r="CF23" s="107">
        <f t="shared" si="65"/>
        <v>0</v>
      </c>
      <c r="CG23" s="81"/>
      <c r="CH23" s="65">
        <f t="shared" si="66"/>
        <v>190000</v>
      </c>
      <c r="CI23" s="74"/>
      <c r="CJ23" s="74"/>
      <c r="CK23" s="54"/>
      <c r="CL23" s="74"/>
      <c r="CM23" s="54">
        <v>190000</v>
      </c>
      <c r="CN23" s="74"/>
      <c r="CO23" s="74"/>
      <c r="CP23" s="90"/>
      <c r="CQ23" s="68">
        <v>0</v>
      </c>
      <c r="CR23" s="69">
        <f t="shared" si="67"/>
        <v>0</v>
      </c>
      <c r="CS23" s="69">
        <f t="shared" si="68"/>
        <v>77.570099999999996</v>
      </c>
      <c r="CT23" s="70">
        <f t="shared" si="69"/>
        <v>183096.46403999999</v>
      </c>
      <c r="CU23" s="70">
        <f t="shared" si="70"/>
        <v>122064.30936000001</v>
      </c>
      <c r="CV23" s="70">
        <f t="shared" si="71"/>
        <v>-6903.5359600000083</v>
      </c>
      <c r="CW23" s="55"/>
      <c r="CX23" s="118"/>
    </row>
    <row r="24" spans="1:102">
      <c r="A24" s="18"/>
      <c r="B24" s="94"/>
      <c r="C24" s="92"/>
      <c r="D24" s="102">
        <v>0</v>
      </c>
      <c r="E24" s="102">
        <v>0</v>
      </c>
      <c r="F24" s="98">
        <f t="shared" si="36"/>
        <v>0</v>
      </c>
      <c r="G24" s="98">
        <f t="shared" si="36"/>
        <v>0</v>
      </c>
      <c r="H24" s="110"/>
      <c r="I24" s="110"/>
      <c r="J24" s="98">
        <f t="shared" si="2"/>
        <v>0</v>
      </c>
      <c r="K24" s="98">
        <f t="shared" si="3"/>
        <v>0</v>
      </c>
      <c r="L24" s="103">
        <v>0</v>
      </c>
      <c r="M24" s="98">
        <f t="shared" si="4"/>
        <v>0</v>
      </c>
      <c r="N24" s="98"/>
      <c r="O24" s="98"/>
      <c r="P24" s="98">
        <f t="shared" si="5"/>
        <v>0</v>
      </c>
      <c r="Q24" s="98">
        <f t="shared" si="6"/>
        <v>0</v>
      </c>
      <c r="R24" s="103">
        <v>0</v>
      </c>
      <c r="S24" s="98">
        <f t="shared" si="7"/>
        <v>0</v>
      </c>
      <c r="T24" s="108">
        <v>0</v>
      </c>
      <c r="U24" s="99">
        <v>0</v>
      </c>
      <c r="V24" s="98">
        <f t="shared" si="8"/>
        <v>0</v>
      </c>
      <c r="W24" s="98">
        <f t="shared" si="9"/>
        <v>0</v>
      </c>
      <c r="X24" s="120">
        <v>0</v>
      </c>
      <c r="Y24" s="120">
        <v>0</v>
      </c>
      <c r="Z24" s="110"/>
      <c r="AA24" s="121">
        <f t="shared" si="10"/>
        <v>0</v>
      </c>
      <c r="AB24" s="121">
        <f t="shared" si="11"/>
        <v>0</v>
      </c>
      <c r="AC24" s="110"/>
      <c r="AD24" s="110"/>
      <c r="AE24" s="121">
        <f t="shared" si="12"/>
        <v>0</v>
      </c>
      <c r="AF24" s="121">
        <f t="shared" si="12"/>
        <v>0</v>
      </c>
      <c r="AG24" s="98">
        <v>0</v>
      </c>
      <c r="AH24" s="98">
        <v>0</v>
      </c>
      <c r="AI24" s="98">
        <f t="shared" si="13"/>
        <v>0</v>
      </c>
      <c r="AJ24" s="98">
        <f t="shared" si="13"/>
        <v>0</v>
      </c>
      <c r="AK24" s="103"/>
      <c r="AL24" s="98"/>
      <c r="AM24" s="98">
        <f t="shared" si="14"/>
        <v>0</v>
      </c>
      <c r="AN24" s="98">
        <f t="shared" si="15"/>
        <v>0</v>
      </c>
      <c r="AO24" s="98"/>
      <c r="AP24" s="98"/>
      <c r="AQ24" s="131"/>
      <c r="AR24" s="131"/>
      <c r="AS24" s="99"/>
      <c r="AT24" s="98">
        <f t="shared" si="16"/>
        <v>0</v>
      </c>
      <c r="AU24" s="99"/>
      <c r="AV24" s="98">
        <f t="shared" si="17"/>
        <v>0</v>
      </c>
      <c r="AW24" s="99">
        <v>0</v>
      </c>
      <c r="AX24" s="99">
        <v>0</v>
      </c>
      <c r="AY24" s="101"/>
      <c r="AZ24" s="98">
        <f t="shared" si="18"/>
        <v>0</v>
      </c>
      <c r="BA24" s="98"/>
      <c r="BB24" s="98"/>
      <c r="BC24" s="99"/>
      <c r="BD24" s="99"/>
      <c r="BE24" s="98">
        <f t="shared" si="19"/>
        <v>0</v>
      </c>
      <c r="BF24" s="98">
        <f t="shared" si="20"/>
        <v>0</v>
      </c>
      <c r="BG24" s="99"/>
      <c r="BH24" s="99"/>
      <c r="BI24" s="98">
        <f t="shared" si="21"/>
        <v>0</v>
      </c>
      <c r="BJ24" s="98">
        <f t="shared" si="22"/>
        <v>0</v>
      </c>
      <c r="BK24" s="100"/>
      <c r="BL24" s="100"/>
      <c r="BM24" s="98"/>
      <c r="BN24" s="98">
        <f t="shared" si="23"/>
        <v>0</v>
      </c>
      <c r="BO24" s="105">
        <v>0</v>
      </c>
      <c r="BP24" s="98">
        <f t="shared" si="24"/>
        <v>0</v>
      </c>
      <c r="BQ24" s="112"/>
      <c r="BR24" s="112"/>
      <c r="BS24" s="104">
        <f t="shared" si="25"/>
        <v>0</v>
      </c>
      <c r="BT24" s="104">
        <f t="shared" si="26"/>
        <v>0</v>
      </c>
      <c r="BU24" s="105">
        <v>0</v>
      </c>
      <c r="BV24" s="105">
        <v>0</v>
      </c>
      <c r="BW24" s="142">
        <f t="shared" si="27"/>
        <v>0</v>
      </c>
      <c r="BX24" s="142">
        <f t="shared" si="28"/>
        <v>0</v>
      </c>
      <c r="BY24" s="110"/>
      <c r="BZ24" s="110"/>
      <c r="CA24" s="142">
        <f t="shared" si="29"/>
        <v>0</v>
      </c>
      <c r="CB24" s="142">
        <f t="shared" si="29"/>
        <v>0</v>
      </c>
      <c r="CC24" s="106"/>
      <c r="CD24" s="106"/>
      <c r="CE24" s="98">
        <f t="shared" si="30"/>
        <v>0</v>
      </c>
      <c r="CF24" s="107">
        <f t="shared" si="30"/>
        <v>0</v>
      </c>
      <c r="CG24" s="81"/>
      <c r="CH24" s="65">
        <f t="shared" si="31"/>
        <v>0</v>
      </c>
      <c r="CI24" s="74"/>
      <c r="CJ24" s="74"/>
      <c r="CK24" s="54"/>
      <c r="CL24" s="74"/>
      <c r="CM24" s="54"/>
      <c r="CN24" s="74"/>
      <c r="CO24" s="74"/>
      <c r="CP24" s="90"/>
      <c r="CQ24" s="68">
        <v>0</v>
      </c>
      <c r="CR24" s="69">
        <f t="shared" si="32"/>
        <v>0</v>
      </c>
      <c r="CS24" s="69">
        <f t="shared" si="33"/>
        <v>0</v>
      </c>
      <c r="CT24" s="70">
        <f t="shared" si="34"/>
        <v>0</v>
      </c>
      <c r="CU24" s="70">
        <f t="shared" si="0"/>
        <v>0</v>
      </c>
      <c r="CV24" s="70">
        <f t="shared" si="35"/>
        <v>0</v>
      </c>
      <c r="CW24" s="55"/>
      <c r="CX24" s="118"/>
    </row>
    <row r="25" spans="1:102" s="5" customFormat="1" ht="44.25" customHeight="1">
      <c r="A25" s="19"/>
      <c r="B25" s="38"/>
      <c r="C25" s="20" t="s">
        <v>172</v>
      </c>
      <c r="D25" s="77">
        <f t="shared" ref="D25:AI25" si="113">SUM(D7:D24)</f>
        <v>72.75</v>
      </c>
      <c r="E25" s="77">
        <f t="shared" si="113"/>
        <v>160.41</v>
      </c>
      <c r="F25" s="77">
        <f t="shared" si="113"/>
        <v>43.649999999999991</v>
      </c>
      <c r="G25" s="77">
        <f t="shared" si="113"/>
        <v>96.246000000000009</v>
      </c>
      <c r="H25" s="77">
        <f t="shared" si="113"/>
        <v>238</v>
      </c>
      <c r="I25" s="77">
        <f t="shared" si="113"/>
        <v>47</v>
      </c>
      <c r="J25" s="77">
        <f t="shared" si="113"/>
        <v>189.3528</v>
      </c>
      <c r="K25" s="77">
        <f t="shared" si="113"/>
        <v>37.429859999999998</v>
      </c>
      <c r="L25" s="77">
        <f t="shared" si="113"/>
        <v>543.91</v>
      </c>
      <c r="M25" s="77">
        <f t="shared" si="113"/>
        <v>543.91</v>
      </c>
      <c r="N25" s="77">
        <f t="shared" si="113"/>
        <v>69.289999999999992</v>
      </c>
      <c r="O25" s="77">
        <f t="shared" si="113"/>
        <v>58.849999999999994</v>
      </c>
      <c r="P25" s="77">
        <f t="shared" si="113"/>
        <v>70.67580000000001</v>
      </c>
      <c r="Q25" s="77">
        <f t="shared" si="113"/>
        <v>60.085849999999994</v>
      </c>
      <c r="R25" s="77">
        <f t="shared" si="113"/>
        <v>885.79</v>
      </c>
      <c r="S25" s="77">
        <f t="shared" si="113"/>
        <v>904.39158999999995</v>
      </c>
      <c r="T25" s="77">
        <f t="shared" si="113"/>
        <v>218.63000000000002</v>
      </c>
      <c r="U25" s="77">
        <f t="shared" si="113"/>
        <v>233.47</v>
      </c>
      <c r="V25" s="77">
        <f t="shared" si="113"/>
        <v>223.0026</v>
      </c>
      <c r="W25" s="77">
        <f t="shared" si="113"/>
        <v>238.37287000000001</v>
      </c>
      <c r="X25" s="77">
        <f t="shared" si="113"/>
        <v>847.25</v>
      </c>
      <c r="Y25" s="77">
        <f t="shared" si="113"/>
        <v>676</v>
      </c>
      <c r="Z25" s="77">
        <f t="shared" si="113"/>
        <v>0</v>
      </c>
      <c r="AA25" s="77">
        <f t="shared" si="113"/>
        <v>635.4375</v>
      </c>
      <c r="AB25" s="77">
        <f t="shared" si="113"/>
        <v>507</v>
      </c>
      <c r="AC25" s="77">
        <f t="shared" si="113"/>
        <v>0</v>
      </c>
      <c r="AD25" s="77">
        <f t="shared" si="113"/>
        <v>0</v>
      </c>
      <c r="AE25" s="77">
        <f t="shared" si="113"/>
        <v>0</v>
      </c>
      <c r="AF25" s="77">
        <f t="shared" si="113"/>
        <v>0</v>
      </c>
      <c r="AG25" s="77">
        <f t="shared" si="113"/>
        <v>0</v>
      </c>
      <c r="AH25" s="77">
        <f t="shared" si="113"/>
        <v>0</v>
      </c>
      <c r="AI25" s="77">
        <f t="shared" si="113"/>
        <v>0</v>
      </c>
      <c r="AJ25" s="77">
        <f t="shared" ref="AJ25:BO25" si="114">SUM(AJ7:AJ24)</f>
        <v>0</v>
      </c>
      <c r="AK25" s="77">
        <f t="shared" si="114"/>
        <v>1150.49</v>
      </c>
      <c r="AL25" s="77">
        <f t="shared" si="114"/>
        <v>1384.32</v>
      </c>
      <c r="AM25" s="77">
        <f t="shared" si="114"/>
        <v>1173.4998000000001</v>
      </c>
      <c r="AN25" s="77">
        <f t="shared" si="114"/>
        <v>1413.3907200000001</v>
      </c>
      <c r="AO25" s="77">
        <f t="shared" si="114"/>
        <v>0</v>
      </c>
      <c r="AP25" s="77">
        <f t="shared" si="114"/>
        <v>0</v>
      </c>
      <c r="AQ25" s="77">
        <f t="shared" si="114"/>
        <v>93.539999999999992</v>
      </c>
      <c r="AR25" s="77">
        <f t="shared" si="114"/>
        <v>358.62</v>
      </c>
      <c r="AS25" s="77">
        <f t="shared" si="114"/>
        <v>0</v>
      </c>
      <c r="AT25" s="77">
        <f t="shared" si="114"/>
        <v>0</v>
      </c>
      <c r="AU25" s="77">
        <f t="shared" si="114"/>
        <v>192.85000000000002</v>
      </c>
      <c r="AV25" s="77">
        <f t="shared" si="114"/>
        <v>196.89984999999999</v>
      </c>
      <c r="AW25" s="77">
        <f t="shared" si="114"/>
        <v>471.91</v>
      </c>
      <c r="AX25" s="77">
        <f t="shared" si="114"/>
        <v>787.69</v>
      </c>
      <c r="AY25" s="77">
        <f t="shared" si="114"/>
        <v>0</v>
      </c>
      <c r="AZ25" s="77">
        <f t="shared" si="114"/>
        <v>0</v>
      </c>
      <c r="BA25" s="77">
        <f t="shared" si="114"/>
        <v>90.9</v>
      </c>
      <c r="BB25" s="77">
        <f t="shared" si="114"/>
        <v>87.4</v>
      </c>
      <c r="BC25" s="77">
        <f t="shared" si="114"/>
        <v>114.9</v>
      </c>
      <c r="BD25" s="77">
        <f t="shared" si="114"/>
        <v>111.3</v>
      </c>
      <c r="BE25" s="77">
        <f t="shared" si="114"/>
        <v>88.335120000000003</v>
      </c>
      <c r="BF25" s="77">
        <f t="shared" si="114"/>
        <v>86.257499999999993</v>
      </c>
      <c r="BG25" s="77">
        <f t="shared" si="114"/>
        <v>404.15</v>
      </c>
      <c r="BH25" s="77">
        <f t="shared" si="114"/>
        <v>43.599999999999994</v>
      </c>
      <c r="BI25" s="77">
        <f t="shared" si="114"/>
        <v>412.63714999999996</v>
      </c>
      <c r="BJ25" s="77">
        <f t="shared" si="114"/>
        <v>44.515599999999999</v>
      </c>
      <c r="BK25" s="77">
        <f t="shared" si="114"/>
        <v>0</v>
      </c>
      <c r="BL25" s="77">
        <f t="shared" si="114"/>
        <v>0</v>
      </c>
      <c r="BM25" s="77">
        <f t="shared" si="114"/>
        <v>0</v>
      </c>
      <c r="BN25" s="77">
        <f t="shared" si="114"/>
        <v>0</v>
      </c>
      <c r="BO25" s="77">
        <f t="shared" si="114"/>
        <v>959.97</v>
      </c>
      <c r="BP25" s="77">
        <f t="shared" ref="BP25:CP25" si="115">SUM(BP7:BP24)</f>
        <v>980.12936999999988</v>
      </c>
      <c r="BQ25" s="114">
        <f t="shared" si="115"/>
        <v>0</v>
      </c>
      <c r="BR25" s="77">
        <f t="shared" si="115"/>
        <v>0</v>
      </c>
      <c r="BS25" s="77">
        <f t="shared" si="115"/>
        <v>0</v>
      </c>
      <c r="BT25" s="77">
        <f t="shared" si="115"/>
        <v>0</v>
      </c>
      <c r="BU25" s="77">
        <f t="shared" si="115"/>
        <v>96.06</v>
      </c>
      <c r="BV25" s="77">
        <f t="shared" si="115"/>
        <v>42.74</v>
      </c>
      <c r="BW25" s="77">
        <f t="shared" si="115"/>
        <v>119.11439999999999</v>
      </c>
      <c r="BX25" s="77">
        <f t="shared" si="115"/>
        <v>52.997599999999998</v>
      </c>
      <c r="BY25" s="77">
        <f t="shared" si="115"/>
        <v>418.18999999999994</v>
      </c>
      <c r="BZ25" s="77">
        <f t="shared" si="115"/>
        <v>238.21</v>
      </c>
      <c r="CA25" s="77">
        <f t="shared" si="115"/>
        <v>209.09499999999997</v>
      </c>
      <c r="CB25" s="77">
        <f t="shared" si="115"/>
        <v>119.105</v>
      </c>
      <c r="CC25" s="77">
        <f t="shared" si="115"/>
        <v>31</v>
      </c>
      <c r="CD25" s="77">
        <f t="shared" si="115"/>
        <v>54</v>
      </c>
      <c r="CE25" s="77">
        <f t="shared" si="115"/>
        <v>1.55</v>
      </c>
      <c r="CF25" s="77">
        <f t="shared" si="115"/>
        <v>2.7</v>
      </c>
      <c r="CG25" s="77">
        <f t="shared" si="115"/>
        <v>0</v>
      </c>
      <c r="CH25" s="77">
        <f t="shared" si="115"/>
        <v>24786000</v>
      </c>
      <c r="CI25" s="77">
        <f t="shared" si="115"/>
        <v>0</v>
      </c>
      <c r="CJ25" s="77">
        <f t="shared" si="115"/>
        <v>0</v>
      </c>
      <c r="CK25" s="77">
        <f t="shared" si="115"/>
        <v>12086000</v>
      </c>
      <c r="CL25" s="77">
        <f t="shared" si="115"/>
        <v>1050000</v>
      </c>
      <c r="CM25" s="77">
        <f t="shared" si="115"/>
        <v>11525000</v>
      </c>
      <c r="CN25" s="77">
        <f t="shared" si="115"/>
        <v>125000</v>
      </c>
      <c r="CO25" s="77">
        <f t="shared" si="115"/>
        <v>0</v>
      </c>
      <c r="CP25" s="77">
        <f t="shared" si="115"/>
        <v>0</v>
      </c>
      <c r="CR25" s="5">
        <f>SUM(CR7:CR24)</f>
        <v>3410.0630200000001</v>
      </c>
      <c r="CS25" s="5">
        <f>SUM(CS7:CS24)</f>
        <v>6885.2633599999999</v>
      </c>
      <c r="CT25" s="6">
        <f>SUM(CT7:CT24)</f>
        <v>24362866.379543997</v>
      </c>
      <c r="CU25" s="6">
        <f>SUM(CU7:CU24)</f>
        <v>16198129.827096</v>
      </c>
      <c r="CV25" s="5">
        <f>SUM(CV7:CV24)</f>
        <v>-423133.62045600143</v>
      </c>
      <c r="CW25" s="56" t="s">
        <v>173</v>
      </c>
      <c r="CX25" s="57">
        <f>SUM(CX6:CX24)</f>
        <v>13571647</v>
      </c>
    </row>
    <row r="26" spans="1:102" ht="26.25">
      <c r="B26" s="39"/>
      <c r="CW26" s="58" t="s">
        <v>174</v>
      </c>
      <c r="CX26" s="47">
        <f>CU25</f>
        <v>16198129.827096</v>
      </c>
    </row>
    <row r="27" spans="1:102" ht="28.5">
      <c r="CW27" s="59" t="s">
        <v>175</v>
      </c>
      <c r="CX27" s="76">
        <f>CX26-CX25</f>
        <v>2626482.8270960003</v>
      </c>
    </row>
    <row r="28" spans="1:102">
      <c r="B28" s="1"/>
      <c r="H28" s="10"/>
      <c r="I28" s="10"/>
      <c r="J28" s="10"/>
      <c r="K28" s="10"/>
      <c r="L28" s="88"/>
      <c r="M28" s="10"/>
      <c r="N28" s="10"/>
      <c r="O28" s="10"/>
      <c r="BT28" s="7"/>
      <c r="BX28" s="7"/>
      <c r="CB28" s="7"/>
      <c r="CC28" s="8"/>
      <c r="CD28" s="5"/>
      <c r="CE28" s="5"/>
    </row>
    <row r="29" spans="1:102">
      <c r="A29" s="12"/>
      <c r="B29" s="1"/>
      <c r="C29" s="40"/>
      <c r="D29" s="40"/>
      <c r="E29" s="40"/>
      <c r="F29" s="40"/>
      <c r="G29" s="40"/>
      <c r="H29" s="40"/>
    </row>
    <row r="30" spans="1:102" ht="52.5" customHeight="1">
      <c r="A30" s="12"/>
      <c r="B30" s="1"/>
      <c r="C30" s="40"/>
      <c r="D30" s="13"/>
      <c r="E30" s="40"/>
      <c r="F30" s="41"/>
      <c r="G30" s="42"/>
      <c r="H30" s="40"/>
      <c r="V30" s="10"/>
      <c r="W30" s="10"/>
      <c r="X30" s="10"/>
      <c r="Y30" s="10"/>
      <c r="Z30" s="10"/>
      <c r="AA30" s="10"/>
      <c r="AB30" s="10"/>
      <c r="AC30" s="10"/>
      <c r="AD30" s="10"/>
    </row>
    <row r="31" spans="1:102">
      <c r="A31" s="12"/>
      <c r="B31" s="1"/>
      <c r="C31" s="40"/>
      <c r="D31" s="13"/>
      <c r="E31" s="40"/>
      <c r="F31" s="42"/>
      <c r="G31" s="42"/>
      <c r="H31" s="40"/>
      <c r="Q31" s="40"/>
      <c r="R31" s="40"/>
      <c r="S31" s="40"/>
      <c r="T31" s="40"/>
      <c r="U31" s="40"/>
      <c r="V31" s="40"/>
      <c r="CL31" s="1">
        <v>2</v>
      </c>
    </row>
    <row r="32" spans="1:102">
      <c r="A32" s="12"/>
      <c r="B32" s="1"/>
      <c r="C32" s="40"/>
      <c r="D32" s="13"/>
      <c r="E32" s="40"/>
      <c r="F32" s="42"/>
      <c r="G32" s="42"/>
      <c r="H32" s="40"/>
      <c r="Q32" s="40"/>
      <c r="R32" s="13"/>
      <c r="S32" s="40"/>
      <c r="T32" s="41"/>
      <c r="U32" s="42"/>
      <c r="V32" s="40"/>
    </row>
    <row r="33" spans="1:22">
      <c r="A33" s="12"/>
      <c r="B33" s="1"/>
      <c r="C33" s="40"/>
      <c r="D33" s="40"/>
      <c r="E33" s="40"/>
      <c r="F33" s="40"/>
      <c r="G33" s="40"/>
      <c r="H33" s="40"/>
      <c r="Q33" s="40"/>
      <c r="R33" s="13"/>
      <c r="S33" s="40"/>
      <c r="T33" s="42"/>
      <c r="U33" s="42"/>
      <c r="V33" s="40"/>
    </row>
    <row r="34" spans="1:22" ht="20.25" customHeight="1">
      <c r="A34" s="12"/>
      <c r="B34" s="1"/>
      <c r="C34" s="40"/>
      <c r="D34" s="14"/>
      <c r="E34" s="40"/>
      <c r="F34" s="42"/>
      <c r="G34" s="42"/>
      <c r="H34" s="40"/>
      <c r="Q34" s="40"/>
      <c r="R34" s="13"/>
      <c r="S34" s="40"/>
      <c r="T34" s="42"/>
      <c r="U34" s="42"/>
      <c r="V34" s="40"/>
    </row>
    <row r="35" spans="1:22" ht="18" customHeight="1">
      <c r="A35" s="12"/>
      <c r="B35" s="1"/>
      <c r="C35" s="40"/>
      <c r="D35" s="40"/>
      <c r="E35" s="40"/>
      <c r="F35" s="40"/>
      <c r="G35" s="40"/>
      <c r="H35" s="40"/>
      <c r="Q35" s="40"/>
      <c r="R35" s="40"/>
      <c r="S35" s="40"/>
      <c r="T35" s="40"/>
      <c r="U35" s="40"/>
      <c r="V35" s="40"/>
    </row>
    <row r="36" spans="1:22">
      <c r="A36" s="12"/>
      <c r="B36" s="1"/>
      <c r="C36" s="40"/>
      <c r="D36" s="40"/>
      <c r="E36" s="40"/>
      <c r="F36" s="40"/>
      <c r="G36" s="40"/>
      <c r="H36" s="40"/>
      <c r="Q36" s="40"/>
      <c r="R36" s="14"/>
      <c r="S36" s="40"/>
      <c r="T36" s="42"/>
      <c r="U36" s="42"/>
      <c r="V36" s="40"/>
    </row>
    <row r="37" spans="1:22">
      <c r="A37" s="12"/>
      <c r="B37" s="1"/>
      <c r="Q37" s="40"/>
      <c r="R37" s="40"/>
      <c r="S37" s="40"/>
      <c r="T37" s="40"/>
      <c r="U37" s="40"/>
      <c r="V37" s="40"/>
    </row>
    <row r="38" spans="1:22">
      <c r="A38" s="12"/>
      <c r="B38" s="1"/>
      <c r="Q38" s="40"/>
      <c r="R38" s="40"/>
      <c r="S38" s="40"/>
      <c r="T38" s="40"/>
      <c r="U38" s="40"/>
      <c r="V38" s="40"/>
    </row>
    <row r="39" spans="1:22">
      <c r="A39" s="12"/>
      <c r="B39" s="1"/>
    </row>
    <row r="40" spans="1:22">
      <c r="A40" s="12"/>
      <c r="B40" s="1"/>
    </row>
    <row r="41" spans="1:22" ht="21" customHeight="1">
      <c r="A41" s="12"/>
      <c r="B41" s="1"/>
    </row>
    <row r="42" spans="1:22">
      <c r="A42" s="12"/>
      <c r="B42" s="1"/>
    </row>
    <row r="43" spans="1:22" ht="20.25" customHeight="1">
      <c r="A43" s="12"/>
      <c r="B43" s="1"/>
    </row>
    <row r="44" spans="1:22">
      <c r="B44" s="1"/>
      <c r="H44" s="10"/>
      <c r="I44" s="10"/>
      <c r="J44" s="10"/>
      <c r="K44" s="10"/>
      <c r="L44" s="10"/>
      <c r="M44" s="10"/>
      <c r="N44" s="10"/>
      <c r="O44" s="10"/>
    </row>
    <row r="45" spans="1:22">
      <c r="B45" s="1"/>
      <c r="C45" s="40"/>
      <c r="D45" s="40"/>
      <c r="E45" s="40"/>
      <c r="F45" s="40"/>
      <c r="G45" s="40"/>
      <c r="H45" s="40"/>
    </row>
    <row r="46" spans="1:22">
      <c r="B46" s="1"/>
      <c r="C46" s="40"/>
      <c r="D46" s="13"/>
      <c r="E46" s="40"/>
      <c r="F46" s="41"/>
      <c r="G46" s="42"/>
      <c r="H46" s="40"/>
    </row>
    <row r="47" spans="1:22">
      <c r="B47" s="1"/>
      <c r="C47" s="40"/>
      <c r="D47" s="13"/>
      <c r="E47" s="40"/>
      <c r="F47" s="42"/>
      <c r="G47" s="42"/>
      <c r="H47" s="40"/>
    </row>
    <row r="48" spans="1:22">
      <c r="B48" s="1"/>
      <c r="C48" s="40"/>
      <c r="D48" s="13"/>
      <c r="E48" s="40"/>
      <c r="F48" s="42"/>
      <c r="G48" s="42"/>
      <c r="H48" s="40"/>
    </row>
    <row r="49" spans="1:11" ht="21.75" customHeight="1">
      <c r="B49" s="1"/>
      <c r="C49" s="40"/>
      <c r="D49" s="40"/>
      <c r="E49" s="40"/>
      <c r="F49" s="40"/>
      <c r="G49" s="40"/>
      <c r="H49" s="40"/>
    </row>
    <row r="50" spans="1:11" ht="21.75" customHeight="1">
      <c r="B50" s="1"/>
      <c r="C50" s="40"/>
      <c r="D50" s="14"/>
      <c r="E50" s="40"/>
      <c r="F50" s="42"/>
      <c r="G50" s="42"/>
      <c r="H50" s="40"/>
    </row>
    <row r="51" spans="1:11" ht="21.75" customHeight="1">
      <c r="B51" s="1"/>
    </row>
    <row r="52" spans="1:11" ht="21.75" customHeight="1">
      <c r="B52" s="1"/>
    </row>
    <row r="53" spans="1:11" ht="21.75" customHeight="1">
      <c r="B53" s="1"/>
    </row>
    <row r="54" spans="1:11" ht="21.75" customHeight="1">
      <c r="B54" s="1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A58" s="12"/>
      <c r="B58" s="1"/>
    </row>
    <row r="59" spans="1:11" ht="21.75" customHeight="1">
      <c r="A59" s="12"/>
      <c r="B59" s="1"/>
    </row>
    <row r="60" spans="1:11" ht="21.75" customHeight="1">
      <c r="B60" s="1"/>
      <c r="K60" s="11"/>
    </row>
    <row r="61" spans="1:11" ht="21.75" customHeight="1">
      <c r="B61" s="1"/>
      <c r="K61" s="11"/>
    </row>
    <row r="62" spans="1:11">
      <c r="B62" s="1"/>
      <c r="K62" s="11"/>
    </row>
    <row r="63" spans="1:11">
      <c r="B63" s="1"/>
      <c r="K63" s="11"/>
    </row>
    <row r="64" spans="1:11">
      <c r="B64" s="1"/>
      <c r="K64" s="11"/>
    </row>
    <row r="65" spans="2:35">
      <c r="B65" s="1"/>
      <c r="K65" s="16"/>
    </row>
    <row r="66" spans="2:35">
      <c r="B66" s="1"/>
      <c r="K66" s="12"/>
    </row>
    <row r="67" spans="2:35">
      <c r="B67" s="1"/>
    </row>
    <row r="68" spans="2:35">
      <c r="B68" s="1"/>
    </row>
    <row r="69" spans="2:35">
      <c r="B69" s="9"/>
      <c r="C69" s="9"/>
      <c r="D69" s="9"/>
      <c r="E69" s="9"/>
      <c r="F69" s="9"/>
      <c r="G69" s="9"/>
      <c r="H69" s="9"/>
      <c r="I69" s="9"/>
      <c r="J69" s="9"/>
    </row>
    <row r="70" spans="2:35">
      <c r="B70" s="1"/>
    </row>
    <row r="71" spans="2:35" ht="46.5" customHeight="1">
      <c r="B71" s="1"/>
      <c r="K71" s="9"/>
      <c r="U71" s="9"/>
      <c r="V71" s="9"/>
      <c r="W71" s="9"/>
      <c r="X71" s="9"/>
      <c r="Y71" s="9"/>
      <c r="Z71" s="9"/>
      <c r="AA71" s="9"/>
      <c r="AB71" s="9"/>
      <c r="AC71" s="9"/>
      <c r="AD71" s="9"/>
      <c r="AI71" s="17"/>
    </row>
    <row r="72" spans="2:35" ht="21.75" customHeight="1">
      <c r="B72" s="1"/>
    </row>
    <row r="73" spans="2:35">
      <c r="B73" s="1"/>
      <c r="M73" s="9"/>
      <c r="N73" s="9"/>
      <c r="O73" s="9"/>
      <c r="P73" s="9"/>
      <c r="Q73" s="9"/>
      <c r="R73" s="9"/>
      <c r="S73" s="9"/>
      <c r="T73" s="9"/>
    </row>
    <row r="74" spans="2:35">
      <c r="B74" s="1"/>
    </row>
    <row r="75" spans="2:35">
      <c r="B75" s="1"/>
    </row>
    <row r="76" spans="2:35">
      <c r="B76" s="1"/>
    </row>
    <row r="77" spans="2:35">
      <c r="B77" s="1"/>
    </row>
    <row r="78" spans="2:35">
      <c r="B78" s="1"/>
    </row>
    <row r="79" spans="2:35">
      <c r="B79" s="1"/>
    </row>
    <row r="80" spans="2:35">
      <c r="B80" s="1"/>
    </row>
    <row r="81" spans="1:12">
      <c r="B81" s="1"/>
    </row>
    <row r="82" spans="1:12">
      <c r="B82" s="1"/>
    </row>
    <row r="83" spans="1:12">
      <c r="B83" s="1"/>
    </row>
    <row r="84" spans="1:12">
      <c r="B84" s="1"/>
    </row>
    <row r="85" spans="1:12">
      <c r="B85" s="1"/>
    </row>
    <row r="86" spans="1:12">
      <c r="B86" s="1"/>
    </row>
    <row r="87" spans="1:12">
      <c r="B87" s="1"/>
    </row>
    <row r="88" spans="1:12">
      <c r="B88" s="1"/>
    </row>
    <row r="89" spans="1:12">
      <c r="B89" s="1"/>
    </row>
    <row r="90" spans="1:12">
      <c r="B90" s="1"/>
    </row>
    <row r="91" spans="1:12">
      <c r="B91" s="1"/>
      <c r="D91" s="9"/>
      <c r="E91" s="9"/>
      <c r="F91" s="9"/>
      <c r="G91" s="9"/>
      <c r="H91" s="9"/>
      <c r="I91" s="9"/>
      <c r="J91" s="9"/>
      <c r="K91" s="9"/>
      <c r="L91" s="9"/>
    </row>
    <row r="92" spans="1:12">
      <c r="B92" s="1"/>
    </row>
    <row r="93" spans="1:12">
      <c r="A93" s="9"/>
      <c r="B93" s="9"/>
      <c r="C93" s="9"/>
    </row>
    <row r="94" spans="1:12">
      <c r="B94" s="1"/>
    </row>
    <row r="95" spans="1:12">
      <c r="B95" s="1"/>
    </row>
    <row r="96" spans="1:12">
      <c r="B96" s="1"/>
    </row>
    <row r="97" spans="2:9">
      <c r="B97" s="1"/>
    </row>
    <row r="98" spans="2:9">
      <c r="B98" s="1"/>
    </row>
    <row r="99" spans="2:9">
      <c r="B99" s="1"/>
    </row>
    <row r="100" spans="2:9">
      <c r="B100" s="1"/>
    </row>
    <row r="101" spans="2:9">
      <c r="B101" s="1"/>
    </row>
    <row r="102" spans="2:9">
      <c r="B102" s="1"/>
    </row>
    <row r="103" spans="2:9">
      <c r="B103" s="1"/>
    </row>
    <row r="104" spans="2:9">
      <c r="B104" s="1"/>
    </row>
    <row r="105" spans="2:9">
      <c r="B105" s="1"/>
    </row>
    <row r="106" spans="2:9">
      <c r="B106" s="1"/>
    </row>
    <row r="107" spans="2:9">
      <c r="B107" s="1"/>
    </row>
    <row r="108" spans="2:9">
      <c r="B108" s="1"/>
    </row>
    <row r="109" spans="2:9">
      <c r="B109" s="1"/>
    </row>
    <row r="110" spans="2:9">
      <c r="B110" s="1"/>
    </row>
    <row r="111" spans="2:9">
      <c r="B111" s="1"/>
    </row>
    <row r="112" spans="2:9">
      <c r="B112" s="1"/>
      <c r="D112" s="9"/>
      <c r="E112" s="9"/>
      <c r="F112" s="9"/>
      <c r="G112" s="9"/>
      <c r="H112" s="9"/>
      <c r="I112" s="9"/>
    </row>
    <row r="113" spans="1:12">
      <c r="B113" s="1"/>
      <c r="J113" s="9"/>
      <c r="K113" s="9"/>
      <c r="L113" s="9"/>
    </row>
    <row r="114" spans="1:12">
      <c r="A114" s="9"/>
      <c r="B114" s="9"/>
      <c r="C114" s="9"/>
    </row>
    <row r="115" spans="1:12">
      <c r="B115" s="1"/>
    </row>
    <row r="116" spans="1:12">
      <c r="B116" s="1"/>
    </row>
  </sheetData>
  <mergeCells count="27">
    <mergeCell ref="T5:W5"/>
    <mergeCell ref="D5:G5"/>
    <mergeCell ref="H5:K5"/>
    <mergeCell ref="L5:M5"/>
    <mergeCell ref="N5:Q5"/>
    <mergeCell ref="R5:S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</mergeCells>
  <conditionalFormatting sqref="CT7:CV24">
    <cfRule type="cellIs" dxfId="264" priority="33" operator="lessThan">
      <formula>0</formula>
    </cfRule>
    <cfRule type="cellIs" dxfId="263" priority="34" operator="greaterThan">
      <formula>0</formula>
    </cfRule>
  </conditionalFormatting>
  <conditionalFormatting sqref="CR7:CS24">
    <cfRule type="cellIs" dxfId="262" priority="29" operator="greaterThan">
      <formula>1000</formula>
    </cfRule>
    <cfRule type="cellIs" dxfId="261" priority="30" operator="between">
      <formula>500</formula>
      <formula>1000</formula>
    </cfRule>
    <cfRule type="cellIs" dxfId="260" priority="31" operator="between">
      <formula>300</formula>
      <formula>500</formula>
    </cfRule>
    <cfRule type="cellIs" dxfId="259" priority="32" operator="lessThan">
      <formula>300</formula>
    </cfRule>
  </conditionalFormatting>
  <conditionalFormatting sqref="AI71">
    <cfRule type="cellIs" dxfId="258" priority="28" operator="greaterThanOrEqual">
      <formula>10</formula>
    </cfRule>
  </conditionalFormatting>
  <conditionalFormatting sqref="B117:B1048576 B6 C5 B13:B50">
    <cfRule type="duplicateValues" dxfId="257" priority="27"/>
  </conditionalFormatting>
  <conditionalFormatting sqref="C13:C24">
    <cfRule type="containsText" dxfId="256" priority="26" operator="containsText" text="@">
      <formula>NOT(ISERROR(SEARCH("@",C13)))</formula>
    </cfRule>
  </conditionalFormatting>
  <conditionalFormatting sqref="B13:B24">
    <cfRule type="notContainsBlanks" dxfId="255" priority="25">
      <formula>LEN(TRIM(B13))&gt;0</formula>
    </cfRule>
  </conditionalFormatting>
  <conditionalFormatting sqref="Z7:AN7 CH6:CO7 D7:M7 P7:W7 AC8:AD8 C8 AU7:AX7 AZ8:BF8 CA7:CG7 Z8:Z11 AY8:AY11 AA8:AB12 AZ9:BH12 CA8:CV12 BI7:BN12 A13:C13 AY13:BN13 A14:K16 Z13:AD13 AE8:AJ13 CA13:CO13 AS8:AX13 D8:K13 B18:Q18 A17:Q17 AM8:AP16 AS14:CO16 AQ7:AR16 BO7:BZ13 L8:R8 L9:Q16 CP13:CV15 CY7:XFD15 CW14:CX15 AM17:CO18 CP16:XFD18 S8:W18 R9:R18 T10:T19 BG7:BH15 CP7:CV7 Z21:XFD24 U8:U19 Z14:AJ20 AM19:XFD20 AK8:AL20 AW9:AX20 BO8:BO20 BU9:BV20 A19:W24">
    <cfRule type="expression" dxfId="254" priority="24">
      <formula>CELL("row")=ROW()</formula>
    </cfRule>
  </conditionalFormatting>
  <conditionalFormatting sqref="A1">
    <cfRule type="expression" dxfId="253" priority="23">
      <formula>CELL("row")=ROW()</formula>
    </cfRule>
  </conditionalFormatting>
  <conditionalFormatting sqref="P7:S7 AC8:AD8 BK10:BL12 BN10:BN12 J7:M7 AI7:AN7 Z8:Z11 AY8:AY11 BK7:BN9 S8:S13 AM8:AP16 AS8:AS16 AQ7:AR16 S14:U18 J8:R18 AI21:AS24 AM17:AS20 AI8:AL20 J19:U24 AA7:AB24 AE7:AF24 BA8:BD24 BM10:BM24 D7:G24 AU7:AX24 BG7:BH24 BO7:BP24 BU7:BV24">
    <cfRule type="containsText" dxfId="252" priority="22" operator="containsText" text=".">
      <formula>NOT(ISERROR(SEARCH(".",D7)))</formula>
    </cfRule>
  </conditionalFormatting>
  <conditionalFormatting sqref="C7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{A47D8562-64F5-41AD-A93F-1DADBB13FA43}</x14:id>
        </ext>
      </extLst>
    </cfRule>
  </conditionalFormatting>
  <conditionalFormatting sqref="AS7:AT7 AY7:BF7 N7:O7 AO7:AP7">
    <cfRule type="expression" dxfId="251" priority="20">
      <formula>CELL("row")=ROW()</formula>
    </cfRule>
  </conditionalFormatting>
  <conditionalFormatting sqref="AY7:BF7 Z7 AS7:AT7 AO7:AP7 N7:O7 AC7:AD7 H7:I12 H14:I15 AZ8:AZ24 BE8:BF24 BI7:BJ24 AT8:AT24 AG7:AH24 T7:W24">
    <cfRule type="containsText" dxfId="250" priority="19" operator="containsText" text=".">
      <formula>NOT(ISERROR(SEARCH(".",H7)))</formula>
    </cfRule>
  </conditionalFormatting>
  <conditionalFormatting sqref="C31">
    <cfRule type="duplicateValues" dxfId="249" priority="18"/>
  </conditionalFormatting>
  <conditionalFormatting sqref="C31">
    <cfRule type="containsText" dxfId="248" priority="17" operator="containsText" text="@">
      <formula>NOT(ISERROR(SEARCH("@",C31)))</formula>
    </cfRule>
  </conditionalFormatting>
  <conditionalFormatting sqref="C31">
    <cfRule type="expression" dxfId="247" priority="16">
      <formula>CELL("row")=ROW()</formula>
    </cfRule>
  </conditionalFormatting>
  <conditionalFormatting sqref="C32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{BF0C0D50-EC63-478E-9E2E-2CCCAF86A0B8}</x14:id>
        </ext>
      </extLst>
    </cfRule>
  </conditionalFormatting>
  <conditionalFormatting sqref="C3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{2D834B69-8896-4785-A2CD-BDA9B763DFBF}</x14:id>
        </ext>
      </extLst>
    </cfRule>
  </conditionalFormatting>
  <conditionalFormatting sqref="C39">
    <cfRule type="containsText" dxfId="246" priority="13" operator="containsText" text="@">
      <formula>NOT(ISERROR(SEARCH("@",C39)))</formula>
    </cfRule>
  </conditionalFormatting>
  <conditionalFormatting sqref="C39">
    <cfRule type="expression" dxfId="245" priority="12">
      <formula>CELL("row")=ROW()</formula>
    </cfRule>
  </conditionalFormatting>
  <conditionalFormatting sqref="C40">
    <cfRule type="duplicateValues" dxfId="244" priority="11"/>
  </conditionalFormatting>
  <conditionalFormatting sqref="C40">
    <cfRule type="containsText" dxfId="243" priority="10" operator="containsText" text="@">
      <formula>NOT(ISERROR(SEARCH("@",C40)))</formula>
    </cfRule>
  </conditionalFormatting>
  <conditionalFormatting sqref="C40">
    <cfRule type="expression" dxfId="242" priority="9">
      <formula>CELL("row")=ROW()</formula>
    </cfRule>
  </conditionalFormatting>
  <conditionalFormatting sqref="C42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{19FEB1C7-5DEC-46D3-85A0-FCC638BF2CF2}</x14:id>
        </ext>
      </extLst>
    </cfRule>
  </conditionalFormatting>
  <conditionalFormatting sqref="C46">
    <cfRule type="duplicateValues" dxfId="241" priority="7"/>
  </conditionalFormatting>
  <conditionalFormatting sqref="C46">
    <cfRule type="containsText" dxfId="240" priority="6" operator="containsText" text="@">
      <formula>NOT(ISERROR(SEARCH("@",C46)))</formula>
    </cfRule>
  </conditionalFormatting>
  <conditionalFormatting sqref="C46">
    <cfRule type="expression" dxfId="239" priority="5">
      <formula>CELL("row")=ROW()</formula>
    </cfRule>
  </conditionalFormatting>
  <conditionalFormatting sqref="H8:I8">
    <cfRule type="containsText" dxfId="238" priority="4" operator="containsText" text=".">
      <formula>NOT(ISERROR(SEARCH(".",H8)))</formula>
    </cfRule>
  </conditionalFormatting>
  <conditionalFormatting sqref="AY12 Z12 AC12:AD12">
    <cfRule type="expression" dxfId="237" priority="3">
      <formula>CELL("row")=ROW()</formula>
    </cfRule>
  </conditionalFormatting>
  <conditionalFormatting sqref="Z12 AY12 AC12:AD12">
    <cfRule type="containsText" dxfId="236" priority="2" operator="containsText" text=".">
      <formula>NOT(ISERROR(SEARCH(".",Z12)))</formula>
    </cfRule>
  </conditionalFormatting>
  <conditionalFormatting sqref="H18:I18">
    <cfRule type="containsText" dxfId="235" priority="1" operator="containsText" text=".">
      <formula>NOT(ISERROR(SEARCH(".",H18)))</formula>
    </cfRule>
  </conditionalFormatting>
  <conditionalFormatting sqref="CT7:CT24">
    <cfRule type="colorScale" priority="27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138" scale="13" orientation="landscape" horizontalDpi="1200" verticalDpi="120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7D8562-64F5-41AD-A93F-1DADBB13FA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BF0C0D50-EC63-478E-9E2E-2CCCAF86A0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C32</xm:sqref>
        </x14:conditionalFormatting>
        <x14:conditionalFormatting xmlns:xm="http://schemas.microsoft.com/office/excel/2006/main">
          <x14:cfRule type="dataBar" id="{2D834B69-8896-4785-A2CD-BDA9B763DF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C34</xm:sqref>
        </x14:conditionalFormatting>
        <x14:conditionalFormatting xmlns:xm="http://schemas.microsoft.com/office/excel/2006/main">
          <x14:cfRule type="dataBar" id="{19FEB1C7-5DEC-46D3-85A0-FCC638BF2C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6489B-B4F3-4B9D-85C9-77657287FDC0}">
  <sheetPr codeName="Hoja36">
    <pageSetUpPr fitToPage="1"/>
  </sheetPr>
  <dimension ref="A1:CX120"/>
  <sheetViews>
    <sheetView topLeftCell="A5" zoomScaleNormal="100" zoomScaleSheetLayoutView="70" workbookViewId="0">
      <pane xSplit="3" topLeftCell="CF1" activePane="topRight" state="frozen"/>
      <selection pane="topRight" activeCell="CX31" sqref="CX31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5" width="15" style="1" bestFit="1" customWidth="1"/>
    <col min="26" max="26" width="15" style="1" customWidth="1"/>
    <col min="27" max="27" width="12.85546875" style="1" hidden="1" customWidth="1"/>
    <col min="28" max="28" width="13.140625" style="1" hidden="1" customWidth="1"/>
    <col min="29" max="29" width="12.85546875" style="1" hidden="1" customWidth="1"/>
    <col min="30" max="30" width="9.5703125" style="1" hidden="1" customWidth="1"/>
    <col min="31" max="32" width="8.42578125" style="1" hidden="1" customWidth="1"/>
    <col min="33" max="33" width="15.7109375" style="1" hidden="1" customWidth="1"/>
    <col min="34" max="34" width="13.7109375" style="1" hidden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hidden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2.85546875" style="1" bestFit="1" customWidth="1"/>
    <col min="57" max="57" width="15.7109375" style="1" hidden="1" customWidth="1"/>
    <col min="58" max="58" width="14.140625" style="1" hidden="1" customWidth="1"/>
    <col min="59" max="59" width="13.42578125" style="1" customWidth="1"/>
    <col min="60" max="60" width="13.5703125" style="1" customWidth="1"/>
    <col min="61" max="61" width="14.85546875" style="1" hidden="1" customWidth="1"/>
    <col min="62" max="62" width="11.28515625" style="1" hidden="1" customWidth="1"/>
    <col min="63" max="63" width="10.5703125" style="1" hidden="1" customWidth="1"/>
    <col min="64" max="64" width="12.7109375" style="1" hidden="1" customWidth="1"/>
    <col min="65" max="66" width="18.140625" style="1" hidden="1" customWidth="1"/>
    <col min="67" max="67" width="22.7109375" style="1" customWidth="1"/>
    <col min="68" max="68" width="14.28515625" style="1" hidden="1" customWidth="1"/>
    <col min="69" max="69" width="16.28515625" style="1" hidden="1" customWidth="1"/>
    <col min="70" max="70" width="15.7109375" style="1" hidden="1" customWidth="1"/>
    <col min="71" max="71" width="11.5703125" style="1" hidden="1" customWidth="1"/>
    <col min="72" max="72" width="12.140625" style="1" hidden="1" customWidth="1"/>
    <col min="73" max="73" width="15.140625" style="1" customWidth="1"/>
    <col min="74" max="74" width="15.7109375" style="1" customWidth="1"/>
    <col min="75" max="75" width="13" style="1" hidden="1" customWidth="1"/>
    <col min="76" max="76" width="13.28515625" style="1" hidden="1" customWidth="1"/>
    <col min="77" max="77" width="15.140625" style="1" customWidth="1"/>
    <col min="78" max="78" width="15.7109375" style="1" customWidth="1"/>
    <col min="79" max="79" width="13.85546875" style="1" customWidth="1"/>
    <col min="80" max="80" width="15.85546875" style="1" customWidth="1"/>
    <col min="81" max="82" width="14.28515625" style="1" bestFit="1" customWidth="1"/>
    <col min="83" max="84" width="12.140625" style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50">
        <v>3902</v>
      </c>
      <c r="B2" s="151">
        <v>1.28</v>
      </c>
      <c r="C2" s="152">
        <v>1.0649999999999999</v>
      </c>
      <c r="D2" s="153">
        <v>395.32</v>
      </c>
      <c r="E2" s="153">
        <v>1.28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144">
        <v>3991</v>
      </c>
      <c r="B3" s="145">
        <v>1.28</v>
      </c>
      <c r="C3" s="145">
        <v>1.0569999999999999</v>
      </c>
      <c r="D3" s="146">
        <v>395.32</v>
      </c>
      <c r="E3" s="146">
        <v>1.28</v>
      </c>
      <c r="F3" s="32"/>
      <c r="H3" s="32"/>
      <c r="L3" s="32"/>
      <c r="T3" s="43"/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O4" s="78" t="s">
        <v>10</v>
      </c>
      <c r="CH4" s="80"/>
    </row>
    <row r="5" spans="1:102" s="4" customFormat="1" ht="43.5" customHeigh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19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29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148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141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141" t="s">
        <v>112</v>
      </c>
      <c r="BX6" s="141" t="s">
        <v>112</v>
      </c>
      <c r="BY6" s="82" t="s">
        <v>45</v>
      </c>
      <c r="BZ6" s="82" t="s">
        <v>46</v>
      </c>
      <c r="CA6" s="141" t="s">
        <v>53</v>
      </c>
      <c r="CB6" s="141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/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4600000</v>
      </c>
    </row>
    <row r="7" spans="1:102">
      <c r="A7" s="44"/>
      <c r="B7" s="45" t="s">
        <v>118</v>
      </c>
      <c r="C7" s="46" t="s">
        <v>119</v>
      </c>
      <c r="D7" s="102">
        <v>0</v>
      </c>
      <c r="E7" s="102">
        <v>0</v>
      </c>
      <c r="F7" s="98">
        <f>SUM((D7*2)*0.3)</f>
        <v>0</v>
      </c>
      <c r="G7" s="98">
        <f>SUM((E7*2)*0.3)</f>
        <v>0</v>
      </c>
      <c r="H7" s="98">
        <v>0</v>
      </c>
      <c r="I7" s="98">
        <v>15</v>
      </c>
      <c r="J7" s="98">
        <f>SUM(H7*0.78)*$C$2</f>
        <v>0</v>
      </c>
      <c r="K7" s="98">
        <f>SUM(I7*0.78)*$C$3</f>
        <v>12.366900000000001</v>
      </c>
      <c r="L7" s="103">
        <v>72.06</v>
      </c>
      <c r="M7" s="98">
        <f>L7</f>
        <v>72.06</v>
      </c>
      <c r="N7" s="98">
        <v>35.299999999999997</v>
      </c>
      <c r="O7" s="98">
        <v>29.87</v>
      </c>
      <c r="P7" s="98">
        <f>N7*$C$2</f>
        <v>37.594499999999996</v>
      </c>
      <c r="Q7" s="98">
        <f>O7*$C$3</f>
        <v>31.572589999999998</v>
      </c>
      <c r="R7" s="103">
        <v>47.98</v>
      </c>
      <c r="S7" s="98">
        <f>R7*$C$3</f>
        <v>50.714859999999994</v>
      </c>
      <c r="T7" s="103">
        <v>50.76</v>
      </c>
      <c r="U7" s="98">
        <v>59.75</v>
      </c>
      <c r="V7" s="98">
        <f>SUM(T7*($C$2))</f>
        <v>54.059399999999997</v>
      </c>
      <c r="W7" s="98">
        <f>SUM(U7*($C$3))</f>
        <v>63.155749999999998</v>
      </c>
      <c r="X7" s="120">
        <v>10</v>
      </c>
      <c r="Y7" s="120">
        <v>1.25</v>
      </c>
      <c r="Z7" s="121"/>
      <c r="AA7" s="121">
        <f>SUM(X7*0.75)+(Z7*0.75)</f>
        <v>7.5</v>
      </c>
      <c r="AB7" s="121">
        <f>(Y7*0.75)+(Z7*0.75)</f>
        <v>0.9375</v>
      </c>
      <c r="AC7" s="121">
        <v>0</v>
      </c>
      <c r="AD7" s="121">
        <v>0</v>
      </c>
      <c r="AE7" s="121">
        <f>AC7*0.75</f>
        <v>0</v>
      </c>
      <c r="AF7" s="121">
        <f>AD7*0.75</f>
        <v>0</v>
      </c>
      <c r="AG7" s="98"/>
      <c r="AH7" s="98"/>
      <c r="AI7" s="98">
        <f>AG7*0.75</f>
        <v>0</v>
      </c>
      <c r="AJ7" s="98">
        <f>AH7*0.75</f>
        <v>0</v>
      </c>
      <c r="AK7" s="103">
        <v>228.93</v>
      </c>
      <c r="AL7" s="98">
        <v>80.599999999999994</v>
      </c>
      <c r="AM7" s="98">
        <f>AK7*$C$2</f>
        <v>243.81045</v>
      </c>
      <c r="AN7" s="98">
        <f>AL7*$C$3</f>
        <v>85.194199999999995</v>
      </c>
      <c r="AO7" s="98">
        <v>0</v>
      </c>
      <c r="AP7" s="98">
        <v>0</v>
      </c>
      <c r="AQ7" s="130"/>
      <c r="AR7" s="130"/>
      <c r="AS7" s="98"/>
      <c r="AT7" s="98">
        <f>AS7*$C$3</f>
        <v>0</v>
      </c>
      <c r="AU7" s="98"/>
      <c r="AV7" s="149">
        <f>AU7*$C$3</f>
        <v>0</v>
      </c>
      <c r="AW7" s="98">
        <v>120.93</v>
      </c>
      <c r="AX7" s="98">
        <v>59.59</v>
      </c>
      <c r="AY7" s="98"/>
      <c r="AZ7" s="98">
        <f>AY7*$D$2</f>
        <v>0</v>
      </c>
      <c r="BA7" s="98">
        <v>103.68</v>
      </c>
      <c r="BB7" s="98">
        <v>46.78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>BH7*$C$3</f>
        <v>0</v>
      </c>
      <c r="BK7" s="98"/>
      <c r="BL7" s="98"/>
      <c r="BM7" s="98">
        <v>0</v>
      </c>
      <c r="BN7" s="98">
        <f>BM7*$C$3</f>
        <v>0</v>
      </c>
      <c r="BO7" s="105">
        <v>78.34</v>
      </c>
      <c r="BP7" s="149">
        <f>BO7*$C$3</f>
        <v>82.80538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42">
        <f>BU7*$E$2</f>
        <v>0</v>
      </c>
      <c r="BX7" s="142">
        <f>BV7*$E$3</f>
        <v>0</v>
      </c>
      <c r="BY7" s="110">
        <v>78.88</v>
      </c>
      <c r="BZ7" s="110">
        <v>125.04</v>
      </c>
      <c r="CA7" s="142">
        <f>BY7/2</f>
        <v>39.44</v>
      </c>
      <c r="CB7" s="142">
        <f>BZ7/2</f>
        <v>62.52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2780000</v>
      </c>
      <c r="CI7" s="72"/>
      <c r="CJ7" s="72"/>
      <c r="CK7" s="53">
        <v>1760000</v>
      </c>
      <c r="CL7" s="72"/>
      <c r="CM7" s="53">
        <v>1020000</v>
      </c>
      <c r="CN7" s="72"/>
      <c r="CO7" s="72"/>
      <c r="CP7" s="90"/>
      <c r="CQ7" s="68">
        <v>0</v>
      </c>
      <c r="CR7" s="69">
        <f>SUM(AO7,AQ7,F7,P7,BS7,AM7,AA7,AE7,J7,AI7,V7,BA7,BE7,CE7,AW7,CA7,BW7)</f>
        <v>607.01434999999992</v>
      </c>
      <c r="CS7" s="69">
        <f>SUM(AP7,AR7,G7,Q7,BN7,AZ7,M7,BT7,AN7,S7,AB7,AF7,K7,AJ7,BI7,W7,BB7,BF7,CF7,BP7,BL7,CG7,AT7,AV7,AX7,CB7,BX7)</f>
        <v>567.69718</v>
      </c>
      <c r="CT7" s="70">
        <f t="shared" ref="CT7:CT28" si="0">(((CR7*$A$2)+(CS7*$A$3))*0.6)+((BJ7*$A$3)*0.75)</f>
        <v>2780549.6634479999</v>
      </c>
      <c r="CU7" s="70">
        <f t="shared" ref="CU7:CU28" si="1">((CR7*$A$2)+(CS7*$A$3))*0.4+((BJ7*$A$3)*0.25)</f>
        <v>1853699.7756320001</v>
      </c>
      <c r="CV7" s="143">
        <f>CT7-CH7</f>
        <v>549.66344799986109</v>
      </c>
      <c r="CW7" s="1" t="s">
        <v>120</v>
      </c>
      <c r="CX7" s="126">
        <v>1237696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ref="F8:G22" si="2">SUM((D8*2)*0.3)</f>
        <v>0</v>
      </c>
      <c r="G8" s="98">
        <f t="shared" si="2"/>
        <v>0</v>
      </c>
      <c r="H8" s="98">
        <v>20</v>
      </c>
      <c r="I8" s="98">
        <v>40</v>
      </c>
      <c r="J8" s="98">
        <f t="shared" ref="J8:J28" si="3">SUM(H8*0.78)*$C$2</f>
        <v>16.614000000000001</v>
      </c>
      <c r="K8" s="98">
        <f t="shared" ref="K8:K28" si="4">SUM(I8*0.78)*$C$3</f>
        <v>32.978400000000001</v>
      </c>
      <c r="L8" s="103">
        <v>43.66</v>
      </c>
      <c r="M8" s="98">
        <f t="shared" ref="M8:M28" si="5">L8</f>
        <v>43.66</v>
      </c>
      <c r="N8" s="99"/>
      <c r="O8" s="99"/>
      <c r="P8" s="98">
        <f t="shared" ref="P8:P28" si="6">N8*$C$2</f>
        <v>0</v>
      </c>
      <c r="Q8" s="98">
        <f t="shared" ref="Q8:Q28" si="7">O8*$C$3</f>
        <v>0</v>
      </c>
      <c r="R8" s="103"/>
      <c r="S8" s="98">
        <f t="shared" ref="S8:S28" si="8">R8*$C$3</f>
        <v>0</v>
      </c>
      <c r="T8" s="103">
        <v>29.81</v>
      </c>
      <c r="U8" s="98">
        <v>20.2</v>
      </c>
      <c r="V8" s="98">
        <f t="shared" ref="V8:V28" si="9">SUM(T8*($C$2))</f>
        <v>31.747649999999997</v>
      </c>
      <c r="W8" s="98">
        <f t="shared" ref="W8:W28" si="10">SUM(U8*($C$3))</f>
        <v>21.351399999999998</v>
      </c>
      <c r="X8" s="120">
        <v>108.5</v>
      </c>
      <c r="Y8" s="120">
        <v>62</v>
      </c>
      <c r="Z8" s="119"/>
      <c r="AA8" s="121">
        <f t="shared" ref="AA8:AA28" si="11">SUM(X8*0.75)+(Z8*0.75)</f>
        <v>81.375</v>
      </c>
      <c r="AB8" s="121">
        <f t="shared" ref="AB8:AB28" si="12">(Y8*0.75)+(Z8*0.75)</f>
        <v>46.5</v>
      </c>
      <c r="AC8" s="119"/>
      <c r="AD8" s="119"/>
      <c r="AE8" s="121">
        <f t="shared" ref="AE8:AF28" si="13">AC8*0.75</f>
        <v>0</v>
      </c>
      <c r="AF8" s="121">
        <f t="shared" si="13"/>
        <v>0</v>
      </c>
      <c r="AG8" s="98"/>
      <c r="AH8" s="98"/>
      <c r="AI8" s="98">
        <f t="shared" ref="AI8:AJ28" si="14">AG8*0.75</f>
        <v>0</v>
      </c>
      <c r="AJ8" s="98">
        <f t="shared" si="14"/>
        <v>0</v>
      </c>
      <c r="AK8" s="103">
        <v>186.41</v>
      </c>
      <c r="AL8" s="98">
        <v>107.71</v>
      </c>
      <c r="AM8" s="98">
        <f t="shared" ref="AM8:AM28" si="15">AK8*$C$2</f>
        <v>198.52664999999999</v>
      </c>
      <c r="AN8" s="98">
        <f t="shared" ref="AN8:AN28" si="16">AL8*$C$3</f>
        <v>113.84946999999998</v>
      </c>
      <c r="AO8" s="99">
        <v>0</v>
      </c>
      <c r="AP8" s="99">
        <v>0</v>
      </c>
      <c r="AQ8" s="131"/>
      <c r="AR8" s="131"/>
      <c r="AS8" s="99"/>
      <c r="AT8" s="98">
        <f t="shared" ref="AT8:AT28" si="17">AS8*$C$3</f>
        <v>0</v>
      </c>
      <c r="AU8" s="99"/>
      <c r="AV8" s="149">
        <f t="shared" ref="AV8:AV28" si="18">AU8*$C$3</f>
        <v>0</v>
      </c>
      <c r="AW8" s="98">
        <v>20.69</v>
      </c>
      <c r="AX8" s="98">
        <v>101.23</v>
      </c>
      <c r="AY8" s="99"/>
      <c r="AZ8" s="98">
        <f t="shared" ref="AZ8:AZ28" si="19">AY8*$D$2</f>
        <v>0</v>
      </c>
      <c r="BA8" s="99"/>
      <c r="BB8" s="99"/>
      <c r="BC8" s="99">
        <f>85.7+21</f>
        <v>106.7</v>
      </c>
      <c r="BD8" s="99">
        <f>60.4+2</f>
        <v>62.4</v>
      </c>
      <c r="BE8" s="98">
        <f t="shared" ref="BE8:BE28" si="20">SUM(BC8*0.62)*$B$2</f>
        <v>84.677120000000002</v>
      </c>
      <c r="BF8" s="98">
        <f t="shared" ref="BF8:BF28" si="21">SUM(BD8*0.62)*$B$3</f>
        <v>49.520640000000007</v>
      </c>
      <c r="BG8" s="98">
        <v>29.85</v>
      </c>
      <c r="BH8" s="98">
        <v>5.93</v>
      </c>
      <c r="BI8" s="98">
        <f t="shared" ref="BI8:BI28" si="22">(BG8*$C$3)</f>
        <v>31.551449999999999</v>
      </c>
      <c r="BJ8" s="98">
        <f t="shared" ref="BJ8:BJ28" si="23">BH8*$C$3</f>
        <v>6.2680099999999994</v>
      </c>
      <c r="BK8" s="99"/>
      <c r="BL8" s="99"/>
      <c r="BM8" s="99"/>
      <c r="BN8" s="98">
        <f t="shared" ref="BN8:BN28" si="24">BM8*$C$3</f>
        <v>0</v>
      </c>
      <c r="BO8" s="105">
        <v>71.42</v>
      </c>
      <c r="BP8" s="149">
        <f t="shared" ref="BP8:BP28" si="25">BO8*$C$3</f>
        <v>75.490939999999995</v>
      </c>
      <c r="BQ8" s="113">
        <v>0</v>
      </c>
      <c r="BR8" s="113">
        <v>0</v>
      </c>
      <c r="BS8" s="104">
        <f t="shared" ref="BS8:BS28" si="26">(BQ8/$D$2)*$C$2</f>
        <v>0</v>
      </c>
      <c r="BT8" s="104">
        <f t="shared" ref="BT8:BT28" si="27">(BR8/$D$3)*$C$3</f>
        <v>0</v>
      </c>
      <c r="BU8" s="105">
        <v>1.32</v>
      </c>
      <c r="BV8" s="105">
        <v>0.4</v>
      </c>
      <c r="BW8" s="142">
        <f t="shared" ref="BW8:BW28" si="28">BU8*$E$2</f>
        <v>1.6896000000000002</v>
      </c>
      <c r="BX8" s="142">
        <f t="shared" ref="BX8:BX28" si="29">BV8*$E$3</f>
        <v>0.51200000000000001</v>
      </c>
      <c r="BY8" s="110">
        <v>26.5</v>
      </c>
      <c r="BZ8" s="110">
        <v>12.54</v>
      </c>
      <c r="CA8" s="142">
        <f t="shared" ref="CA8:CB28" si="30">BY8/2</f>
        <v>13.25</v>
      </c>
      <c r="CB8" s="142">
        <f t="shared" si="30"/>
        <v>6.27</v>
      </c>
      <c r="CC8" s="109">
        <v>0</v>
      </c>
      <c r="CD8" s="109">
        <v>0</v>
      </c>
      <c r="CE8" s="98">
        <f t="shared" ref="CE8:CF28" si="31">CC8*0.05</f>
        <v>0</v>
      </c>
      <c r="CF8" s="107">
        <f t="shared" si="31"/>
        <v>0</v>
      </c>
      <c r="CG8" s="81"/>
      <c r="CH8" s="65">
        <f t="shared" ref="CH8:CH28" si="32">SUM(CI8:CO8)</f>
        <v>2325000</v>
      </c>
      <c r="CI8" s="73"/>
      <c r="CJ8" s="125"/>
      <c r="CK8" s="66">
        <v>1235000</v>
      </c>
      <c r="CL8" s="73"/>
      <c r="CM8" s="66">
        <v>1090000</v>
      </c>
      <c r="CN8" s="73"/>
      <c r="CO8" s="73"/>
      <c r="CP8" s="90"/>
      <c r="CQ8" s="68">
        <v>0</v>
      </c>
      <c r="CR8" s="69">
        <f t="shared" ref="CR8:CR28" si="33">SUM(AO8,AQ8,F8,P8,BS8,AM8,AA8,AE8,J8,AI8,V8,BA8,BE8,CE8,AW8,CA8,BW8)</f>
        <v>448.57002</v>
      </c>
      <c r="CS8" s="69">
        <f t="shared" ref="CS8:CS28" si="34">SUM(AP8,AR8,G8,Q8,BN8,AZ8,M8,BT8,AN8,S8,AB8,AF8,K8,AJ8,BI8,W8,BB8,BF8,CF8,BP8,BL8,CG8,AT8,AV8,AX8,CB8,BX8)</f>
        <v>522.91429999999991</v>
      </c>
      <c r="CT8" s="70">
        <f t="shared" si="0"/>
        <v>2321124.4345364994</v>
      </c>
      <c r="CU8" s="70">
        <f t="shared" si="1"/>
        <v>1541162.3827134999</v>
      </c>
      <c r="CV8" s="70">
        <f t="shared" ref="CV8:CV28" si="35">CT8-CH8</f>
        <v>-3875.5654635005631</v>
      </c>
      <c r="CW8" s="15" t="s">
        <v>123</v>
      </c>
      <c r="CX8" s="127">
        <v>174310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2"/>
        <v>0</v>
      </c>
      <c r="G9" s="98">
        <f t="shared" si="2"/>
        <v>0</v>
      </c>
      <c r="H9" s="98"/>
      <c r="I9" s="98"/>
      <c r="J9" s="98">
        <f t="shared" si="3"/>
        <v>0</v>
      </c>
      <c r="K9" s="98">
        <f t="shared" si="4"/>
        <v>0</v>
      </c>
      <c r="L9" s="103">
        <v>35.32</v>
      </c>
      <c r="M9" s="98">
        <f t="shared" si="5"/>
        <v>35.32</v>
      </c>
      <c r="N9" s="98"/>
      <c r="O9" s="98"/>
      <c r="P9" s="98">
        <f t="shared" si="6"/>
        <v>0</v>
      </c>
      <c r="Q9" s="98">
        <f t="shared" si="7"/>
        <v>0</v>
      </c>
      <c r="R9" s="103">
        <v>36.56</v>
      </c>
      <c r="S9" s="98">
        <f t="shared" si="8"/>
        <v>38.643920000000001</v>
      </c>
      <c r="T9" s="103">
        <v>1.3</v>
      </c>
      <c r="U9" s="98">
        <v>7.71</v>
      </c>
      <c r="V9" s="98">
        <f t="shared" si="9"/>
        <v>1.3845000000000001</v>
      </c>
      <c r="W9" s="98">
        <f t="shared" si="10"/>
        <v>8.1494699999999991</v>
      </c>
      <c r="X9" s="120">
        <v>0</v>
      </c>
      <c r="Y9" s="120">
        <v>0</v>
      </c>
      <c r="Z9" s="121"/>
      <c r="AA9" s="121">
        <f t="shared" si="11"/>
        <v>0</v>
      </c>
      <c r="AB9" s="121">
        <f t="shared" si="12"/>
        <v>0</v>
      </c>
      <c r="AC9" s="123">
        <v>0</v>
      </c>
      <c r="AD9" s="123">
        <v>0</v>
      </c>
      <c r="AE9" s="121">
        <f t="shared" si="13"/>
        <v>0</v>
      </c>
      <c r="AF9" s="121">
        <f t="shared" si="13"/>
        <v>0</v>
      </c>
      <c r="AG9" s="98"/>
      <c r="AH9" s="98"/>
      <c r="AI9" s="98">
        <f t="shared" si="14"/>
        <v>0</v>
      </c>
      <c r="AJ9" s="98">
        <f t="shared" si="14"/>
        <v>0</v>
      </c>
      <c r="AK9" s="103">
        <v>15.06</v>
      </c>
      <c r="AL9" s="98">
        <v>11.1</v>
      </c>
      <c r="AM9" s="98">
        <f t="shared" si="15"/>
        <v>16.038899999999998</v>
      </c>
      <c r="AN9" s="98">
        <f t="shared" si="16"/>
        <v>11.732699999999999</v>
      </c>
      <c r="AO9" s="98"/>
      <c r="AP9" s="98"/>
      <c r="AQ9" s="130"/>
      <c r="AR9" s="130"/>
      <c r="AS9" s="99"/>
      <c r="AT9" s="98">
        <f t="shared" si="17"/>
        <v>0</v>
      </c>
      <c r="AU9" s="98"/>
      <c r="AV9" s="149">
        <f t="shared" si="18"/>
        <v>0</v>
      </c>
      <c r="AW9" s="98">
        <v>4.08</v>
      </c>
      <c r="AX9" s="98">
        <v>33.39</v>
      </c>
      <c r="AY9" s="98"/>
      <c r="AZ9" s="98">
        <f t="shared" si="19"/>
        <v>0</v>
      </c>
      <c r="BA9" s="98"/>
      <c r="BB9" s="98"/>
      <c r="BC9" s="98"/>
      <c r="BD9" s="98"/>
      <c r="BE9" s="98">
        <f t="shared" si="20"/>
        <v>0</v>
      </c>
      <c r="BF9" s="98">
        <f t="shared" si="21"/>
        <v>0</v>
      </c>
      <c r="BG9" s="98">
        <v>32.799999999999997</v>
      </c>
      <c r="BH9" s="98">
        <v>0</v>
      </c>
      <c r="BI9" s="98">
        <f t="shared" si="22"/>
        <v>34.669599999999996</v>
      </c>
      <c r="BJ9" s="98">
        <f t="shared" si="23"/>
        <v>0</v>
      </c>
      <c r="BK9" s="98"/>
      <c r="BL9" s="98"/>
      <c r="BM9" s="98"/>
      <c r="BN9" s="98">
        <f t="shared" si="24"/>
        <v>0</v>
      </c>
      <c r="BO9" s="105">
        <v>7.09</v>
      </c>
      <c r="BP9" s="149">
        <f t="shared" si="25"/>
        <v>7.4941299999999993</v>
      </c>
      <c r="BQ9" s="112">
        <v>0</v>
      </c>
      <c r="BR9" s="112">
        <v>0</v>
      </c>
      <c r="BS9" s="104">
        <f>(BQ9/$D$2)*$C$2</f>
        <v>0</v>
      </c>
      <c r="BT9" s="104">
        <f t="shared" si="27"/>
        <v>0</v>
      </c>
      <c r="BU9" s="105">
        <v>0.55000000000000004</v>
      </c>
      <c r="BV9" s="105">
        <v>8.77</v>
      </c>
      <c r="BW9" s="142">
        <f t="shared" si="28"/>
        <v>0.70400000000000007</v>
      </c>
      <c r="BX9" s="142">
        <f t="shared" si="29"/>
        <v>11.2256</v>
      </c>
      <c r="BY9" s="110">
        <v>5.53</v>
      </c>
      <c r="BZ9" s="110">
        <v>31.04</v>
      </c>
      <c r="CA9" s="142">
        <f t="shared" si="30"/>
        <v>2.7650000000000001</v>
      </c>
      <c r="CB9" s="142">
        <f t="shared" si="30"/>
        <v>15.52</v>
      </c>
      <c r="CC9" s="106"/>
      <c r="CD9" s="106"/>
      <c r="CE9" s="98">
        <f t="shared" si="31"/>
        <v>0</v>
      </c>
      <c r="CF9" s="107">
        <f t="shared" si="31"/>
        <v>0</v>
      </c>
      <c r="CG9" s="89"/>
      <c r="CH9" s="65">
        <f t="shared" si="32"/>
        <v>530000</v>
      </c>
      <c r="CI9" s="73"/>
      <c r="CJ9" s="73"/>
      <c r="CK9" s="66">
        <v>200000</v>
      </c>
      <c r="CL9" s="73"/>
      <c r="CM9" s="66">
        <v>330000</v>
      </c>
      <c r="CN9" s="73"/>
      <c r="CO9" s="73"/>
      <c r="CP9" s="90"/>
      <c r="CQ9" s="68">
        <v>0</v>
      </c>
      <c r="CR9" s="69">
        <f t="shared" si="33"/>
        <v>24.9724</v>
      </c>
      <c r="CS9" s="69">
        <f t="shared" si="34"/>
        <v>196.14542000000006</v>
      </c>
      <c r="CT9" s="70">
        <f t="shared" si="0"/>
        <v>528155.20561200008</v>
      </c>
      <c r="CU9" s="70">
        <f t="shared" si="1"/>
        <v>352103.47040800011</v>
      </c>
      <c r="CV9" s="70">
        <f t="shared" si="35"/>
        <v>-1844.794387999922</v>
      </c>
      <c r="CW9" s="87" t="s">
        <v>126</v>
      </c>
      <c r="CX9" s="87">
        <v>2850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2"/>
        <v>0</v>
      </c>
      <c r="G10" s="98">
        <f t="shared" si="2"/>
        <v>0</v>
      </c>
      <c r="H10" s="98">
        <v>7</v>
      </c>
      <c r="I10" s="98">
        <v>0</v>
      </c>
      <c r="J10" s="98">
        <f t="shared" si="3"/>
        <v>5.8148999999999997</v>
      </c>
      <c r="K10" s="98">
        <f t="shared" si="4"/>
        <v>0</v>
      </c>
      <c r="L10" s="103">
        <v>101.57</v>
      </c>
      <c r="M10" s="98">
        <f t="shared" si="5"/>
        <v>101.57</v>
      </c>
      <c r="N10" s="99"/>
      <c r="O10" s="99"/>
      <c r="P10" s="98">
        <f t="shared" si="6"/>
        <v>0</v>
      </c>
      <c r="Q10" s="98">
        <f t="shared" si="7"/>
        <v>0</v>
      </c>
      <c r="R10" s="103">
        <v>180.64</v>
      </c>
      <c r="S10" s="98">
        <f t="shared" si="8"/>
        <v>190.93647999999996</v>
      </c>
      <c r="T10" s="103">
        <v>37.49</v>
      </c>
      <c r="U10" s="98">
        <v>84.62</v>
      </c>
      <c r="V10" s="98">
        <f t="shared" si="9"/>
        <v>39.926850000000002</v>
      </c>
      <c r="W10" s="98">
        <f t="shared" si="10"/>
        <v>89.443340000000006</v>
      </c>
      <c r="X10" s="120">
        <v>0</v>
      </c>
      <c r="Y10" s="120">
        <v>0</v>
      </c>
      <c r="Z10" s="119"/>
      <c r="AA10" s="121">
        <f t="shared" si="11"/>
        <v>0</v>
      </c>
      <c r="AB10" s="121">
        <f t="shared" si="12"/>
        <v>0</v>
      </c>
      <c r="AC10" s="122">
        <v>0</v>
      </c>
      <c r="AD10" s="122">
        <v>0</v>
      </c>
      <c r="AE10" s="121">
        <f t="shared" si="13"/>
        <v>0</v>
      </c>
      <c r="AF10" s="121">
        <f t="shared" si="13"/>
        <v>0</v>
      </c>
      <c r="AG10" s="98">
        <v>0</v>
      </c>
      <c r="AH10" s="98">
        <v>0</v>
      </c>
      <c r="AI10" s="98">
        <f t="shared" si="14"/>
        <v>0</v>
      </c>
      <c r="AJ10" s="98">
        <f t="shared" si="14"/>
        <v>0</v>
      </c>
      <c r="AK10" s="103">
        <v>118.97</v>
      </c>
      <c r="AL10" s="98">
        <v>107.15</v>
      </c>
      <c r="AM10" s="98">
        <f t="shared" si="15"/>
        <v>126.70304999999999</v>
      </c>
      <c r="AN10" s="98">
        <f t="shared" si="16"/>
        <v>113.25754999999999</v>
      </c>
      <c r="AO10" s="98"/>
      <c r="AP10" s="98"/>
      <c r="AQ10" s="131">
        <v>0</v>
      </c>
      <c r="AR10" s="131"/>
      <c r="AS10" s="99"/>
      <c r="AT10" s="98">
        <f t="shared" si="17"/>
        <v>0</v>
      </c>
      <c r="AU10" s="99"/>
      <c r="AV10" s="149">
        <f t="shared" si="18"/>
        <v>0</v>
      </c>
      <c r="AW10" s="98">
        <v>69.31</v>
      </c>
      <c r="AX10" s="98">
        <v>48.09</v>
      </c>
      <c r="AY10" s="99"/>
      <c r="AZ10" s="98">
        <f t="shared" si="19"/>
        <v>0</v>
      </c>
      <c r="BA10" s="99"/>
      <c r="BB10" s="99"/>
      <c r="BC10" s="99"/>
      <c r="BD10" s="99"/>
      <c r="BE10" s="98">
        <f t="shared" si="20"/>
        <v>0</v>
      </c>
      <c r="BF10" s="98">
        <f t="shared" si="21"/>
        <v>0</v>
      </c>
      <c r="BG10" s="98">
        <v>107.51</v>
      </c>
      <c r="BH10" s="98">
        <v>10.55</v>
      </c>
      <c r="BI10" s="98">
        <f t="shared" si="22"/>
        <v>113.63807</v>
      </c>
      <c r="BJ10" s="98">
        <f t="shared" si="23"/>
        <v>11.151350000000001</v>
      </c>
      <c r="BK10" s="99"/>
      <c r="BL10" s="99"/>
      <c r="BM10" s="98"/>
      <c r="BN10" s="98">
        <f t="shared" si="24"/>
        <v>0</v>
      </c>
      <c r="BO10" s="105">
        <v>109.94</v>
      </c>
      <c r="BP10" s="149">
        <f t="shared" si="25"/>
        <v>116.20657999999999</v>
      </c>
      <c r="BQ10" s="113"/>
      <c r="BR10" s="113"/>
      <c r="BS10" s="104">
        <f t="shared" si="26"/>
        <v>0</v>
      </c>
      <c r="BT10" s="104">
        <f t="shared" si="27"/>
        <v>0</v>
      </c>
      <c r="BU10" s="105">
        <v>0</v>
      </c>
      <c r="BV10" s="105">
        <v>0</v>
      </c>
      <c r="BW10" s="142">
        <f t="shared" si="28"/>
        <v>0</v>
      </c>
      <c r="BX10" s="142">
        <f t="shared" si="29"/>
        <v>0</v>
      </c>
      <c r="BY10" s="111"/>
      <c r="BZ10" s="111"/>
      <c r="CA10" s="142">
        <f t="shared" si="30"/>
        <v>0</v>
      </c>
      <c r="CB10" s="142">
        <f t="shared" si="30"/>
        <v>0</v>
      </c>
      <c r="CC10" s="109"/>
      <c r="CD10" s="109"/>
      <c r="CE10" s="98">
        <f t="shared" si="31"/>
        <v>0</v>
      </c>
      <c r="CF10" s="107">
        <f t="shared" si="31"/>
        <v>0</v>
      </c>
      <c r="CG10" s="89"/>
      <c r="CH10" s="65">
        <f t="shared" si="32"/>
        <v>2450000</v>
      </c>
      <c r="CI10" s="73"/>
      <c r="CJ10" s="73"/>
      <c r="CK10" s="66">
        <v>1150000</v>
      </c>
      <c r="CL10" s="73"/>
      <c r="CM10" s="66">
        <v>1300000</v>
      </c>
      <c r="CN10" s="73"/>
      <c r="CO10" s="73"/>
      <c r="CP10" s="90"/>
      <c r="CQ10" s="68">
        <v>0</v>
      </c>
      <c r="CR10" s="69">
        <f t="shared" si="33"/>
        <v>241.75479999999999</v>
      </c>
      <c r="CS10" s="69">
        <f>SUM(AP10,AR10,G10,Q10,BN10,AZ10,M10,BT10,AN10,S10,AB10,AF10,K10,AJ10,BI10,W10,BB10,BF10,CF10,BP10,BL10,CG10,AT10,AV10,AX10,CB10,BX10)</f>
        <v>773.14202</v>
      </c>
      <c r="CT10" s="70">
        <f t="shared" si="0"/>
        <v>2450740.9972394998</v>
      </c>
      <c r="CU10" s="70">
        <f t="shared" si="1"/>
        <v>1622701.0720305</v>
      </c>
      <c r="CV10" s="70">
        <f t="shared" si="35"/>
        <v>740.99723949981853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2"/>
        <v>0</v>
      </c>
      <c r="G11" s="98">
        <f t="shared" si="2"/>
        <v>0</v>
      </c>
      <c r="H11" s="98">
        <v>15</v>
      </c>
      <c r="I11" s="98">
        <v>0</v>
      </c>
      <c r="J11" s="98">
        <f t="shared" si="3"/>
        <v>12.4605</v>
      </c>
      <c r="K11" s="98">
        <f t="shared" si="4"/>
        <v>0</v>
      </c>
      <c r="L11" s="103">
        <v>68.7</v>
      </c>
      <c r="M11" s="98">
        <f t="shared" si="5"/>
        <v>68.7</v>
      </c>
      <c r="N11" s="98"/>
      <c r="O11" s="98"/>
      <c r="P11" s="98">
        <f t="shared" si="6"/>
        <v>0</v>
      </c>
      <c r="Q11" s="98">
        <f t="shared" si="7"/>
        <v>0</v>
      </c>
      <c r="R11" s="103">
        <v>104.27</v>
      </c>
      <c r="S11" s="98">
        <f t="shared" si="8"/>
        <v>110.21338999999999</v>
      </c>
      <c r="T11" s="103">
        <v>32.32</v>
      </c>
      <c r="U11" s="98">
        <v>22.03</v>
      </c>
      <c r="V11" s="98">
        <f t="shared" si="9"/>
        <v>34.4208</v>
      </c>
      <c r="W11" s="98">
        <f t="shared" si="10"/>
        <v>23.285709999999998</v>
      </c>
      <c r="X11" s="120">
        <v>0</v>
      </c>
      <c r="Y11" s="120">
        <v>0</v>
      </c>
      <c r="Z11" s="121"/>
      <c r="AA11" s="121">
        <f t="shared" si="11"/>
        <v>0</v>
      </c>
      <c r="AB11" s="121">
        <f t="shared" si="12"/>
        <v>0</v>
      </c>
      <c r="AC11" s="123">
        <v>0</v>
      </c>
      <c r="AD11" s="123">
        <v>0</v>
      </c>
      <c r="AE11" s="121">
        <f t="shared" si="13"/>
        <v>0</v>
      </c>
      <c r="AF11" s="121">
        <f t="shared" si="13"/>
        <v>0</v>
      </c>
      <c r="AG11" s="98"/>
      <c r="AH11" s="98"/>
      <c r="AI11" s="98">
        <f t="shared" si="14"/>
        <v>0</v>
      </c>
      <c r="AJ11" s="98">
        <f t="shared" si="14"/>
        <v>0</v>
      </c>
      <c r="AK11" s="103">
        <v>142.71</v>
      </c>
      <c r="AL11" s="98">
        <v>73.53</v>
      </c>
      <c r="AM11" s="98">
        <f t="shared" si="15"/>
        <v>151.98615000000001</v>
      </c>
      <c r="AN11" s="98">
        <f t="shared" si="16"/>
        <v>77.721209999999999</v>
      </c>
      <c r="AO11" s="98"/>
      <c r="AP11" s="98"/>
      <c r="AQ11" s="131">
        <v>13.93</v>
      </c>
      <c r="AR11" s="131">
        <v>22.31</v>
      </c>
      <c r="AS11" s="99"/>
      <c r="AT11" s="98">
        <f t="shared" si="17"/>
        <v>0</v>
      </c>
      <c r="AU11" s="98"/>
      <c r="AV11" s="149">
        <f t="shared" si="18"/>
        <v>0</v>
      </c>
      <c r="AW11" s="98">
        <v>85.19</v>
      </c>
      <c r="AX11" s="98">
        <v>160.77000000000001</v>
      </c>
      <c r="AY11" s="98"/>
      <c r="AZ11" s="98">
        <f t="shared" si="19"/>
        <v>0</v>
      </c>
      <c r="BA11" s="98"/>
      <c r="BB11" s="98"/>
      <c r="BC11" s="98"/>
      <c r="BD11" s="98"/>
      <c r="BE11" s="98">
        <f t="shared" si="20"/>
        <v>0</v>
      </c>
      <c r="BF11" s="98">
        <f t="shared" si="21"/>
        <v>0</v>
      </c>
      <c r="BG11" s="98">
        <v>59.57</v>
      </c>
      <c r="BH11" s="98">
        <v>12.22</v>
      </c>
      <c r="BI11" s="98">
        <f t="shared" si="22"/>
        <v>62.965489999999996</v>
      </c>
      <c r="BJ11" s="98">
        <f t="shared" si="23"/>
        <v>12.916539999999999</v>
      </c>
      <c r="BK11" s="98"/>
      <c r="BL11" s="98"/>
      <c r="BM11" s="98"/>
      <c r="BN11" s="98">
        <f t="shared" si="24"/>
        <v>0</v>
      </c>
      <c r="BO11" s="105">
        <v>76.47</v>
      </c>
      <c r="BP11" s="149">
        <f t="shared" si="25"/>
        <v>80.828789999999998</v>
      </c>
      <c r="BQ11" s="112">
        <v>0</v>
      </c>
      <c r="BR11" s="112">
        <v>0</v>
      </c>
      <c r="BS11" s="104">
        <f t="shared" si="26"/>
        <v>0</v>
      </c>
      <c r="BT11" s="104">
        <f t="shared" si="27"/>
        <v>0</v>
      </c>
      <c r="BU11" s="105">
        <v>41.72</v>
      </c>
      <c r="BV11" s="105">
        <v>0.75</v>
      </c>
      <c r="BW11" s="142">
        <f t="shared" si="28"/>
        <v>53.401600000000002</v>
      </c>
      <c r="BX11" s="142">
        <f t="shared" si="29"/>
        <v>0.96</v>
      </c>
      <c r="BY11" s="110">
        <v>0</v>
      </c>
      <c r="BZ11" s="110">
        <v>0</v>
      </c>
      <c r="CA11" s="142">
        <f t="shared" si="30"/>
        <v>0</v>
      </c>
      <c r="CB11" s="142">
        <f t="shared" si="30"/>
        <v>0</v>
      </c>
      <c r="CC11" s="106"/>
      <c r="CD11" s="106"/>
      <c r="CE11" s="98">
        <f t="shared" si="31"/>
        <v>0</v>
      </c>
      <c r="CF11" s="107">
        <f t="shared" si="31"/>
        <v>0</v>
      </c>
      <c r="CG11" s="89"/>
      <c r="CH11" s="65">
        <f t="shared" si="32"/>
        <v>2315000</v>
      </c>
      <c r="CI11" s="73"/>
      <c r="CJ11" s="73"/>
      <c r="CK11" s="66">
        <v>1250000</v>
      </c>
      <c r="CL11" s="73"/>
      <c r="CM11" s="66">
        <v>1065000</v>
      </c>
      <c r="CN11" s="73"/>
      <c r="CO11" s="73"/>
      <c r="CP11" s="90"/>
      <c r="CQ11" s="68">
        <v>0</v>
      </c>
      <c r="CR11" s="69">
        <f t="shared" si="33"/>
        <v>351.38905</v>
      </c>
      <c r="CS11" s="69">
        <f t="shared" si="34"/>
        <v>607.75459000000001</v>
      </c>
      <c r="CT11" s="70">
        <f t="shared" si="0"/>
        <v>2316663.6184289996</v>
      </c>
      <c r="CU11" s="70">
        <f t="shared" si="1"/>
        <v>1531554.9345010002</v>
      </c>
      <c r="CV11" s="70">
        <f t="shared" si="35"/>
        <v>1663.6184289995581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8.9</v>
      </c>
      <c r="E12" s="102">
        <v>6.3</v>
      </c>
      <c r="F12" s="98">
        <f t="shared" si="2"/>
        <v>5.34</v>
      </c>
      <c r="G12" s="98">
        <f t="shared" si="2"/>
        <v>3.78</v>
      </c>
      <c r="H12" s="98"/>
      <c r="I12" s="98"/>
      <c r="J12" s="98">
        <f t="shared" si="3"/>
        <v>0</v>
      </c>
      <c r="K12" s="98">
        <f t="shared" si="4"/>
        <v>0</v>
      </c>
      <c r="L12" s="103">
        <v>50.64</v>
      </c>
      <c r="M12" s="98">
        <f t="shared" si="5"/>
        <v>50.64</v>
      </c>
      <c r="N12" s="99"/>
      <c r="O12" s="99"/>
      <c r="P12" s="98">
        <f t="shared" si="6"/>
        <v>0</v>
      </c>
      <c r="Q12" s="98">
        <f t="shared" si="7"/>
        <v>0</v>
      </c>
      <c r="R12" s="103">
        <v>17.61</v>
      </c>
      <c r="S12" s="98">
        <f t="shared" si="8"/>
        <v>18.613769999999999</v>
      </c>
      <c r="T12" s="103">
        <v>3.14</v>
      </c>
      <c r="U12" s="98">
        <v>6.35</v>
      </c>
      <c r="V12" s="98">
        <f t="shared" si="9"/>
        <v>3.3441000000000001</v>
      </c>
      <c r="W12" s="98">
        <f t="shared" si="10"/>
        <v>6.711949999999999</v>
      </c>
      <c r="X12" s="120">
        <v>354</v>
      </c>
      <c r="Y12" s="120">
        <v>431</v>
      </c>
      <c r="Z12" s="119"/>
      <c r="AA12" s="121">
        <f t="shared" si="11"/>
        <v>265.5</v>
      </c>
      <c r="AB12" s="121">
        <f t="shared" si="12"/>
        <v>323.25</v>
      </c>
      <c r="AC12" s="119"/>
      <c r="AD12" s="119"/>
      <c r="AE12" s="121">
        <f t="shared" si="13"/>
        <v>0</v>
      </c>
      <c r="AF12" s="121">
        <f t="shared" si="13"/>
        <v>0</v>
      </c>
      <c r="AG12" s="98"/>
      <c r="AH12" s="98"/>
      <c r="AI12" s="98">
        <f t="shared" si="14"/>
        <v>0</v>
      </c>
      <c r="AJ12" s="98">
        <f t="shared" si="14"/>
        <v>0</v>
      </c>
      <c r="AK12" s="103">
        <v>12.11</v>
      </c>
      <c r="AL12" s="98">
        <v>3.84</v>
      </c>
      <c r="AM12" s="98">
        <f t="shared" si="15"/>
        <v>12.897149999999998</v>
      </c>
      <c r="AN12" s="98">
        <f t="shared" si="16"/>
        <v>4.0588799999999994</v>
      </c>
      <c r="AO12" s="98"/>
      <c r="AP12" s="98"/>
      <c r="AQ12" s="131">
        <v>1.49</v>
      </c>
      <c r="AR12" s="131">
        <v>26.92</v>
      </c>
      <c r="AS12" s="99"/>
      <c r="AT12" s="98">
        <f t="shared" si="17"/>
        <v>0</v>
      </c>
      <c r="AU12" s="99">
        <v>3.9</v>
      </c>
      <c r="AV12" s="149">
        <f>AU12*$C$3</f>
        <v>4.1223000000000001</v>
      </c>
      <c r="AW12" s="98">
        <v>74.510000000000005</v>
      </c>
      <c r="AX12" s="98">
        <v>8.16</v>
      </c>
      <c r="AY12" s="99"/>
      <c r="AZ12" s="98">
        <f t="shared" si="19"/>
        <v>0</v>
      </c>
      <c r="BA12" s="99"/>
      <c r="BB12" s="99"/>
      <c r="BC12" s="99"/>
      <c r="BD12" s="99"/>
      <c r="BE12" s="98">
        <f t="shared" si="20"/>
        <v>0</v>
      </c>
      <c r="BF12" s="98">
        <f t="shared" si="21"/>
        <v>0</v>
      </c>
      <c r="BG12" s="98">
        <v>63.9</v>
      </c>
      <c r="BH12" s="98">
        <v>0</v>
      </c>
      <c r="BI12" s="98">
        <f t="shared" si="22"/>
        <v>67.542299999999997</v>
      </c>
      <c r="BJ12" s="98">
        <f t="shared" si="23"/>
        <v>0</v>
      </c>
      <c r="BK12" s="99"/>
      <c r="BL12" s="99"/>
      <c r="BM12" s="98"/>
      <c r="BN12" s="98">
        <f t="shared" si="24"/>
        <v>0</v>
      </c>
      <c r="BO12" s="105">
        <v>21.36</v>
      </c>
      <c r="BP12" s="149">
        <f t="shared" si="25"/>
        <v>22.57752</v>
      </c>
      <c r="BQ12" s="113"/>
      <c r="BR12" s="113"/>
      <c r="BS12" s="104">
        <f t="shared" si="26"/>
        <v>0</v>
      </c>
      <c r="BT12" s="104">
        <f t="shared" si="27"/>
        <v>0</v>
      </c>
      <c r="BU12" s="105">
        <v>3.33</v>
      </c>
      <c r="BV12" s="105">
        <v>0.38</v>
      </c>
      <c r="BW12" s="142">
        <f t="shared" si="28"/>
        <v>4.2624000000000004</v>
      </c>
      <c r="BX12" s="142">
        <f t="shared" si="29"/>
        <v>0.4864</v>
      </c>
      <c r="BY12" s="111"/>
      <c r="BZ12" s="111"/>
      <c r="CA12" s="142">
        <f t="shared" si="30"/>
        <v>0</v>
      </c>
      <c r="CB12" s="142">
        <f t="shared" si="30"/>
        <v>0</v>
      </c>
      <c r="CC12" s="109"/>
      <c r="CD12" s="109"/>
      <c r="CE12" s="98">
        <f t="shared" si="31"/>
        <v>0</v>
      </c>
      <c r="CF12" s="107">
        <f t="shared" si="31"/>
        <v>0</v>
      </c>
      <c r="CG12" s="89"/>
      <c r="CH12" s="65">
        <f t="shared" si="32"/>
        <v>2145000</v>
      </c>
      <c r="CI12" s="73"/>
      <c r="CJ12" s="73"/>
      <c r="CK12" s="66">
        <v>1100000</v>
      </c>
      <c r="CL12" s="73"/>
      <c r="CM12" s="66">
        <v>1045000</v>
      </c>
      <c r="CN12" s="73"/>
      <c r="CO12" s="73"/>
      <c r="CP12" s="90"/>
      <c r="CQ12" s="68">
        <v>0</v>
      </c>
      <c r="CR12" s="69">
        <f t="shared" si="33"/>
        <v>367.34365000000003</v>
      </c>
      <c r="CS12" s="69">
        <f t="shared" si="34"/>
        <v>536.86311999999998</v>
      </c>
      <c r="CT12" s="70">
        <f t="shared" si="0"/>
        <v>2145597.3805320002</v>
      </c>
      <c r="CU12" s="70">
        <f t="shared" si="1"/>
        <v>1430398.2536880001</v>
      </c>
      <c r="CV12" s="70">
        <f t="shared" si="35"/>
        <v>597.38053200021386</v>
      </c>
      <c r="CW12" s="67" t="s">
        <v>135</v>
      </c>
      <c r="CX12" s="116">
        <v>250000</v>
      </c>
    </row>
    <row r="13" spans="1:102">
      <c r="A13" s="18"/>
      <c r="B13" s="94" t="s">
        <v>136</v>
      </c>
      <c r="C13" s="92" t="s">
        <v>137</v>
      </c>
      <c r="D13" s="102">
        <v>0</v>
      </c>
      <c r="E13" s="102">
        <v>0</v>
      </c>
      <c r="F13" s="98">
        <f t="shared" si="2"/>
        <v>0</v>
      </c>
      <c r="G13" s="98">
        <f t="shared" si="2"/>
        <v>0</v>
      </c>
      <c r="H13" s="110"/>
      <c r="I13" s="110"/>
      <c r="J13" s="98">
        <f t="shared" si="3"/>
        <v>0</v>
      </c>
      <c r="K13" s="98">
        <f t="shared" si="4"/>
        <v>0</v>
      </c>
      <c r="L13" s="103">
        <v>0</v>
      </c>
      <c r="M13" s="98">
        <f t="shared" si="5"/>
        <v>0</v>
      </c>
      <c r="N13" s="98"/>
      <c r="O13" s="98"/>
      <c r="P13" s="98">
        <f t="shared" si="6"/>
        <v>0</v>
      </c>
      <c r="Q13" s="98">
        <f t="shared" si="7"/>
        <v>0</v>
      </c>
      <c r="R13" s="103">
        <v>0</v>
      </c>
      <c r="S13" s="98">
        <f t="shared" si="8"/>
        <v>0</v>
      </c>
      <c r="T13" s="103">
        <v>0</v>
      </c>
      <c r="U13" s="98">
        <v>0</v>
      </c>
      <c r="V13" s="98">
        <f t="shared" si="9"/>
        <v>0</v>
      </c>
      <c r="W13" s="98">
        <f t="shared" si="10"/>
        <v>0</v>
      </c>
      <c r="X13" s="120">
        <v>0</v>
      </c>
      <c r="Y13" s="120"/>
      <c r="Z13" s="110"/>
      <c r="AA13" s="121">
        <f t="shared" si="11"/>
        <v>0</v>
      </c>
      <c r="AB13" s="121">
        <f t="shared" si="12"/>
        <v>0</v>
      </c>
      <c r="AC13" s="110"/>
      <c r="AD13" s="110"/>
      <c r="AE13" s="121">
        <f t="shared" si="13"/>
        <v>0</v>
      </c>
      <c r="AF13" s="121">
        <f t="shared" si="13"/>
        <v>0</v>
      </c>
      <c r="AG13" s="98"/>
      <c r="AH13" s="98"/>
      <c r="AI13" s="98">
        <f t="shared" si="14"/>
        <v>0</v>
      </c>
      <c r="AJ13" s="98">
        <f t="shared" si="14"/>
        <v>0</v>
      </c>
      <c r="AK13" s="103">
        <v>0.08</v>
      </c>
      <c r="AL13" s="98"/>
      <c r="AM13" s="98">
        <f t="shared" si="15"/>
        <v>8.5199999999999998E-2</v>
      </c>
      <c r="AN13" s="98">
        <f t="shared" si="16"/>
        <v>0</v>
      </c>
      <c r="AO13" s="98"/>
      <c r="AP13" s="98"/>
      <c r="AQ13" s="131"/>
      <c r="AR13" s="131"/>
      <c r="AS13" s="99"/>
      <c r="AT13" s="98">
        <f t="shared" si="17"/>
        <v>0</v>
      </c>
      <c r="AU13" s="99">
        <v>0</v>
      </c>
      <c r="AV13" s="149">
        <f t="shared" si="18"/>
        <v>0</v>
      </c>
      <c r="AW13" s="98">
        <v>0</v>
      </c>
      <c r="AX13" s="98">
        <v>0</v>
      </c>
      <c r="AY13" s="101"/>
      <c r="AZ13" s="98">
        <f t="shared" si="19"/>
        <v>0</v>
      </c>
      <c r="BA13" s="98"/>
      <c r="BB13" s="98"/>
      <c r="BC13" s="99"/>
      <c r="BD13" s="99"/>
      <c r="BE13" s="98">
        <f t="shared" si="20"/>
        <v>0</v>
      </c>
      <c r="BF13" s="98">
        <f t="shared" si="21"/>
        <v>0</v>
      </c>
      <c r="BG13" s="98"/>
      <c r="BH13" s="98"/>
      <c r="BI13" s="98">
        <f t="shared" si="22"/>
        <v>0</v>
      </c>
      <c r="BJ13" s="98">
        <f t="shared" si="23"/>
        <v>0</v>
      </c>
      <c r="BK13" s="100"/>
      <c r="BL13" s="100"/>
      <c r="BM13" s="98"/>
      <c r="BN13" s="98">
        <f t="shared" si="24"/>
        <v>0</v>
      </c>
      <c r="BO13" s="105">
        <v>0</v>
      </c>
      <c r="BP13" s="149">
        <f t="shared" si="25"/>
        <v>0</v>
      </c>
      <c r="BQ13" s="112"/>
      <c r="BR13" s="112"/>
      <c r="BS13" s="104">
        <f t="shared" si="26"/>
        <v>0</v>
      </c>
      <c r="BT13" s="104">
        <f t="shared" si="27"/>
        <v>0</v>
      </c>
      <c r="BU13" s="105">
        <v>0</v>
      </c>
      <c r="BV13" s="105">
        <v>0</v>
      </c>
      <c r="BW13" s="142">
        <f t="shared" si="28"/>
        <v>0</v>
      </c>
      <c r="BX13" s="142">
        <f t="shared" si="29"/>
        <v>0</v>
      </c>
      <c r="BY13" s="110">
        <v>0</v>
      </c>
      <c r="BZ13" s="110">
        <v>0</v>
      </c>
      <c r="CA13" s="142">
        <f t="shared" si="30"/>
        <v>0</v>
      </c>
      <c r="CB13" s="142">
        <f t="shared" si="30"/>
        <v>0</v>
      </c>
      <c r="CC13" s="106"/>
      <c r="CD13" s="106"/>
      <c r="CE13" s="98">
        <f t="shared" si="31"/>
        <v>0</v>
      </c>
      <c r="CF13" s="107">
        <f t="shared" si="31"/>
        <v>0</v>
      </c>
      <c r="CG13" s="81"/>
      <c r="CH13" s="65">
        <f t="shared" si="32"/>
        <v>0</v>
      </c>
      <c r="CI13" s="74"/>
      <c r="CJ13" s="74"/>
      <c r="CK13" s="54"/>
      <c r="CL13" s="74"/>
      <c r="CM13" s="54"/>
      <c r="CN13" s="74"/>
      <c r="CO13" s="74"/>
      <c r="CP13" s="90"/>
      <c r="CQ13" s="68">
        <v>0</v>
      </c>
      <c r="CR13" s="69">
        <f t="shared" si="33"/>
        <v>8.5199999999999998E-2</v>
      </c>
      <c r="CS13" s="69">
        <f t="shared" si="34"/>
        <v>0</v>
      </c>
      <c r="CT13" s="70">
        <f t="shared" si="0"/>
        <v>199.47023999999999</v>
      </c>
      <c r="CU13" s="70">
        <f t="shared" si="1"/>
        <v>132.98016000000001</v>
      </c>
      <c r="CV13" s="70">
        <f t="shared" si="35"/>
        <v>199.47023999999999</v>
      </c>
      <c r="CW13" s="91" t="s">
        <v>138</v>
      </c>
      <c r="CX13" s="117">
        <v>80000</v>
      </c>
    </row>
    <row r="14" spans="1:102">
      <c r="A14" s="18"/>
      <c r="B14" s="94" t="s">
        <v>139</v>
      </c>
      <c r="C14" s="92" t="s">
        <v>140</v>
      </c>
      <c r="D14" s="102">
        <v>4.5999999999999996</v>
      </c>
      <c r="E14" s="102">
        <v>52.2</v>
      </c>
      <c r="F14" s="98">
        <f t="shared" si="2"/>
        <v>2.76</v>
      </c>
      <c r="G14" s="98">
        <f t="shared" si="2"/>
        <v>31.32</v>
      </c>
      <c r="H14" s="119">
        <v>75</v>
      </c>
      <c r="I14" s="119">
        <v>48</v>
      </c>
      <c r="J14" s="98">
        <f t="shared" si="3"/>
        <v>62.302499999999995</v>
      </c>
      <c r="K14" s="98">
        <f t="shared" si="4"/>
        <v>39.574079999999995</v>
      </c>
      <c r="L14" s="103">
        <v>10.44</v>
      </c>
      <c r="M14" s="98">
        <f t="shared" si="5"/>
        <v>10.44</v>
      </c>
      <c r="N14" s="98"/>
      <c r="O14" s="98"/>
      <c r="P14" s="98">
        <f t="shared" si="6"/>
        <v>0</v>
      </c>
      <c r="Q14" s="98">
        <f t="shared" si="7"/>
        <v>0</v>
      </c>
      <c r="R14" s="103">
        <v>63.54</v>
      </c>
      <c r="S14" s="98">
        <f t="shared" si="8"/>
        <v>67.161779999999993</v>
      </c>
      <c r="T14" s="103">
        <v>4.34</v>
      </c>
      <c r="U14" s="98">
        <v>3.39</v>
      </c>
      <c r="V14" s="98">
        <f t="shared" si="9"/>
        <v>4.6220999999999997</v>
      </c>
      <c r="W14" s="98">
        <f t="shared" si="10"/>
        <v>3.5832299999999999</v>
      </c>
      <c r="X14" s="120">
        <v>0</v>
      </c>
      <c r="Y14" s="120">
        <v>0</v>
      </c>
      <c r="Z14" s="110"/>
      <c r="AA14" s="121">
        <f t="shared" si="11"/>
        <v>0</v>
      </c>
      <c r="AB14" s="121">
        <f t="shared" si="12"/>
        <v>0</v>
      </c>
      <c r="AC14" s="110"/>
      <c r="AD14" s="110"/>
      <c r="AE14" s="121">
        <f t="shared" si="13"/>
        <v>0</v>
      </c>
      <c r="AF14" s="121">
        <f t="shared" si="13"/>
        <v>0</v>
      </c>
      <c r="AG14" s="98"/>
      <c r="AH14" s="98"/>
      <c r="AI14" s="98">
        <f t="shared" si="14"/>
        <v>0</v>
      </c>
      <c r="AJ14" s="98">
        <f t="shared" si="14"/>
        <v>0</v>
      </c>
      <c r="AK14" s="103">
        <v>98.99</v>
      </c>
      <c r="AL14" s="98">
        <v>41.55</v>
      </c>
      <c r="AM14" s="98">
        <f t="shared" si="15"/>
        <v>105.42434999999999</v>
      </c>
      <c r="AN14" s="98">
        <f t="shared" si="16"/>
        <v>43.918349999999997</v>
      </c>
      <c r="AO14" s="98"/>
      <c r="AP14" s="98"/>
      <c r="AQ14" s="131">
        <v>55.17</v>
      </c>
      <c r="AR14" s="131">
        <v>75.77</v>
      </c>
      <c r="AS14" s="99"/>
      <c r="AT14" s="98">
        <f t="shared" si="17"/>
        <v>0</v>
      </c>
      <c r="AU14" s="99">
        <v>31.3</v>
      </c>
      <c r="AV14" s="149">
        <f t="shared" si="18"/>
        <v>33.084099999999999</v>
      </c>
      <c r="AW14" s="98">
        <v>6.86</v>
      </c>
      <c r="AX14" s="98">
        <v>4.32</v>
      </c>
      <c r="AY14" s="101"/>
      <c r="AZ14" s="98">
        <f t="shared" si="19"/>
        <v>0</v>
      </c>
      <c r="BA14" s="98"/>
      <c r="BB14" s="98"/>
      <c r="BC14" s="99"/>
      <c r="BD14" s="99"/>
      <c r="BE14" s="98">
        <f t="shared" si="20"/>
        <v>0</v>
      </c>
      <c r="BF14" s="98">
        <f t="shared" si="21"/>
        <v>0</v>
      </c>
      <c r="BG14" s="98">
        <v>46.69</v>
      </c>
      <c r="BH14" s="98">
        <v>3.69</v>
      </c>
      <c r="BI14" s="98">
        <f t="shared" si="22"/>
        <v>49.351329999999997</v>
      </c>
      <c r="BJ14" s="98">
        <f t="shared" si="23"/>
        <v>3.9003299999999999</v>
      </c>
      <c r="BK14" s="100"/>
      <c r="BL14" s="100"/>
      <c r="BM14" s="98">
        <v>0</v>
      </c>
      <c r="BN14" s="98">
        <f t="shared" si="24"/>
        <v>0</v>
      </c>
      <c r="BO14" s="105">
        <v>25.35</v>
      </c>
      <c r="BP14" s="149">
        <f t="shared" si="25"/>
        <v>26.79495</v>
      </c>
      <c r="BQ14" s="112"/>
      <c r="BR14" s="112"/>
      <c r="BS14" s="104">
        <f t="shared" si="26"/>
        <v>0</v>
      </c>
      <c r="BT14" s="104">
        <f t="shared" si="27"/>
        <v>0</v>
      </c>
      <c r="BU14" s="105">
        <v>0</v>
      </c>
      <c r="BV14" s="105">
        <v>0</v>
      </c>
      <c r="BW14" s="142">
        <f t="shared" si="28"/>
        <v>0</v>
      </c>
      <c r="BX14" s="142">
        <f t="shared" si="29"/>
        <v>0</v>
      </c>
      <c r="BY14" s="110"/>
      <c r="BZ14" s="110"/>
      <c r="CA14" s="142">
        <f t="shared" si="30"/>
        <v>0</v>
      </c>
      <c r="CB14" s="142">
        <f t="shared" si="30"/>
        <v>0</v>
      </c>
      <c r="CC14" s="106"/>
      <c r="CD14" s="106"/>
      <c r="CE14" s="98">
        <f t="shared" si="31"/>
        <v>0</v>
      </c>
      <c r="CF14" s="107">
        <f t="shared" si="31"/>
        <v>0</v>
      </c>
      <c r="CG14" s="81"/>
      <c r="CH14" s="65">
        <f t="shared" si="32"/>
        <v>1490000</v>
      </c>
      <c r="CI14" s="74"/>
      <c r="CJ14" s="74"/>
      <c r="CK14" s="54">
        <v>755000</v>
      </c>
      <c r="CL14" s="74"/>
      <c r="CM14" s="54">
        <v>735000</v>
      </c>
      <c r="CN14" s="74"/>
      <c r="CO14" s="74"/>
      <c r="CP14" s="90"/>
      <c r="CQ14" s="68">
        <v>0</v>
      </c>
      <c r="CR14" s="69">
        <f t="shared" si="33"/>
        <v>237.13894999999997</v>
      </c>
      <c r="CS14" s="69">
        <f t="shared" si="34"/>
        <v>385.31781999999998</v>
      </c>
      <c r="CT14" s="70">
        <f t="shared" si="0"/>
        <v>1489546.4242844998</v>
      </c>
      <c r="CU14" s="70">
        <f t="shared" si="1"/>
        <v>989139.39526549994</v>
      </c>
      <c r="CV14" s="70">
        <f t="shared" si="35"/>
        <v>-453.57571550016291</v>
      </c>
      <c r="CW14" s="55" t="s">
        <v>141</v>
      </c>
      <c r="CX14" s="118">
        <f>100000+140000+140000+140000+140000</f>
        <v>660000</v>
      </c>
    </row>
    <row r="15" spans="1:102">
      <c r="A15" s="18"/>
      <c r="B15" s="94" t="s">
        <v>142</v>
      </c>
      <c r="C15" s="92" t="s">
        <v>143</v>
      </c>
      <c r="D15" s="102">
        <v>0</v>
      </c>
      <c r="E15" s="102">
        <v>0</v>
      </c>
      <c r="F15" s="98">
        <f t="shared" si="2"/>
        <v>0</v>
      </c>
      <c r="G15" s="98">
        <f t="shared" si="2"/>
        <v>0</v>
      </c>
      <c r="H15" s="119"/>
      <c r="I15" s="119"/>
      <c r="J15" s="98">
        <f t="shared" si="3"/>
        <v>0</v>
      </c>
      <c r="K15" s="98">
        <f t="shared" si="4"/>
        <v>0</v>
      </c>
      <c r="L15" s="103">
        <v>0</v>
      </c>
      <c r="M15" s="98">
        <f t="shared" si="5"/>
        <v>0</v>
      </c>
      <c r="N15" s="98">
        <v>0</v>
      </c>
      <c r="O15" s="98">
        <v>0</v>
      </c>
      <c r="P15" s="98">
        <f t="shared" si="6"/>
        <v>0</v>
      </c>
      <c r="Q15" s="98">
        <f t="shared" si="7"/>
        <v>0</v>
      </c>
      <c r="R15" s="103">
        <v>0</v>
      </c>
      <c r="S15" s="98">
        <f t="shared" si="8"/>
        <v>0</v>
      </c>
      <c r="T15" s="103">
        <v>0</v>
      </c>
      <c r="U15" s="98">
        <v>0</v>
      </c>
      <c r="V15" s="98">
        <f t="shared" si="9"/>
        <v>0</v>
      </c>
      <c r="W15" s="98">
        <f t="shared" si="10"/>
        <v>0</v>
      </c>
      <c r="X15" s="120">
        <v>0</v>
      </c>
      <c r="Y15" s="120">
        <v>0</v>
      </c>
      <c r="Z15" s="110"/>
      <c r="AA15" s="121">
        <f t="shared" si="11"/>
        <v>0</v>
      </c>
      <c r="AB15" s="121">
        <f t="shared" si="12"/>
        <v>0</v>
      </c>
      <c r="AC15" s="110"/>
      <c r="AD15" s="110"/>
      <c r="AE15" s="121">
        <f t="shared" si="13"/>
        <v>0</v>
      </c>
      <c r="AF15" s="121">
        <f t="shared" si="13"/>
        <v>0</v>
      </c>
      <c r="AG15" s="98"/>
      <c r="AH15" s="98"/>
      <c r="AI15" s="98">
        <f t="shared" si="14"/>
        <v>0</v>
      </c>
      <c r="AJ15" s="98">
        <f t="shared" si="14"/>
        <v>0</v>
      </c>
      <c r="AK15" s="103"/>
      <c r="AL15" s="98"/>
      <c r="AM15" s="98">
        <f t="shared" si="15"/>
        <v>0</v>
      </c>
      <c r="AN15" s="98">
        <f t="shared" si="16"/>
        <v>0</v>
      </c>
      <c r="AO15" s="98"/>
      <c r="AP15" s="98"/>
      <c r="AQ15" s="131">
        <v>0</v>
      </c>
      <c r="AR15" s="131"/>
      <c r="AS15" s="99"/>
      <c r="AT15" s="98">
        <f t="shared" si="17"/>
        <v>0</v>
      </c>
      <c r="AU15" s="99">
        <v>0</v>
      </c>
      <c r="AV15" s="149">
        <f t="shared" si="18"/>
        <v>0</v>
      </c>
      <c r="AW15" s="98">
        <v>0</v>
      </c>
      <c r="AX15" s="98">
        <v>0</v>
      </c>
      <c r="AY15" s="101"/>
      <c r="AZ15" s="98">
        <f t="shared" si="19"/>
        <v>0</v>
      </c>
      <c r="BA15" s="98"/>
      <c r="BB15" s="98"/>
      <c r="BC15" s="99"/>
      <c r="BD15" s="99"/>
      <c r="BE15" s="98">
        <f t="shared" si="20"/>
        <v>0</v>
      </c>
      <c r="BF15" s="98">
        <f t="shared" si="21"/>
        <v>0</v>
      </c>
      <c r="BG15" s="98"/>
      <c r="BH15" s="98"/>
      <c r="BI15" s="98">
        <f t="shared" si="22"/>
        <v>0</v>
      </c>
      <c r="BJ15" s="98">
        <f t="shared" si="23"/>
        <v>0</v>
      </c>
      <c r="BK15" s="100"/>
      <c r="BL15" s="100"/>
      <c r="BM15" s="98"/>
      <c r="BN15" s="98">
        <f t="shared" si="24"/>
        <v>0</v>
      </c>
      <c r="BO15" s="105">
        <v>0</v>
      </c>
      <c r="BP15" s="149">
        <f t="shared" si="25"/>
        <v>0</v>
      </c>
      <c r="BQ15" s="112"/>
      <c r="BR15" s="112"/>
      <c r="BS15" s="104">
        <f t="shared" si="26"/>
        <v>0</v>
      </c>
      <c r="BT15" s="104">
        <f t="shared" si="27"/>
        <v>0</v>
      </c>
      <c r="BU15" s="105">
        <v>0</v>
      </c>
      <c r="BV15" s="105">
        <v>0</v>
      </c>
      <c r="BW15" s="142">
        <f t="shared" si="28"/>
        <v>0</v>
      </c>
      <c r="BX15" s="142">
        <f t="shared" si="29"/>
        <v>0</v>
      </c>
      <c r="BY15" s="110"/>
      <c r="BZ15" s="110"/>
      <c r="CA15" s="142">
        <f t="shared" si="30"/>
        <v>0</v>
      </c>
      <c r="CB15" s="142">
        <f t="shared" si="30"/>
        <v>0</v>
      </c>
      <c r="CC15" s="106"/>
      <c r="CD15" s="106"/>
      <c r="CE15" s="98">
        <f t="shared" si="31"/>
        <v>0</v>
      </c>
      <c r="CF15" s="107">
        <f t="shared" si="31"/>
        <v>0</v>
      </c>
      <c r="CG15" s="81"/>
      <c r="CH15" s="65">
        <f t="shared" si="32"/>
        <v>0</v>
      </c>
      <c r="CI15" s="74"/>
      <c r="CJ15" s="74"/>
      <c r="CK15" s="54"/>
      <c r="CL15" s="74"/>
      <c r="CM15" s="54"/>
      <c r="CN15" s="74"/>
      <c r="CO15" s="74"/>
      <c r="CP15" s="90"/>
      <c r="CQ15" s="68">
        <v>0</v>
      </c>
      <c r="CR15" s="69">
        <f t="shared" si="33"/>
        <v>0</v>
      </c>
      <c r="CS15" s="69">
        <f t="shared" si="34"/>
        <v>0</v>
      </c>
      <c r="CT15" s="70">
        <f t="shared" si="0"/>
        <v>0</v>
      </c>
      <c r="CU15" s="70">
        <f t="shared" si="1"/>
        <v>0</v>
      </c>
      <c r="CV15" s="70">
        <f t="shared" si="35"/>
        <v>0</v>
      </c>
      <c r="CW15" s="55" t="s">
        <v>144</v>
      </c>
      <c r="CX15" s="118"/>
    </row>
    <row r="16" spans="1:102">
      <c r="A16" s="18"/>
      <c r="B16" s="94" t="s">
        <v>145</v>
      </c>
      <c r="C16" s="92" t="s">
        <v>146</v>
      </c>
      <c r="D16" s="102">
        <v>22.7</v>
      </c>
      <c r="E16" s="102">
        <v>6.7</v>
      </c>
      <c r="F16" s="98">
        <f t="shared" si="2"/>
        <v>13.62</v>
      </c>
      <c r="G16" s="98">
        <f t="shared" si="2"/>
        <v>4.0199999999999996</v>
      </c>
      <c r="H16" s="110"/>
      <c r="I16" s="110"/>
      <c r="J16" s="98">
        <f t="shared" si="3"/>
        <v>0</v>
      </c>
      <c r="K16" s="98">
        <f t="shared" si="4"/>
        <v>0</v>
      </c>
      <c r="L16" s="103">
        <v>33.630000000000003</v>
      </c>
      <c r="M16" s="98">
        <f t="shared" si="5"/>
        <v>33.630000000000003</v>
      </c>
      <c r="N16" s="98"/>
      <c r="O16" s="98"/>
      <c r="P16" s="98">
        <f t="shared" si="6"/>
        <v>0</v>
      </c>
      <c r="Q16" s="98">
        <f t="shared" si="7"/>
        <v>0</v>
      </c>
      <c r="R16" s="103">
        <v>217.66</v>
      </c>
      <c r="S16" s="98">
        <f t="shared" si="8"/>
        <v>230.06661999999997</v>
      </c>
      <c r="T16" s="103">
        <v>12.79</v>
      </c>
      <c r="U16" s="98">
        <v>28.76</v>
      </c>
      <c r="V16" s="98">
        <f t="shared" si="9"/>
        <v>13.621349999999998</v>
      </c>
      <c r="W16" s="98">
        <f t="shared" si="10"/>
        <v>30.399319999999999</v>
      </c>
      <c r="X16" s="120">
        <v>0</v>
      </c>
      <c r="Y16" s="120"/>
      <c r="Z16" s="110"/>
      <c r="AA16" s="121">
        <f t="shared" si="11"/>
        <v>0</v>
      </c>
      <c r="AB16" s="121">
        <f t="shared" si="12"/>
        <v>0</v>
      </c>
      <c r="AC16" s="110"/>
      <c r="AD16" s="110"/>
      <c r="AE16" s="121">
        <f t="shared" si="13"/>
        <v>0</v>
      </c>
      <c r="AF16" s="121">
        <f t="shared" si="13"/>
        <v>0</v>
      </c>
      <c r="AG16" s="98"/>
      <c r="AH16" s="98"/>
      <c r="AI16" s="98">
        <f t="shared" si="14"/>
        <v>0</v>
      </c>
      <c r="AJ16" s="98">
        <f t="shared" si="14"/>
        <v>0</v>
      </c>
      <c r="AK16" s="103">
        <v>72.23</v>
      </c>
      <c r="AL16" s="98">
        <v>37.11</v>
      </c>
      <c r="AM16" s="98">
        <f t="shared" si="15"/>
        <v>76.924949999999995</v>
      </c>
      <c r="AN16" s="98">
        <f t="shared" si="16"/>
        <v>39.225269999999995</v>
      </c>
      <c r="AO16" s="98"/>
      <c r="AP16" s="98"/>
      <c r="AQ16" s="131">
        <v>10.26</v>
      </c>
      <c r="AR16" s="131">
        <v>5.71</v>
      </c>
      <c r="AS16" s="99"/>
      <c r="AT16" s="98">
        <f t="shared" si="17"/>
        <v>0</v>
      </c>
      <c r="AU16" s="99">
        <v>79.7</v>
      </c>
      <c r="AV16" s="149">
        <f t="shared" si="18"/>
        <v>84.242899999999992</v>
      </c>
      <c r="AW16" s="98">
        <v>21.2</v>
      </c>
      <c r="AX16" s="98">
        <v>14.07</v>
      </c>
      <c r="AY16" s="101"/>
      <c r="AZ16" s="98">
        <f t="shared" si="19"/>
        <v>0</v>
      </c>
      <c r="BA16" s="98"/>
      <c r="BB16" s="98"/>
      <c r="BC16" s="99"/>
      <c r="BD16" s="99"/>
      <c r="BE16" s="98">
        <f t="shared" si="20"/>
        <v>0</v>
      </c>
      <c r="BF16" s="98">
        <f t="shared" si="21"/>
        <v>0</v>
      </c>
      <c r="BG16" s="99"/>
      <c r="BH16" s="99"/>
      <c r="BI16" s="98">
        <f t="shared" si="22"/>
        <v>0</v>
      </c>
      <c r="BJ16" s="98">
        <f t="shared" si="23"/>
        <v>0</v>
      </c>
      <c r="BK16" s="100"/>
      <c r="BL16" s="100"/>
      <c r="BM16" s="98"/>
      <c r="BN16" s="98">
        <f t="shared" si="24"/>
        <v>0</v>
      </c>
      <c r="BO16" s="105">
        <v>90.93</v>
      </c>
      <c r="BP16" s="149">
        <f t="shared" si="25"/>
        <v>96.113010000000003</v>
      </c>
      <c r="BQ16" s="112"/>
      <c r="BR16" s="112"/>
      <c r="BS16" s="104">
        <f t="shared" si="26"/>
        <v>0</v>
      </c>
      <c r="BT16" s="104">
        <f t="shared" si="27"/>
        <v>0</v>
      </c>
      <c r="BU16" s="105">
        <v>0</v>
      </c>
      <c r="BV16" s="105">
        <v>0</v>
      </c>
      <c r="BW16" s="142">
        <f t="shared" si="28"/>
        <v>0</v>
      </c>
      <c r="BX16" s="142">
        <f t="shared" si="29"/>
        <v>0</v>
      </c>
      <c r="BY16" s="110"/>
      <c r="BZ16" s="110"/>
      <c r="CA16" s="142">
        <f t="shared" si="30"/>
        <v>0</v>
      </c>
      <c r="CB16" s="142">
        <f t="shared" si="30"/>
        <v>0</v>
      </c>
      <c r="CC16" s="106"/>
      <c r="CD16" s="106"/>
      <c r="CE16" s="98">
        <f t="shared" si="31"/>
        <v>0</v>
      </c>
      <c r="CF16" s="107">
        <f t="shared" si="31"/>
        <v>0</v>
      </c>
      <c r="CG16" s="81"/>
      <c r="CH16" s="65">
        <f t="shared" si="32"/>
        <v>1602000</v>
      </c>
      <c r="CI16" s="74"/>
      <c r="CJ16" s="74"/>
      <c r="CK16" s="54">
        <v>812000</v>
      </c>
      <c r="CL16" s="74"/>
      <c r="CM16" s="54">
        <v>790000</v>
      </c>
      <c r="CN16" s="74"/>
      <c r="CO16" s="74"/>
      <c r="CP16" s="90"/>
      <c r="CQ16" s="68">
        <v>0</v>
      </c>
      <c r="CR16" s="69">
        <f t="shared" si="33"/>
        <v>135.62629999999999</v>
      </c>
      <c r="CS16" s="69">
        <f t="shared" si="34"/>
        <v>537.47712000000001</v>
      </c>
      <c r="CT16" s="70">
        <f t="shared" si="0"/>
        <v>1604571.005112</v>
      </c>
      <c r="CU16" s="70">
        <f t="shared" si="1"/>
        <v>1069714.0034080001</v>
      </c>
      <c r="CV16" s="70">
        <f t="shared" si="35"/>
        <v>2571.0051120000426</v>
      </c>
      <c r="CW16" s="55" t="s">
        <v>147</v>
      </c>
      <c r="CX16" s="118">
        <v>320000</v>
      </c>
    </row>
    <row r="17" spans="1:102">
      <c r="A17" s="18"/>
      <c r="B17" s="94" t="s">
        <v>148</v>
      </c>
      <c r="C17" s="92" t="s">
        <v>149</v>
      </c>
      <c r="D17" s="102">
        <v>2.7</v>
      </c>
      <c r="E17" s="102">
        <v>0</v>
      </c>
      <c r="F17" s="98">
        <f t="shared" si="2"/>
        <v>1.62</v>
      </c>
      <c r="G17" s="98">
        <f t="shared" si="2"/>
        <v>0</v>
      </c>
      <c r="H17" s="110"/>
      <c r="I17" s="110"/>
      <c r="J17" s="98">
        <f t="shared" si="3"/>
        <v>0</v>
      </c>
      <c r="K17" s="98">
        <f t="shared" si="4"/>
        <v>0</v>
      </c>
      <c r="L17" s="103">
        <v>0.12</v>
      </c>
      <c r="M17" s="98">
        <f t="shared" si="5"/>
        <v>0.12</v>
      </c>
      <c r="N17" s="98"/>
      <c r="O17" s="98"/>
      <c r="P17" s="98">
        <f t="shared" si="6"/>
        <v>0</v>
      </c>
      <c r="Q17" s="98">
        <f t="shared" si="7"/>
        <v>0</v>
      </c>
      <c r="R17" s="103">
        <v>11.08</v>
      </c>
      <c r="S17" s="98">
        <f t="shared" si="8"/>
        <v>11.711559999999999</v>
      </c>
      <c r="T17" s="103">
        <v>2.54</v>
      </c>
      <c r="U17" s="98">
        <v>0</v>
      </c>
      <c r="V17" s="98">
        <f t="shared" si="9"/>
        <v>2.7050999999999998</v>
      </c>
      <c r="W17" s="98">
        <f t="shared" si="10"/>
        <v>0</v>
      </c>
      <c r="X17" s="120">
        <v>0</v>
      </c>
      <c r="Y17" s="120"/>
      <c r="Z17" s="110"/>
      <c r="AA17" s="121">
        <f t="shared" si="11"/>
        <v>0</v>
      </c>
      <c r="AB17" s="121">
        <f t="shared" si="12"/>
        <v>0</v>
      </c>
      <c r="AC17" s="110"/>
      <c r="AD17" s="110"/>
      <c r="AE17" s="121">
        <f t="shared" si="13"/>
        <v>0</v>
      </c>
      <c r="AF17" s="121">
        <f t="shared" si="13"/>
        <v>0</v>
      </c>
      <c r="AG17" s="98"/>
      <c r="AH17" s="98"/>
      <c r="AI17" s="98">
        <f t="shared" si="14"/>
        <v>0</v>
      </c>
      <c r="AJ17" s="98">
        <f t="shared" si="14"/>
        <v>0</v>
      </c>
      <c r="AK17" s="103">
        <v>18.86</v>
      </c>
      <c r="AL17" s="98">
        <v>0.19</v>
      </c>
      <c r="AM17" s="98">
        <f t="shared" si="15"/>
        <v>20.085899999999999</v>
      </c>
      <c r="AN17" s="98">
        <f t="shared" si="16"/>
        <v>0.20082999999999998</v>
      </c>
      <c r="AO17" s="98"/>
      <c r="AP17" s="98"/>
      <c r="AQ17" s="131"/>
      <c r="AR17" s="131"/>
      <c r="AS17" s="99"/>
      <c r="AT17" s="98">
        <f t="shared" si="17"/>
        <v>0</v>
      </c>
      <c r="AU17" s="99"/>
      <c r="AV17" s="149">
        <f t="shared" si="18"/>
        <v>0</v>
      </c>
      <c r="AW17" s="98">
        <v>8.2899999999999991</v>
      </c>
      <c r="AX17" s="98">
        <v>0</v>
      </c>
      <c r="AY17" s="101"/>
      <c r="AZ17" s="98">
        <f t="shared" si="19"/>
        <v>0</v>
      </c>
      <c r="BA17" s="98"/>
      <c r="BB17" s="98"/>
      <c r="BC17" s="99">
        <v>15.6</v>
      </c>
      <c r="BD17" s="99">
        <v>0</v>
      </c>
      <c r="BE17" s="98">
        <f t="shared" si="20"/>
        <v>12.380160000000002</v>
      </c>
      <c r="BF17" s="98">
        <f t="shared" si="21"/>
        <v>0</v>
      </c>
      <c r="BG17" s="99">
        <v>23.24</v>
      </c>
      <c r="BH17" s="99">
        <v>0</v>
      </c>
      <c r="BI17" s="98">
        <f t="shared" si="22"/>
        <v>24.564679999999996</v>
      </c>
      <c r="BJ17" s="98">
        <f t="shared" si="23"/>
        <v>0</v>
      </c>
      <c r="BK17" s="100"/>
      <c r="BL17" s="100"/>
      <c r="BM17" s="98"/>
      <c r="BN17" s="98">
        <f t="shared" si="24"/>
        <v>0</v>
      </c>
      <c r="BO17" s="105">
        <v>5.0599999999999996</v>
      </c>
      <c r="BP17" s="149">
        <f t="shared" si="25"/>
        <v>5.3484199999999991</v>
      </c>
      <c r="BQ17" s="112"/>
      <c r="BR17" s="112"/>
      <c r="BS17" s="104">
        <f t="shared" si="26"/>
        <v>0</v>
      </c>
      <c r="BT17" s="104">
        <f t="shared" si="27"/>
        <v>0</v>
      </c>
      <c r="BU17" s="105">
        <v>0</v>
      </c>
      <c r="BV17" s="105">
        <v>0</v>
      </c>
      <c r="BW17" s="142">
        <f t="shared" si="28"/>
        <v>0</v>
      </c>
      <c r="BX17" s="142">
        <f t="shared" si="29"/>
        <v>0</v>
      </c>
      <c r="BY17" s="110"/>
      <c r="BZ17" s="110"/>
      <c r="CA17" s="142">
        <f t="shared" si="30"/>
        <v>0</v>
      </c>
      <c r="CB17" s="142">
        <f t="shared" si="30"/>
        <v>0</v>
      </c>
      <c r="CC17" s="106"/>
      <c r="CD17" s="106"/>
      <c r="CE17" s="98">
        <f t="shared" si="31"/>
        <v>0</v>
      </c>
      <c r="CF17" s="107">
        <f t="shared" si="31"/>
        <v>0</v>
      </c>
      <c r="CG17" s="81"/>
      <c r="CH17" s="65">
        <f t="shared" si="32"/>
        <v>205000</v>
      </c>
      <c r="CI17" s="74"/>
      <c r="CJ17" s="74"/>
      <c r="CK17" s="54">
        <v>205000</v>
      </c>
      <c r="CL17" s="74"/>
      <c r="CM17" s="54"/>
      <c r="CN17" s="74"/>
      <c r="CO17" s="74"/>
      <c r="CP17" s="90"/>
      <c r="CQ17" s="68">
        <v>0</v>
      </c>
      <c r="CR17" s="69">
        <f t="shared" si="33"/>
        <v>45.081160000000004</v>
      </c>
      <c r="CS17" s="69">
        <f t="shared" si="34"/>
        <v>41.945489999999992</v>
      </c>
      <c r="CT17" s="70">
        <f t="shared" si="0"/>
        <v>205986.68214600001</v>
      </c>
      <c r="CU17" s="70">
        <f t="shared" si="1"/>
        <v>137324.45476399999</v>
      </c>
      <c r="CV17" s="70">
        <f t="shared" si="35"/>
        <v>986.68214600000647</v>
      </c>
      <c r="CW17" s="55"/>
      <c r="CX17" s="118"/>
    </row>
    <row r="18" spans="1:102">
      <c r="A18" s="132" t="s">
        <v>152</v>
      </c>
      <c r="B18" s="94" t="s">
        <v>153</v>
      </c>
      <c r="C18" s="92" t="s">
        <v>154</v>
      </c>
      <c r="D18" s="102">
        <v>18.899999999999999</v>
      </c>
      <c r="E18" s="102">
        <v>13.5</v>
      </c>
      <c r="F18" s="98">
        <f t="shared" si="2"/>
        <v>11.339999999999998</v>
      </c>
      <c r="G18" s="98">
        <f t="shared" si="2"/>
        <v>8.1</v>
      </c>
      <c r="H18" s="119"/>
      <c r="I18" s="119"/>
      <c r="J18" s="98">
        <f t="shared" si="3"/>
        <v>0</v>
      </c>
      <c r="K18" s="98">
        <f t="shared" si="4"/>
        <v>0</v>
      </c>
      <c r="L18" s="103"/>
      <c r="M18" s="98">
        <f t="shared" si="5"/>
        <v>0</v>
      </c>
      <c r="N18" s="98">
        <v>21.81</v>
      </c>
      <c r="O18" s="98">
        <v>45.3</v>
      </c>
      <c r="P18" s="98">
        <f t="shared" si="6"/>
        <v>23.227649999999997</v>
      </c>
      <c r="Q18" s="98">
        <f t="shared" si="7"/>
        <v>47.882099999999994</v>
      </c>
      <c r="R18" s="103">
        <v>247.4</v>
      </c>
      <c r="S18" s="98">
        <f t="shared" si="8"/>
        <v>261.5018</v>
      </c>
      <c r="T18" s="103">
        <v>18.72</v>
      </c>
      <c r="U18" s="98">
        <v>6.62</v>
      </c>
      <c r="V18" s="98">
        <f t="shared" si="9"/>
        <v>19.936799999999998</v>
      </c>
      <c r="W18" s="98">
        <f t="shared" si="10"/>
        <v>6.9973399999999994</v>
      </c>
      <c r="X18" s="120">
        <v>0</v>
      </c>
      <c r="Y18" s="120"/>
      <c r="Z18" s="110"/>
      <c r="AA18" s="121">
        <f t="shared" si="11"/>
        <v>0</v>
      </c>
      <c r="AB18" s="121">
        <f t="shared" si="12"/>
        <v>0</v>
      </c>
      <c r="AC18" s="110"/>
      <c r="AD18" s="110"/>
      <c r="AE18" s="121">
        <f t="shared" si="13"/>
        <v>0</v>
      </c>
      <c r="AF18" s="121">
        <f t="shared" si="13"/>
        <v>0</v>
      </c>
      <c r="AG18" s="98"/>
      <c r="AH18" s="98"/>
      <c r="AI18" s="98">
        <f t="shared" si="14"/>
        <v>0</v>
      </c>
      <c r="AJ18" s="98">
        <f t="shared" si="14"/>
        <v>0</v>
      </c>
      <c r="AK18" s="103">
        <v>173.6</v>
      </c>
      <c r="AL18" s="98">
        <v>39.92</v>
      </c>
      <c r="AM18" s="98">
        <f t="shared" si="15"/>
        <v>184.88399999999999</v>
      </c>
      <c r="AN18" s="98">
        <f t="shared" si="16"/>
        <v>42.195439999999998</v>
      </c>
      <c r="AO18" s="98"/>
      <c r="AP18" s="98"/>
      <c r="AQ18" s="131"/>
      <c r="AR18" s="131"/>
      <c r="AS18" s="99"/>
      <c r="AT18" s="98">
        <f t="shared" si="17"/>
        <v>0</v>
      </c>
      <c r="AU18" s="99"/>
      <c r="AV18" s="149">
        <f t="shared" si="18"/>
        <v>0</v>
      </c>
      <c r="AW18" s="98"/>
      <c r="AX18" s="98"/>
      <c r="AY18" s="101"/>
      <c r="AZ18" s="98">
        <f t="shared" si="19"/>
        <v>0</v>
      </c>
      <c r="BA18" s="98"/>
      <c r="BB18" s="98"/>
      <c r="BC18" s="99"/>
      <c r="BD18" s="99"/>
      <c r="BE18" s="98">
        <f t="shared" si="20"/>
        <v>0</v>
      </c>
      <c r="BF18" s="98">
        <f t="shared" si="21"/>
        <v>0</v>
      </c>
      <c r="BG18" s="99">
        <v>127.16</v>
      </c>
      <c r="BH18" s="99">
        <v>1.05</v>
      </c>
      <c r="BI18" s="98">
        <f t="shared" si="22"/>
        <v>134.40812</v>
      </c>
      <c r="BJ18" s="98">
        <f t="shared" si="23"/>
        <v>1.10985</v>
      </c>
      <c r="BK18" s="100"/>
      <c r="BL18" s="100"/>
      <c r="BM18" s="98"/>
      <c r="BN18" s="98">
        <f t="shared" si="24"/>
        <v>0</v>
      </c>
      <c r="BO18" s="105">
        <v>85.67</v>
      </c>
      <c r="BP18" s="149">
        <f t="shared" si="25"/>
        <v>90.553190000000001</v>
      </c>
      <c r="BQ18" s="112"/>
      <c r="BR18" s="112"/>
      <c r="BS18" s="104">
        <f t="shared" si="26"/>
        <v>0</v>
      </c>
      <c r="BT18" s="104">
        <f t="shared" si="27"/>
        <v>0</v>
      </c>
      <c r="BU18" s="105">
        <v>4.88</v>
      </c>
      <c r="BV18" s="105">
        <v>0</v>
      </c>
      <c r="BW18" s="142">
        <f t="shared" si="28"/>
        <v>6.2464000000000004</v>
      </c>
      <c r="BX18" s="142">
        <f t="shared" si="29"/>
        <v>0</v>
      </c>
      <c r="BY18" s="110">
        <v>50.2</v>
      </c>
      <c r="BZ18" s="110">
        <v>18</v>
      </c>
      <c r="CA18" s="142">
        <f t="shared" si="30"/>
        <v>25.1</v>
      </c>
      <c r="CB18" s="142">
        <f t="shared" si="30"/>
        <v>9</v>
      </c>
      <c r="CC18" s="106">
        <v>207</v>
      </c>
      <c r="CD18" s="106">
        <v>5</v>
      </c>
      <c r="CE18" s="98">
        <f t="shared" si="31"/>
        <v>10.350000000000001</v>
      </c>
      <c r="CF18" s="107">
        <f t="shared" si="31"/>
        <v>0.25</v>
      </c>
      <c r="CG18" s="81"/>
      <c r="CH18" s="65">
        <f t="shared" si="32"/>
        <v>2100000</v>
      </c>
      <c r="CI18" s="74"/>
      <c r="CJ18" s="74"/>
      <c r="CK18" s="54">
        <v>1375000</v>
      </c>
      <c r="CL18" s="74"/>
      <c r="CM18" s="54">
        <v>725000</v>
      </c>
      <c r="CN18" s="74"/>
      <c r="CO18" s="74"/>
      <c r="CP18" s="90"/>
      <c r="CQ18" s="68">
        <v>0</v>
      </c>
      <c r="CR18" s="69">
        <f t="shared" si="33"/>
        <v>281.08484999999996</v>
      </c>
      <c r="CS18" s="69">
        <f t="shared" si="34"/>
        <v>600.88799000000006</v>
      </c>
      <c r="CT18" s="70">
        <f t="shared" si="0"/>
        <v>2100284.2901864997</v>
      </c>
      <c r="CU18" s="70">
        <f t="shared" si="1"/>
        <v>1399082.1739535001</v>
      </c>
      <c r="CV18" s="70">
        <f t="shared" si="35"/>
        <v>284.29018649971113</v>
      </c>
      <c r="CW18" s="55"/>
      <c r="CX18" s="118"/>
    </row>
    <row r="19" spans="1:102">
      <c r="A19" s="18"/>
      <c r="B19" s="94" t="s">
        <v>157</v>
      </c>
      <c r="C19" s="92" t="s">
        <v>158</v>
      </c>
      <c r="D19" s="102">
        <v>0</v>
      </c>
      <c r="E19" s="102">
        <v>0</v>
      </c>
      <c r="F19" s="98">
        <f t="shared" si="2"/>
        <v>0</v>
      </c>
      <c r="G19" s="98">
        <f t="shared" si="2"/>
        <v>0</v>
      </c>
      <c r="H19" s="110"/>
      <c r="I19" s="110"/>
      <c r="J19" s="98">
        <f t="shared" si="3"/>
        <v>0</v>
      </c>
      <c r="K19" s="98">
        <f t="shared" si="4"/>
        <v>0</v>
      </c>
      <c r="L19" s="103"/>
      <c r="M19" s="98">
        <f t="shared" si="5"/>
        <v>0</v>
      </c>
      <c r="N19" s="98"/>
      <c r="O19" s="98"/>
      <c r="P19" s="98">
        <f t="shared" si="6"/>
        <v>0</v>
      </c>
      <c r="Q19" s="98">
        <f t="shared" si="7"/>
        <v>0</v>
      </c>
      <c r="R19" s="103">
        <v>33.18</v>
      </c>
      <c r="S19" s="98">
        <f t="shared" si="8"/>
        <v>35.071259999999995</v>
      </c>
      <c r="T19" s="103">
        <v>21.29</v>
      </c>
      <c r="U19" s="98">
        <v>21.73</v>
      </c>
      <c r="V19" s="98">
        <f t="shared" si="9"/>
        <v>22.673849999999998</v>
      </c>
      <c r="W19" s="98">
        <f t="shared" si="10"/>
        <v>22.968609999999998</v>
      </c>
      <c r="X19" s="120">
        <v>0</v>
      </c>
      <c r="Y19" s="120">
        <v>0</v>
      </c>
      <c r="Z19" s="110"/>
      <c r="AA19" s="121">
        <f t="shared" si="11"/>
        <v>0</v>
      </c>
      <c r="AB19" s="121">
        <f t="shared" si="12"/>
        <v>0</v>
      </c>
      <c r="AC19" s="110"/>
      <c r="AD19" s="110"/>
      <c r="AE19" s="121">
        <f t="shared" si="13"/>
        <v>0</v>
      </c>
      <c r="AF19" s="121">
        <f t="shared" si="13"/>
        <v>0</v>
      </c>
      <c r="AG19" s="98">
        <v>0</v>
      </c>
      <c r="AH19" s="98">
        <v>0</v>
      </c>
      <c r="AI19" s="98">
        <f t="shared" si="14"/>
        <v>0</v>
      </c>
      <c r="AJ19" s="98">
        <f t="shared" si="14"/>
        <v>0</v>
      </c>
      <c r="AK19" s="103">
        <v>12.27</v>
      </c>
      <c r="AL19" s="98">
        <v>5.04</v>
      </c>
      <c r="AM19" s="98">
        <f t="shared" si="15"/>
        <v>13.067549999999999</v>
      </c>
      <c r="AN19" s="98">
        <f t="shared" si="16"/>
        <v>5.32728</v>
      </c>
      <c r="AO19" s="98"/>
      <c r="AP19" s="98"/>
      <c r="AQ19" s="131">
        <v>16.760000000000002</v>
      </c>
      <c r="AR19" s="131">
        <v>9.5399999999999991</v>
      </c>
      <c r="AS19" s="99"/>
      <c r="AT19" s="98">
        <f t="shared" si="17"/>
        <v>0</v>
      </c>
      <c r="AU19" s="99"/>
      <c r="AV19" s="149">
        <f t="shared" si="18"/>
        <v>0</v>
      </c>
      <c r="AW19" s="98">
        <v>112.49</v>
      </c>
      <c r="AX19" s="98">
        <v>45</v>
      </c>
      <c r="AY19" s="101"/>
      <c r="AZ19" s="98">
        <f t="shared" si="19"/>
        <v>0</v>
      </c>
      <c r="BA19" s="98"/>
      <c r="BB19" s="98"/>
      <c r="BC19" s="99"/>
      <c r="BD19" s="99"/>
      <c r="BE19" s="98">
        <f t="shared" si="20"/>
        <v>0</v>
      </c>
      <c r="BF19" s="98">
        <f t="shared" si="21"/>
        <v>0</v>
      </c>
      <c r="BG19" s="99"/>
      <c r="BH19" s="99"/>
      <c r="BI19" s="98">
        <f t="shared" si="22"/>
        <v>0</v>
      </c>
      <c r="BJ19" s="98">
        <f t="shared" si="23"/>
        <v>0</v>
      </c>
      <c r="BK19" s="100"/>
      <c r="BL19" s="100"/>
      <c r="BM19" s="98"/>
      <c r="BN19" s="98">
        <f t="shared" si="24"/>
        <v>0</v>
      </c>
      <c r="BO19" s="105">
        <v>49.19</v>
      </c>
      <c r="BP19" s="149">
        <f t="shared" si="25"/>
        <v>51.993829999999996</v>
      </c>
      <c r="BQ19" s="112"/>
      <c r="BR19" s="112"/>
      <c r="BS19" s="104">
        <f t="shared" si="26"/>
        <v>0</v>
      </c>
      <c r="BT19" s="104">
        <f t="shared" si="27"/>
        <v>0</v>
      </c>
      <c r="BU19" s="105">
        <v>0</v>
      </c>
      <c r="BV19" s="105">
        <v>0</v>
      </c>
      <c r="BW19" s="142">
        <f t="shared" si="28"/>
        <v>0</v>
      </c>
      <c r="BX19" s="142">
        <f t="shared" si="29"/>
        <v>0</v>
      </c>
      <c r="BY19" s="110">
        <v>10</v>
      </c>
      <c r="BZ19" s="110">
        <v>24.04</v>
      </c>
      <c r="CA19" s="142">
        <f t="shared" si="30"/>
        <v>5</v>
      </c>
      <c r="CB19" s="142">
        <f t="shared" si="30"/>
        <v>12.02</v>
      </c>
      <c r="CC19" s="106"/>
      <c r="CD19" s="106"/>
      <c r="CE19" s="98">
        <f t="shared" si="31"/>
        <v>0</v>
      </c>
      <c r="CF19" s="107">
        <f t="shared" si="31"/>
        <v>0</v>
      </c>
      <c r="CG19" s="81"/>
      <c r="CH19" s="65">
        <f t="shared" si="32"/>
        <v>832000</v>
      </c>
      <c r="CI19" s="74"/>
      <c r="CJ19" s="74"/>
      <c r="CK19" s="54">
        <v>522000</v>
      </c>
      <c r="CL19" s="74"/>
      <c r="CM19" s="54">
        <v>310000</v>
      </c>
      <c r="CN19" s="74"/>
      <c r="CO19" s="74"/>
      <c r="CP19" s="90"/>
      <c r="CQ19" s="68">
        <v>0</v>
      </c>
      <c r="CR19" s="69">
        <f t="shared" si="33"/>
        <v>169.9914</v>
      </c>
      <c r="CS19" s="69">
        <f t="shared" si="34"/>
        <v>181.92098000000001</v>
      </c>
      <c r="CT19" s="70">
        <f t="shared" si="0"/>
        <v>833611.84438799985</v>
      </c>
      <c r="CU19" s="70">
        <f t="shared" si="1"/>
        <v>555741.22959200002</v>
      </c>
      <c r="CV19" s="70">
        <f t="shared" si="35"/>
        <v>1611.8443879998522</v>
      </c>
      <c r="CW19" s="55"/>
      <c r="CX19" s="118"/>
    </row>
    <row r="20" spans="1:102">
      <c r="A20" s="18" t="s">
        <v>166</v>
      </c>
      <c r="B20" s="94" t="s">
        <v>167</v>
      </c>
      <c r="C20" s="92" t="s">
        <v>168</v>
      </c>
      <c r="D20" s="102">
        <v>0.72</v>
      </c>
      <c r="E20" s="102">
        <v>0.41</v>
      </c>
      <c r="F20" s="98">
        <f t="shared" si="2"/>
        <v>0.432</v>
      </c>
      <c r="G20" s="98">
        <f t="shared" si="2"/>
        <v>0.24599999999999997</v>
      </c>
      <c r="H20" s="110"/>
      <c r="I20" s="110"/>
      <c r="J20" s="98">
        <f t="shared" si="3"/>
        <v>0</v>
      </c>
      <c r="K20" s="98">
        <f t="shared" si="4"/>
        <v>0</v>
      </c>
      <c r="L20" s="103">
        <v>34.6</v>
      </c>
      <c r="M20" s="98">
        <f t="shared" si="5"/>
        <v>34.6</v>
      </c>
      <c r="N20" s="98"/>
      <c r="O20" s="98"/>
      <c r="P20" s="98">
        <f t="shared" si="6"/>
        <v>0</v>
      </c>
      <c r="Q20" s="98">
        <f t="shared" si="7"/>
        <v>0</v>
      </c>
      <c r="R20" s="103">
        <v>66.41</v>
      </c>
      <c r="S20" s="98">
        <f t="shared" si="8"/>
        <v>70.195369999999997</v>
      </c>
      <c r="T20" s="103">
        <v>21.65</v>
      </c>
      <c r="U20" s="98">
        <v>17.579999999999998</v>
      </c>
      <c r="V20" s="98">
        <f t="shared" si="9"/>
        <v>23.057249999999996</v>
      </c>
      <c r="W20" s="98">
        <f t="shared" si="10"/>
        <v>18.582059999999998</v>
      </c>
      <c r="X20" s="120">
        <v>0</v>
      </c>
      <c r="Y20" s="120"/>
      <c r="Z20" s="110"/>
      <c r="AA20" s="121">
        <f t="shared" si="11"/>
        <v>0</v>
      </c>
      <c r="AB20" s="121">
        <f t="shared" si="12"/>
        <v>0</v>
      </c>
      <c r="AC20" s="110"/>
      <c r="AD20" s="110"/>
      <c r="AE20" s="121">
        <f t="shared" si="13"/>
        <v>0</v>
      </c>
      <c r="AF20" s="121">
        <f t="shared" si="13"/>
        <v>0</v>
      </c>
      <c r="AG20" s="98">
        <v>0</v>
      </c>
      <c r="AH20" s="98">
        <v>0</v>
      </c>
      <c r="AI20" s="98">
        <f t="shared" si="14"/>
        <v>0</v>
      </c>
      <c r="AJ20" s="98">
        <f t="shared" si="14"/>
        <v>0</v>
      </c>
      <c r="AK20" s="103">
        <v>45.52</v>
      </c>
      <c r="AL20" s="98">
        <v>141.63</v>
      </c>
      <c r="AM20" s="98">
        <f t="shared" si="15"/>
        <v>48.4788</v>
      </c>
      <c r="AN20" s="98">
        <f t="shared" si="16"/>
        <v>149.70290999999997</v>
      </c>
      <c r="AO20" s="98"/>
      <c r="AP20" s="98"/>
      <c r="AQ20" s="131"/>
      <c r="AR20" s="131"/>
      <c r="AS20" s="99"/>
      <c r="AT20" s="98">
        <f t="shared" si="17"/>
        <v>0</v>
      </c>
      <c r="AU20" s="99"/>
      <c r="AV20" s="149">
        <f t="shared" si="18"/>
        <v>0</v>
      </c>
      <c r="AW20" s="98">
        <v>34.869999999999997</v>
      </c>
      <c r="AX20" s="98">
        <v>68.97</v>
      </c>
      <c r="AY20" s="101"/>
      <c r="AZ20" s="98">
        <f t="shared" si="19"/>
        <v>0</v>
      </c>
      <c r="BA20" s="98"/>
      <c r="BB20" s="98"/>
      <c r="BC20" s="99">
        <v>0</v>
      </c>
      <c r="BD20" s="99">
        <v>29</v>
      </c>
      <c r="BE20" s="98">
        <f t="shared" si="20"/>
        <v>0</v>
      </c>
      <c r="BF20" s="98">
        <f t="shared" si="21"/>
        <v>23.014400000000002</v>
      </c>
      <c r="BG20" s="99"/>
      <c r="BH20" s="99"/>
      <c r="BI20" s="98">
        <f t="shared" si="22"/>
        <v>0</v>
      </c>
      <c r="BJ20" s="98">
        <f t="shared" si="23"/>
        <v>0</v>
      </c>
      <c r="BK20" s="100"/>
      <c r="BL20" s="100"/>
      <c r="BM20" s="98"/>
      <c r="BN20" s="98">
        <f t="shared" si="24"/>
        <v>0</v>
      </c>
      <c r="BO20" s="105">
        <v>40.85</v>
      </c>
      <c r="BP20" s="149">
        <f t="shared" si="25"/>
        <v>43.178449999999998</v>
      </c>
      <c r="BQ20" s="112"/>
      <c r="BR20" s="112"/>
      <c r="BS20" s="104">
        <f t="shared" si="26"/>
        <v>0</v>
      </c>
      <c r="BT20" s="104">
        <f t="shared" si="27"/>
        <v>0</v>
      </c>
      <c r="BU20" s="105">
        <v>0</v>
      </c>
      <c r="BV20" s="105">
        <v>0</v>
      </c>
      <c r="BW20" s="142">
        <f t="shared" si="28"/>
        <v>0</v>
      </c>
      <c r="BX20" s="142">
        <f t="shared" si="29"/>
        <v>0</v>
      </c>
      <c r="BY20" s="110"/>
      <c r="BZ20" s="110"/>
      <c r="CA20" s="142">
        <f t="shared" si="30"/>
        <v>0</v>
      </c>
      <c r="CB20" s="142">
        <f t="shared" si="30"/>
        <v>0</v>
      </c>
      <c r="CC20" s="106"/>
      <c r="CD20" s="106"/>
      <c r="CE20" s="98">
        <f t="shared" si="31"/>
        <v>0</v>
      </c>
      <c r="CF20" s="107">
        <f t="shared" si="31"/>
        <v>0</v>
      </c>
      <c r="CG20" s="81"/>
      <c r="CH20" s="65">
        <f t="shared" si="32"/>
        <v>1230000</v>
      </c>
      <c r="CI20" s="74"/>
      <c r="CJ20" s="74"/>
      <c r="CK20" s="54">
        <v>320000</v>
      </c>
      <c r="CL20" s="74">
        <v>200000</v>
      </c>
      <c r="CM20" s="54">
        <v>710000</v>
      </c>
      <c r="CN20" s="74"/>
      <c r="CO20" s="74"/>
      <c r="CP20" s="90"/>
      <c r="CQ20" s="68">
        <v>0</v>
      </c>
      <c r="CR20" s="69">
        <f t="shared" si="33"/>
        <v>106.83805000000001</v>
      </c>
      <c r="CS20" s="69">
        <f t="shared" si="34"/>
        <v>408.48919000000001</v>
      </c>
      <c r="CT20" s="70">
        <f t="shared" si="0"/>
        <v>1228297.457034</v>
      </c>
      <c r="CU20" s="70">
        <f t="shared" si="1"/>
        <v>818864.97135600005</v>
      </c>
      <c r="CV20" s="70">
        <f t="shared" si="35"/>
        <v>-1702.5429660000373</v>
      </c>
      <c r="CW20" s="55"/>
      <c r="CX20" s="118"/>
    </row>
    <row r="21" spans="1:102">
      <c r="A21" s="18"/>
      <c r="B21" s="94" t="s">
        <v>178</v>
      </c>
      <c r="C21" s="92" t="s">
        <v>179</v>
      </c>
      <c r="D21" s="102">
        <v>0</v>
      </c>
      <c r="E21" s="102">
        <v>0</v>
      </c>
      <c r="F21" s="98">
        <f t="shared" si="2"/>
        <v>0</v>
      </c>
      <c r="G21" s="98">
        <f t="shared" si="2"/>
        <v>0</v>
      </c>
      <c r="H21" s="110"/>
      <c r="I21" s="110"/>
      <c r="J21" s="98">
        <f t="shared" si="3"/>
        <v>0</v>
      </c>
      <c r="K21" s="98">
        <f t="shared" si="4"/>
        <v>0</v>
      </c>
      <c r="L21" s="103">
        <v>0.01</v>
      </c>
      <c r="M21" s="98">
        <f t="shared" si="5"/>
        <v>0.01</v>
      </c>
      <c r="N21" s="98"/>
      <c r="O21" s="98"/>
      <c r="P21" s="98">
        <f t="shared" si="6"/>
        <v>0</v>
      </c>
      <c r="Q21" s="98">
        <f t="shared" si="7"/>
        <v>0</v>
      </c>
      <c r="R21" s="103">
        <v>0</v>
      </c>
      <c r="S21" s="98">
        <f t="shared" si="8"/>
        <v>0</v>
      </c>
      <c r="T21" s="108"/>
      <c r="U21" s="99"/>
      <c r="V21" s="98">
        <f t="shared" si="9"/>
        <v>0</v>
      </c>
      <c r="W21" s="98">
        <f t="shared" si="10"/>
        <v>0</v>
      </c>
      <c r="X21" s="120">
        <v>0</v>
      </c>
      <c r="Y21" s="120"/>
      <c r="Z21" s="110"/>
      <c r="AA21" s="121">
        <f t="shared" si="11"/>
        <v>0</v>
      </c>
      <c r="AB21" s="121">
        <f t="shared" si="12"/>
        <v>0</v>
      </c>
      <c r="AC21" s="110"/>
      <c r="AD21" s="110"/>
      <c r="AE21" s="121">
        <f t="shared" si="13"/>
        <v>0</v>
      </c>
      <c r="AF21" s="121">
        <f t="shared" si="13"/>
        <v>0</v>
      </c>
      <c r="AG21" s="98">
        <v>0</v>
      </c>
      <c r="AH21" s="98">
        <v>0</v>
      </c>
      <c r="AI21" s="98">
        <f t="shared" si="14"/>
        <v>0</v>
      </c>
      <c r="AJ21" s="98">
        <f t="shared" si="14"/>
        <v>0</v>
      </c>
      <c r="AK21" s="103">
        <v>35.76</v>
      </c>
      <c r="AL21" s="98">
        <v>29.5</v>
      </c>
      <c r="AM21" s="98">
        <f t="shared" si="15"/>
        <v>38.084399999999995</v>
      </c>
      <c r="AN21" s="98">
        <f t="shared" si="16"/>
        <v>31.1815</v>
      </c>
      <c r="AO21" s="98"/>
      <c r="AP21" s="98"/>
      <c r="AQ21" s="131">
        <v>327.62</v>
      </c>
      <c r="AR21" s="131">
        <v>207.03</v>
      </c>
      <c r="AS21" s="99"/>
      <c r="AT21" s="98">
        <f t="shared" si="17"/>
        <v>0</v>
      </c>
      <c r="AU21" s="99"/>
      <c r="AV21" s="149">
        <f t="shared" si="18"/>
        <v>0</v>
      </c>
      <c r="AW21" s="98">
        <v>0.72</v>
      </c>
      <c r="AX21" s="98">
        <v>0.57999999999999996</v>
      </c>
      <c r="AY21" s="101"/>
      <c r="AZ21" s="98">
        <f t="shared" si="19"/>
        <v>0</v>
      </c>
      <c r="BA21" s="98"/>
      <c r="BB21" s="98"/>
      <c r="BC21" s="99"/>
      <c r="BD21" s="99"/>
      <c r="BE21" s="98">
        <f t="shared" si="20"/>
        <v>0</v>
      </c>
      <c r="BF21" s="98">
        <f t="shared" si="21"/>
        <v>0</v>
      </c>
      <c r="BG21" s="99"/>
      <c r="BH21" s="99"/>
      <c r="BI21" s="98">
        <f t="shared" si="22"/>
        <v>0</v>
      </c>
      <c r="BJ21" s="98">
        <f t="shared" si="23"/>
        <v>0</v>
      </c>
      <c r="BK21" s="100"/>
      <c r="BL21" s="100"/>
      <c r="BM21" s="98"/>
      <c r="BN21" s="98">
        <f t="shared" si="24"/>
        <v>0</v>
      </c>
      <c r="BO21" s="105"/>
      <c r="BP21" s="149">
        <f t="shared" si="25"/>
        <v>0</v>
      </c>
      <c r="BQ21" s="112"/>
      <c r="BR21" s="112"/>
      <c r="BS21" s="104">
        <f t="shared" si="26"/>
        <v>0</v>
      </c>
      <c r="BT21" s="104">
        <f t="shared" si="27"/>
        <v>0</v>
      </c>
      <c r="BU21" s="105">
        <v>0</v>
      </c>
      <c r="BV21" s="105">
        <v>0</v>
      </c>
      <c r="BW21" s="142">
        <f t="shared" si="28"/>
        <v>0</v>
      </c>
      <c r="BX21" s="142">
        <f t="shared" si="29"/>
        <v>0</v>
      </c>
      <c r="BY21" s="110"/>
      <c r="BZ21" s="110"/>
      <c r="CA21" s="142">
        <f t="shared" si="30"/>
        <v>0</v>
      </c>
      <c r="CB21" s="142">
        <f t="shared" si="30"/>
        <v>0</v>
      </c>
      <c r="CC21" s="106"/>
      <c r="CD21" s="106"/>
      <c r="CE21" s="98">
        <f t="shared" si="31"/>
        <v>0</v>
      </c>
      <c r="CF21" s="107">
        <f t="shared" si="31"/>
        <v>0</v>
      </c>
      <c r="CG21" s="81"/>
      <c r="CH21" s="65">
        <f t="shared" si="32"/>
        <v>1430000</v>
      </c>
      <c r="CI21" s="74"/>
      <c r="CJ21" s="74">
        <v>600000</v>
      </c>
      <c r="CK21" s="54">
        <v>260000</v>
      </c>
      <c r="CL21" s="74">
        <v>400000</v>
      </c>
      <c r="CM21" s="54">
        <v>170000</v>
      </c>
      <c r="CN21" s="74"/>
      <c r="CO21" s="74"/>
      <c r="CP21" s="90"/>
      <c r="CQ21" s="68">
        <v>0</v>
      </c>
      <c r="CR21" s="69">
        <f t="shared" si="33"/>
        <v>366.42440000000005</v>
      </c>
      <c r="CS21" s="69">
        <f t="shared" si="34"/>
        <v>238.8015</v>
      </c>
      <c r="CT21" s="70">
        <f t="shared" si="0"/>
        <v>1429706.8771800001</v>
      </c>
      <c r="CU21" s="70">
        <f t="shared" si="1"/>
        <v>953137.91812000016</v>
      </c>
      <c r="CV21" s="70">
        <f t="shared" si="35"/>
        <v>-293.12281999993138</v>
      </c>
      <c r="CW21" s="55"/>
      <c r="CX21" s="118"/>
    </row>
    <row r="22" spans="1:102">
      <c r="A22" s="18"/>
      <c r="B22" s="94" t="s">
        <v>180</v>
      </c>
      <c r="C22" s="92" t="s">
        <v>181</v>
      </c>
      <c r="D22" s="102">
        <v>0</v>
      </c>
      <c r="E22" s="102">
        <v>0</v>
      </c>
      <c r="F22" s="98">
        <f t="shared" si="2"/>
        <v>0</v>
      </c>
      <c r="G22" s="98">
        <f t="shared" si="2"/>
        <v>0</v>
      </c>
      <c r="H22" s="110"/>
      <c r="I22" s="110"/>
      <c r="J22" s="98">
        <f t="shared" si="3"/>
        <v>0</v>
      </c>
      <c r="K22" s="98">
        <f t="shared" si="4"/>
        <v>0</v>
      </c>
      <c r="L22" s="103">
        <v>118.8</v>
      </c>
      <c r="M22" s="98">
        <f t="shared" si="5"/>
        <v>118.8</v>
      </c>
      <c r="N22" s="98"/>
      <c r="O22" s="98"/>
      <c r="P22" s="98">
        <f t="shared" si="6"/>
        <v>0</v>
      </c>
      <c r="Q22" s="98">
        <f t="shared" si="7"/>
        <v>0</v>
      </c>
      <c r="R22" s="103">
        <v>51.41</v>
      </c>
      <c r="S22" s="98">
        <f t="shared" si="8"/>
        <v>54.340369999999993</v>
      </c>
      <c r="T22" s="108">
        <v>0</v>
      </c>
      <c r="U22" s="99">
        <v>12.1</v>
      </c>
      <c r="V22" s="98">
        <f t="shared" si="9"/>
        <v>0</v>
      </c>
      <c r="W22" s="98">
        <f t="shared" si="10"/>
        <v>12.789699999999998</v>
      </c>
      <c r="X22" s="120">
        <v>0</v>
      </c>
      <c r="Y22" s="120">
        <v>0</v>
      </c>
      <c r="Z22" s="110"/>
      <c r="AA22" s="121">
        <f t="shared" si="11"/>
        <v>0</v>
      </c>
      <c r="AB22" s="121">
        <f t="shared" si="12"/>
        <v>0</v>
      </c>
      <c r="AC22" s="110"/>
      <c r="AD22" s="110"/>
      <c r="AE22" s="121">
        <f t="shared" si="13"/>
        <v>0</v>
      </c>
      <c r="AF22" s="121">
        <f t="shared" si="13"/>
        <v>0</v>
      </c>
      <c r="AG22" s="98">
        <v>0</v>
      </c>
      <c r="AH22" s="98">
        <v>0</v>
      </c>
      <c r="AI22" s="98">
        <f t="shared" si="14"/>
        <v>0</v>
      </c>
      <c r="AJ22" s="98">
        <f t="shared" si="14"/>
        <v>0</v>
      </c>
      <c r="AK22" s="103">
        <v>74.61</v>
      </c>
      <c r="AL22" s="98">
        <v>23.35</v>
      </c>
      <c r="AM22" s="98">
        <f t="shared" si="15"/>
        <v>79.459649999999996</v>
      </c>
      <c r="AN22" s="98">
        <f t="shared" si="16"/>
        <v>24.680949999999999</v>
      </c>
      <c r="AO22" s="98"/>
      <c r="AP22" s="98"/>
      <c r="AQ22" s="131">
        <v>0</v>
      </c>
      <c r="AR22" s="131">
        <v>36.49</v>
      </c>
      <c r="AS22" s="99"/>
      <c r="AT22" s="98">
        <f t="shared" si="17"/>
        <v>0</v>
      </c>
      <c r="AU22" s="99"/>
      <c r="AV22" s="149">
        <f t="shared" si="18"/>
        <v>0</v>
      </c>
      <c r="AW22" s="98">
        <v>93.31</v>
      </c>
      <c r="AX22" s="98">
        <v>36.380000000000003</v>
      </c>
      <c r="AY22" s="101"/>
      <c r="AZ22" s="98">
        <f t="shared" si="19"/>
        <v>0</v>
      </c>
      <c r="BA22" s="98"/>
      <c r="BB22" s="98"/>
      <c r="BC22" s="99"/>
      <c r="BD22" s="99"/>
      <c r="BE22" s="98">
        <f t="shared" si="20"/>
        <v>0</v>
      </c>
      <c r="BF22" s="98">
        <f t="shared" si="21"/>
        <v>0</v>
      </c>
      <c r="BG22" s="99"/>
      <c r="BH22" s="99"/>
      <c r="BI22" s="98">
        <f t="shared" si="22"/>
        <v>0</v>
      </c>
      <c r="BJ22" s="98">
        <f t="shared" si="23"/>
        <v>0</v>
      </c>
      <c r="BK22" s="100"/>
      <c r="BL22" s="100"/>
      <c r="BM22" s="98"/>
      <c r="BN22" s="98">
        <f t="shared" si="24"/>
        <v>0</v>
      </c>
      <c r="BO22" s="105">
        <v>48.02</v>
      </c>
      <c r="BP22" s="149">
        <f t="shared" si="25"/>
        <v>50.75714</v>
      </c>
      <c r="BQ22" s="112"/>
      <c r="BR22" s="112"/>
      <c r="BS22" s="104">
        <f t="shared" si="26"/>
        <v>0</v>
      </c>
      <c r="BT22" s="104">
        <f t="shared" si="27"/>
        <v>0</v>
      </c>
      <c r="BU22" s="105">
        <v>0</v>
      </c>
      <c r="BV22" s="105">
        <v>0</v>
      </c>
      <c r="BW22" s="142">
        <f t="shared" si="28"/>
        <v>0</v>
      </c>
      <c r="BX22" s="142">
        <f t="shared" si="29"/>
        <v>0</v>
      </c>
      <c r="BY22" s="110"/>
      <c r="BZ22" s="110"/>
      <c r="CA22" s="142">
        <f t="shared" si="30"/>
        <v>0</v>
      </c>
      <c r="CB22" s="142">
        <f t="shared" si="30"/>
        <v>0</v>
      </c>
      <c r="CC22" s="106"/>
      <c r="CD22" s="106"/>
      <c r="CE22" s="98">
        <f t="shared" si="31"/>
        <v>0</v>
      </c>
      <c r="CF22" s="107">
        <f t="shared" si="31"/>
        <v>0</v>
      </c>
      <c r="CG22" s="81"/>
      <c r="CH22" s="65">
        <f t="shared" si="32"/>
        <v>1202000</v>
      </c>
      <c r="CI22" s="74"/>
      <c r="CJ22" s="74"/>
      <c r="CK22" s="54">
        <v>682000</v>
      </c>
      <c r="CL22" s="74"/>
      <c r="CM22" s="54">
        <v>520000</v>
      </c>
      <c r="CN22" s="74"/>
      <c r="CO22" s="74"/>
      <c r="CP22" s="90"/>
      <c r="CQ22" s="68">
        <v>0</v>
      </c>
      <c r="CR22" s="69">
        <f t="shared" si="33"/>
        <v>172.76965000000001</v>
      </c>
      <c r="CS22" s="69">
        <f t="shared" si="34"/>
        <v>334.23815999999999</v>
      </c>
      <c r="CT22" s="70">
        <f t="shared" si="0"/>
        <v>1204855.0025159998</v>
      </c>
      <c r="CU22" s="70">
        <f t="shared" si="1"/>
        <v>803236.66834400001</v>
      </c>
      <c r="CV22" s="70">
        <f t="shared" si="35"/>
        <v>2855.0025159998331</v>
      </c>
      <c r="CW22" s="55"/>
      <c r="CX22" s="118"/>
    </row>
    <row r="23" spans="1:102">
      <c r="A23" s="18" t="s">
        <v>182</v>
      </c>
      <c r="B23" s="94" t="s">
        <v>183</v>
      </c>
      <c r="C23" s="92" t="s">
        <v>184</v>
      </c>
      <c r="D23" s="102">
        <v>0</v>
      </c>
      <c r="E23" s="102">
        <v>0</v>
      </c>
      <c r="F23" s="98">
        <f t="shared" ref="F23" si="36">SUM((D23*2)*0.3)</f>
        <v>0</v>
      </c>
      <c r="G23" s="98">
        <f t="shared" ref="G23" si="37">SUM((E23*2)*0.3)</f>
        <v>0</v>
      </c>
      <c r="H23" s="110"/>
      <c r="I23" s="110"/>
      <c r="J23" s="98">
        <f t="shared" si="3"/>
        <v>0</v>
      </c>
      <c r="K23" s="98">
        <f t="shared" si="4"/>
        <v>0</v>
      </c>
      <c r="L23" s="103"/>
      <c r="M23" s="98">
        <f t="shared" si="5"/>
        <v>0</v>
      </c>
      <c r="N23" s="98"/>
      <c r="O23" s="98"/>
      <c r="P23" s="98">
        <f t="shared" si="6"/>
        <v>0</v>
      </c>
      <c r="Q23" s="98">
        <f t="shared" si="7"/>
        <v>0</v>
      </c>
      <c r="R23" s="103">
        <v>0</v>
      </c>
      <c r="S23" s="98">
        <f t="shared" si="8"/>
        <v>0</v>
      </c>
      <c r="T23" s="108">
        <v>0</v>
      </c>
      <c r="U23" s="99">
        <v>9.9600000000000009</v>
      </c>
      <c r="V23" s="98">
        <f t="shared" si="9"/>
        <v>0</v>
      </c>
      <c r="W23" s="98">
        <f t="shared" si="10"/>
        <v>10.52772</v>
      </c>
      <c r="X23" s="120">
        <v>0</v>
      </c>
      <c r="Y23" s="120">
        <v>0</v>
      </c>
      <c r="Z23" s="110"/>
      <c r="AA23" s="121">
        <f t="shared" si="11"/>
        <v>0</v>
      </c>
      <c r="AB23" s="121">
        <f t="shared" si="12"/>
        <v>0</v>
      </c>
      <c r="AC23" s="110"/>
      <c r="AD23" s="110"/>
      <c r="AE23" s="121">
        <f t="shared" si="13"/>
        <v>0</v>
      </c>
      <c r="AF23" s="121">
        <f t="shared" si="13"/>
        <v>0</v>
      </c>
      <c r="AG23" s="98">
        <v>0</v>
      </c>
      <c r="AH23" s="98">
        <v>0</v>
      </c>
      <c r="AI23" s="98">
        <f t="shared" si="14"/>
        <v>0</v>
      </c>
      <c r="AJ23" s="98">
        <f t="shared" si="14"/>
        <v>0</v>
      </c>
      <c r="AK23" s="103"/>
      <c r="AL23" s="98"/>
      <c r="AM23" s="98">
        <f t="shared" si="15"/>
        <v>0</v>
      </c>
      <c r="AN23" s="98">
        <f t="shared" si="16"/>
        <v>0</v>
      </c>
      <c r="AO23" s="98"/>
      <c r="AP23" s="98"/>
      <c r="AQ23" s="131" t="s">
        <v>185</v>
      </c>
      <c r="AR23" s="131">
        <v>37.74</v>
      </c>
      <c r="AS23" s="99"/>
      <c r="AT23" s="98">
        <f t="shared" si="17"/>
        <v>0</v>
      </c>
      <c r="AU23" s="99"/>
      <c r="AV23" s="149">
        <f t="shared" si="18"/>
        <v>0</v>
      </c>
      <c r="AW23" s="99">
        <v>0</v>
      </c>
      <c r="AX23" s="99">
        <v>24.59</v>
      </c>
      <c r="AY23" s="101"/>
      <c r="AZ23" s="98">
        <f t="shared" si="19"/>
        <v>0</v>
      </c>
      <c r="BA23" s="98"/>
      <c r="BB23" s="98"/>
      <c r="BC23" s="99"/>
      <c r="BD23" s="99"/>
      <c r="BE23" s="98">
        <f t="shared" si="20"/>
        <v>0</v>
      </c>
      <c r="BF23" s="98">
        <f t="shared" si="21"/>
        <v>0</v>
      </c>
      <c r="BG23" s="99"/>
      <c r="BH23" s="99"/>
      <c r="BI23" s="98">
        <f t="shared" si="22"/>
        <v>0</v>
      </c>
      <c r="BJ23" s="98">
        <f t="shared" si="23"/>
        <v>0</v>
      </c>
      <c r="BK23" s="100"/>
      <c r="BL23" s="100"/>
      <c r="BM23" s="98"/>
      <c r="BN23" s="98">
        <f t="shared" si="24"/>
        <v>0</v>
      </c>
      <c r="BO23" s="105">
        <v>101.07</v>
      </c>
      <c r="BP23" s="149">
        <f t="shared" si="25"/>
        <v>106.83098999999999</v>
      </c>
      <c r="BQ23" s="112"/>
      <c r="BR23" s="112"/>
      <c r="BS23" s="104">
        <f t="shared" si="26"/>
        <v>0</v>
      </c>
      <c r="BT23" s="104">
        <f t="shared" si="27"/>
        <v>0</v>
      </c>
      <c r="BU23" s="105">
        <v>0</v>
      </c>
      <c r="BV23" s="105">
        <v>0</v>
      </c>
      <c r="BW23" s="142">
        <f t="shared" si="28"/>
        <v>0</v>
      </c>
      <c r="BX23" s="142">
        <f t="shared" si="29"/>
        <v>0</v>
      </c>
      <c r="BY23" s="110"/>
      <c r="BZ23" s="110"/>
      <c r="CA23" s="142">
        <f t="shared" si="30"/>
        <v>0</v>
      </c>
      <c r="CB23" s="142">
        <f t="shared" si="30"/>
        <v>0</v>
      </c>
      <c r="CC23" s="106"/>
      <c r="CD23" s="106"/>
      <c r="CE23" s="98">
        <f t="shared" si="31"/>
        <v>0</v>
      </c>
      <c r="CF23" s="107">
        <f t="shared" si="31"/>
        <v>0</v>
      </c>
      <c r="CG23" s="81"/>
      <c r="CH23" s="65">
        <f t="shared" si="32"/>
        <v>430000</v>
      </c>
      <c r="CI23" s="74"/>
      <c r="CJ23" s="74"/>
      <c r="CK23" s="54">
        <v>140000</v>
      </c>
      <c r="CL23" s="74"/>
      <c r="CM23" s="54">
        <v>290000</v>
      </c>
      <c r="CN23" s="74"/>
      <c r="CO23" s="74"/>
      <c r="CP23" s="90"/>
      <c r="CQ23" s="68">
        <v>0</v>
      </c>
      <c r="CR23" s="69">
        <f t="shared" si="33"/>
        <v>0</v>
      </c>
      <c r="CS23" s="69">
        <f t="shared" si="34"/>
        <v>179.68870999999999</v>
      </c>
      <c r="CT23" s="70">
        <f t="shared" si="0"/>
        <v>430282.58496599994</v>
      </c>
      <c r="CU23" s="70">
        <f t="shared" si="1"/>
        <v>286855.056644</v>
      </c>
      <c r="CV23" s="70">
        <f t="shared" si="35"/>
        <v>282.58496599993668</v>
      </c>
      <c r="CW23" s="55"/>
      <c r="CX23" s="118"/>
    </row>
    <row r="24" spans="1:102">
      <c r="A24" s="18" t="s">
        <v>182</v>
      </c>
      <c r="B24" s="94" t="s">
        <v>186</v>
      </c>
      <c r="C24" s="92" t="s">
        <v>187</v>
      </c>
      <c r="D24" s="102">
        <v>0</v>
      </c>
      <c r="E24" s="102">
        <v>0</v>
      </c>
      <c r="F24" s="98">
        <f t="shared" ref="F24:F27" si="38">SUM((D24*2)*0.3)</f>
        <v>0</v>
      </c>
      <c r="G24" s="98">
        <f t="shared" ref="G24:G27" si="39">SUM((E24*2)*0.3)</f>
        <v>0</v>
      </c>
      <c r="H24" s="110"/>
      <c r="I24" s="110"/>
      <c r="J24" s="98">
        <f t="shared" ref="J24:J27" si="40">SUM(H24*0.78)*$C$2</f>
        <v>0</v>
      </c>
      <c r="K24" s="98">
        <f t="shared" ref="K24:K27" si="41">SUM(I24*0.78)*$C$3</f>
        <v>0</v>
      </c>
      <c r="L24" s="103"/>
      <c r="M24" s="98">
        <f t="shared" ref="M24:M27" si="42">L24</f>
        <v>0</v>
      </c>
      <c r="N24" s="98"/>
      <c r="O24" s="98"/>
      <c r="P24" s="98">
        <f t="shared" ref="P24:P27" si="43">N24*$C$2</f>
        <v>0</v>
      </c>
      <c r="Q24" s="98">
        <f t="shared" ref="Q24:Q27" si="44">O24*$C$3</f>
        <v>0</v>
      </c>
      <c r="R24" s="103">
        <v>0</v>
      </c>
      <c r="S24" s="98">
        <f t="shared" ref="S24:S27" si="45">R24*$C$3</f>
        <v>0</v>
      </c>
      <c r="T24" s="108">
        <v>0</v>
      </c>
      <c r="U24" s="99">
        <v>0</v>
      </c>
      <c r="V24" s="98">
        <f t="shared" ref="V24:V27" si="46">SUM(T24*($C$2))</f>
        <v>0</v>
      </c>
      <c r="W24" s="98">
        <f t="shared" ref="W24:W27" si="47">SUM(U24*($C$3))</f>
        <v>0</v>
      </c>
      <c r="X24" s="120">
        <v>0</v>
      </c>
      <c r="Y24" s="120">
        <v>0</v>
      </c>
      <c r="Z24" s="110"/>
      <c r="AA24" s="121">
        <f t="shared" ref="AA24:AA27" si="48">SUM(X24*0.75)+(Z24*0.75)</f>
        <v>0</v>
      </c>
      <c r="AB24" s="121">
        <f t="shared" ref="AB24:AB27" si="49">(Y24*0.75)+(Z24*0.75)</f>
        <v>0</v>
      </c>
      <c r="AC24" s="110"/>
      <c r="AD24" s="110"/>
      <c r="AE24" s="121">
        <f t="shared" ref="AE24:AE27" si="50">AC24*0.75</f>
        <v>0</v>
      </c>
      <c r="AF24" s="121">
        <f t="shared" ref="AF24:AF27" si="51">AD24*0.75</f>
        <v>0</v>
      </c>
      <c r="AG24" s="98">
        <v>0</v>
      </c>
      <c r="AH24" s="98">
        <v>0</v>
      </c>
      <c r="AI24" s="98">
        <f t="shared" ref="AI24:AI27" si="52">AG24*0.75</f>
        <v>0</v>
      </c>
      <c r="AJ24" s="98">
        <f t="shared" ref="AJ24:AJ27" si="53">AH24*0.75</f>
        <v>0</v>
      </c>
      <c r="AK24" s="103">
        <v>37.11</v>
      </c>
      <c r="AL24" s="98">
        <v>77.13</v>
      </c>
      <c r="AM24" s="98">
        <f t="shared" ref="AM24:AM27" si="54">AK24*$C$2</f>
        <v>39.522149999999996</v>
      </c>
      <c r="AN24" s="98">
        <f t="shared" ref="AN24:AN27" si="55">AL24*$C$3</f>
        <v>81.526409999999984</v>
      </c>
      <c r="AO24" s="98"/>
      <c r="AP24" s="98"/>
      <c r="AQ24" s="131">
        <v>0</v>
      </c>
      <c r="AR24" s="131">
        <v>16.440000000000001</v>
      </c>
      <c r="AS24" s="99"/>
      <c r="AT24" s="98">
        <f t="shared" ref="AT24:AT27" si="56">AS24*$C$3</f>
        <v>0</v>
      </c>
      <c r="AU24" s="99"/>
      <c r="AV24" s="149">
        <f t="shared" ref="AV24:AV27" si="57">AU24*$C$3</f>
        <v>0</v>
      </c>
      <c r="AW24" s="99">
        <v>27.12</v>
      </c>
      <c r="AX24" s="99">
        <v>19.47</v>
      </c>
      <c r="AY24" s="101"/>
      <c r="AZ24" s="98">
        <f t="shared" ref="AZ24:AZ27" si="58">AY24*$D$2</f>
        <v>0</v>
      </c>
      <c r="BA24" s="98"/>
      <c r="BB24" s="98"/>
      <c r="BC24" s="99"/>
      <c r="BD24" s="99"/>
      <c r="BE24" s="98">
        <f t="shared" ref="BE24:BE27" si="59">SUM(BC24*0.62)*$B$2</f>
        <v>0</v>
      </c>
      <c r="BF24" s="98">
        <f t="shared" ref="BF24:BF27" si="60">SUM(BD24*0.62)*$B$3</f>
        <v>0</v>
      </c>
      <c r="BG24" s="99"/>
      <c r="BH24" s="99"/>
      <c r="BI24" s="98">
        <f t="shared" ref="BI24:BI27" si="61">(BG24*$C$3)</f>
        <v>0</v>
      </c>
      <c r="BJ24" s="98">
        <f t="shared" ref="BJ24:BJ27" si="62">BH24*$C$3</f>
        <v>0</v>
      </c>
      <c r="BK24" s="100"/>
      <c r="BL24" s="100"/>
      <c r="BM24" s="98"/>
      <c r="BN24" s="98">
        <f t="shared" ref="BN24:BN27" si="63">BM24*$C$3</f>
        <v>0</v>
      </c>
      <c r="BO24" s="105">
        <v>35.81</v>
      </c>
      <c r="BP24" s="149">
        <f t="shared" ref="BP24:BP27" si="64">BO24*$C$3</f>
        <v>37.851170000000003</v>
      </c>
      <c r="BQ24" s="112"/>
      <c r="BR24" s="112"/>
      <c r="BS24" s="104">
        <f t="shared" ref="BS24:BS27" si="65">(BQ24/$D$2)*$C$2</f>
        <v>0</v>
      </c>
      <c r="BT24" s="104">
        <f t="shared" ref="BT24:BT27" si="66">(BR24/$D$3)*$C$3</f>
        <v>0</v>
      </c>
      <c r="BU24" s="105">
        <v>0</v>
      </c>
      <c r="BV24" s="105">
        <v>0</v>
      </c>
      <c r="BW24" s="142">
        <f t="shared" ref="BW24:BW27" si="67">BU24*$E$2</f>
        <v>0</v>
      </c>
      <c r="BX24" s="142">
        <f t="shared" ref="BX24:BX27" si="68">BV24*$E$3</f>
        <v>0</v>
      </c>
      <c r="BY24" s="110"/>
      <c r="BZ24" s="110"/>
      <c r="CA24" s="142">
        <f t="shared" ref="CA24:CA27" si="69">BY24/2</f>
        <v>0</v>
      </c>
      <c r="CB24" s="142">
        <f t="shared" ref="CB24:CB27" si="70">BZ24/2</f>
        <v>0</v>
      </c>
      <c r="CC24" s="106"/>
      <c r="CD24" s="106"/>
      <c r="CE24" s="98">
        <f t="shared" ref="CE24:CE27" si="71">CC24*0.05</f>
        <v>0</v>
      </c>
      <c r="CF24" s="107">
        <f t="shared" ref="CF24:CF27" si="72">CD24*0.05</f>
        <v>0</v>
      </c>
      <c r="CG24" s="81"/>
      <c r="CH24" s="65">
        <f t="shared" ref="CH24:CH27" si="73">SUM(CI24:CO24)</f>
        <v>527000</v>
      </c>
      <c r="CI24" s="74"/>
      <c r="CJ24" s="74"/>
      <c r="CK24" s="54">
        <v>174000</v>
      </c>
      <c r="CL24" s="74">
        <v>270000</v>
      </c>
      <c r="CM24" s="54">
        <v>83000</v>
      </c>
      <c r="CN24" s="74"/>
      <c r="CO24" s="74"/>
      <c r="CP24" s="90"/>
      <c r="CQ24" s="68">
        <v>0</v>
      </c>
      <c r="CR24" s="69">
        <f t="shared" ref="CR24:CR27" si="74">SUM(AO24,AQ24,F24,P24,BS24,AM24,AA24,AE24,J24,AI24,V24,BA24,BE24,CE24,AW24,CA24,BW24)</f>
        <v>66.642150000000001</v>
      </c>
      <c r="CS24" s="69">
        <f t="shared" ref="CS24:CS27" si="75">SUM(AP24,AR24,G24,Q24,BN24,AZ24,M24,BT24,AN24,S24,AB24,AF24,K24,AJ24,BI24,W24,BB24,BF24,CF24,BP24,BL24,CG24,AT24,AV24,AX24,CB24,BX24)</f>
        <v>155.28757999999999</v>
      </c>
      <c r="CT24" s="70">
        <f t="shared" ref="CT24:CT27" si="76">(((CR24*$A$2)+(CS24*$A$3))*0.6)+((BJ24*$A$3)*0.75)</f>
        <v>527874.24064799992</v>
      </c>
      <c r="CU24" s="70">
        <f t="shared" ref="CU24:CU27" si="77">((CR24*$A$2)+(CS24*$A$3))*0.4+((BJ24*$A$3)*0.25)</f>
        <v>351916.160432</v>
      </c>
      <c r="CV24" s="70">
        <f t="shared" ref="CV24:CV27" si="78">CT24-CH24</f>
        <v>874.24064799991902</v>
      </c>
      <c r="CW24" s="55"/>
      <c r="CX24" s="118"/>
    </row>
    <row r="25" spans="1:102">
      <c r="A25" s="18" t="s">
        <v>182</v>
      </c>
      <c r="B25" s="94" t="s">
        <v>188</v>
      </c>
      <c r="C25" s="92" t="s">
        <v>189</v>
      </c>
      <c r="D25" s="102">
        <v>0</v>
      </c>
      <c r="E25" s="102">
        <v>0</v>
      </c>
      <c r="F25" s="98">
        <f t="shared" ref="F25" si="79">SUM((D25*2)*0.3)</f>
        <v>0</v>
      </c>
      <c r="G25" s="98">
        <f t="shared" ref="G25" si="80">SUM((E25*2)*0.3)</f>
        <v>0</v>
      </c>
      <c r="H25" s="110"/>
      <c r="I25" s="110"/>
      <c r="J25" s="98">
        <f t="shared" ref="J25" si="81">SUM(H25*0.78)*$C$2</f>
        <v>0</v>
      </c>
      <c r="K25" s="98">
        <f t="shared" ref="K25" si="82">SUM(I25*0.78)*$C$3</f>
        <v>0</v>
      </c>
      <c r="L25" s="103"/>
      <c r="M25" s="98">
        <f t="shared" ref="M25" si="83">L25</f>
        <v>0</v>
      </c>
      <c r="N25" s="98"/>
      <c r="O25" s="98"/>
      <c r="P25" s="98">
        <f t="shared" ref="P25" si="84">N25*$C$2</f>
        <v>0</v>
      </c>
      <c r="Q25" s="98">
        <f t="shared" ref="Q25" si="85">O25*$C$3</f>
        <v>0</v>
      </c>
      <c r="R25" s="103"/>
      <c r="S25" s="98">
        <f t="shared" ref="S25" si="86">R25*$C$3</f>
        <v>0</v>
      </c>
      <c r="T25" s="108">
        <v>0</v>
      </c>
      <c r="U25" s="99">
        <v>0</v>
      </c>
      <c r="V25" s="98">
        <f t="shared" ref="V25" si="87">SUM(T25*($C$2))</f>
        <v>0</v>
      </c>
      <c r="W25" s="98">
        <f t="shared" ref="W25" si="88">SUM(U25*($C$3))</f>
        <v>0</v>
      </c>
      <c r="X25" s="120">
        <v>0</v>
      </c>
      <c r="Y25" s="120">
        <v>0</v>
      </c>
      <c r="Z25" s="110"/>
      <c r="AA25" s="121">
        <f t="shared" ref="AA25" si="89">SUM(X25*0.75)+(Z25*0.75)</f>
        <v>0</v>
      </c>
      <c r="AB25" s="121">
        <f t="shared" ref="AB25" si="90">(Y25*0.75)+(Z25*0.75)</f>
        <v>0</v>
      </c>
      <c r="AC25" s="110"/>
      <c r="AD25" s="110"/>
      <c r="AE25" s="121">
        <f t="shared" ref="AE25" si="91">AC25*0.75</f>
        <v>0</v>
      </c>
      <c r="AF25" s="121">
        <f t="shared" ref="AF25" si="92">AD25*0.75</f>
        <v>0</v>
      </c>
      <c r="AG25" s="98">
        <v>0</v>
      </c>
      <c r="AH25" s="98">
        <v>0</v>
      </c>
      <c r="AI25" s="98">
        <f t="shared" ref="AI25" si="93">AG25*0.75</f>
        <v>0</v>
      </c>
      <c r="AJ25" s="98">
        <f t="shared" ref="AJ25" si="94">AH25*0.75</f>
        <v>0</v>
      </c>
      <c r="AK25" s="103">
        <v>0</v>
      </c>
      <c r="AL25" s="98">
        <v>20.079999999999998</v>
      </c>
      <c r="AM25" s="98">
        <f t="shared" ref="AM25" si="95">AK25*$C$2</f>
        <v>0</v>
      </c>
      <c r="AN25" s="98">
        <f t="shared" ref="AN25" si="96">AL25*$C$3</f>
        <v>21.224559999999997</v>
      </c>
      <c r="AO25" s="98"/>
      <c r="AP25" s="98"/>
      <c r="AQ25" s="131"/>
      <c r="AR25" s="131"/>
      <c r="AS25" s="99"/>
      <c r="AT25" s="98">
        <f t="shared" ref="AT25" si="97">AS25*$C$3</f>
        <v>0</v>
      </c>
      <c r="AU25" s="99"/>
      <c r="AV25" s="149">
        <f t="shared" ref="AV25" si="98">AU25*$C$3</f>
        <v>0</v>
      </c>
      <c r="AW25" s="99">
        <v>0</v>
      </c>
      <c r="AX25" s="99">
        <v>12.89</v>
      </c>
      <c r="AY25" s="101"/>
      <c r="AZ25" s="98">
        <f t="shared" ref="AZ25" si="99">AY25*$D$2</f>
        <v>0</v>
      </c>
      <c r="BA25" s="98"/>
      <c r="BB25" s="98"/>
      <c r="BC25" s="99"/>
      <c r="BD25" s="99"/>
      <c r="BE25" s="98">
        <f t="shared" ref="BE25" si="100">SUM(BC25*0.62)*$B$2</f>
        <v>0</v>
      </c>
      <c r="BF25" s="98">
        <f t="shared" ref="BF25" si="101">SUM(BD25*0.62)*$B$3</f>
        <v>0</v>
      </c>
      <c r="BG25" s="99"/>
      <c r="BH25" s="99"/>
      <c r="BI25" s="98">
        <f t="shared" ref="BI25" si="102">(BG25*$C$3)</f>
        <v>0</v>
      </c>
      <c r="BJ25" s="98">
        <f t="shared" ref="BJ25" si="103">BH25*$C$3</f>
        <v>0</v>
      </c>
      <c r="BK25" s="100"/>
      <c r="BL25" s="100"/>
      <c r="BM25" s="98"/>
      <c r="BN25" s="98">
        <f t="shared" ref="BN25" si="104">BM25*$C$3</f>
        <v>0</v>
      </c>
      <c r="BO25" s="105"/>
      <c r="BP25" s="149">
        <f t="shared" ref="BP25" si="105">BO25*$C$3</f>
        <v>0</v>
      </c>
      <c r="BQ25" s="112"/>
      <c r="BR25" s="112"/>
      <c r="BS25" s="104">
        <f t="shared" ref="BS25" si="106">(BQ25/$D$2)*$C$2</f>
        <v>0</v>
      </c>
      <c r="BT25" s="104">
        <f t="shared" ref="BT25" si="107">(BR25/$D$3)*$C$3</f>
        <v>0</v>
      </c>
      <c r="BU25" s="105">
        <v>0</v>
      </c>
      <c r="BV25" s="105">
        <v>0</v>
      </c>
      <c r="BW25" s="142">
        <f t="shared" ref="BW25" si="108">BU25*$E$2</f>
        <v>0</v>
      </c>
      <c r="BX25" s="142">
        <f t="shared" ref="BX25" si="109">BV25*$E$3</f>
        <v>0</v>
      </c>
      <c r="BY25" s="110"/>
      <c r="BZ25" s="110"/>
      <c r="CA25" s="142">
        <f t="shared" ref="CA25" si="110">BY25/2</f>
        <v>0</v>
      </c>
      <c r="CB25" s="142">
        <f t="shared" ref="CB25" si="111">BZ25/2</f>
        <v>0</v>
      </c>
      <c r="CC25" s="106"/>
      <c r="CD25" s="106"/>
      <c r="CE25" s="98">
        <f t="shared" ref="CE25" si="112">CC25*0.05</f>
        <v>0</v>
      </c>
      <c r="CF25" s="107">
        <f t="shared" ref="CF25" si="113">CD25*0.05</f>
        <v>0</v>
      </c>
      <c r="CG25" s="81"/>
      <c r="CH25" s="65">
        <f t="shared" ref="CH25" si="114">SUM(CI25:CO25)</f>
        <v>80000</v>
      </c>
      <c r="CI25" s="74"/>
      <c r="CJ25" s="74"/>
      <c r="CK25" s="54"/>
      <c r="CL25" s="74"/>
      <c r="CM25" s="54">
        <v>80000</v>
      </c>
      <c r="CN25" s="74"/>
      <c r="CO25" s="74"/>
      <c r="CP25" s="90"/>
      <c r="CQ25" s="68">
        <v>0</v>
      </c>
      <c r="CR25" s="69">
        <f t="shared" ref="CR25" si="115">SUM(AO25,AQ25,F25,P25,BS25,AM25,AA25,AE25,J25,AI25,V25,BA25,BE25,CE25,AW25,CA25,BW25)</f>
        <v>0</v>
      </c>
      <c r="CS25" s="69">
        <f t="shared" ref="CS25" si="116">SUM(AP25,AR25,G25,Q25,BN25,AZ25,M25,BT25,AN25,S25,AB25,AF25,K25,AJ25,BI25,W25,BB25,BF25,CF25,BP25,BL25,CG25,AT25,AV25,AX25,CB25,BX25)</f>
        <v>34.114559999999997</v>
      </c>
      <c r="CT25" s="70">
        <f t="shared" ref="CT25" si="117">(((CR25*$A$2)+(CS25*$A$3))*0.6)+((BJ25*$A$3)*0.75)</f>
        <v>81690.725375999988</v>
      </c>
      <c r="CU25" s="70">
        <f t="shared" ref="CU25" si="118">((CR25*$A$2)+(CS25*$A$3))*0.4+((BJ25*$A$3)*0.25)</f>
        <v>54460.483584000001</v>
      </c>
      <c r="CV25" s="70">
        <f t="shared" ref="CV25" si="119">CT25-CH25</f>
        <v>1690.7253759999876</v>
      </c>
      <c r="CW25" s="55"/>
      <c r="CX25" s="118"/>
    </row>
    <row r="26" spans="1:102">
      <c r="A26" s="18"/>
      <c r="B26" s="94" t="s">
        <v>190</v>
      </c>
      <c r="C26" s="92" t="s">
        <v>191</v>
      </c>
      <c r="D26" s="102">
        <v>0</v>
      </c>
      <c r="E26" s="102">
        <v>0</v>
      </c>
      <c r="F26" s="98">
        <f>SUM((D26*2)*0.3)</f>
        <v>0</v>
      </c>
      <c r="G26" s="98">
        <f>SUM((E26*2)*0.3)</f>
        <v>0</v>
      </c>
      <c r="H26" s="110"/>
      <c r="I26" s="110"/>
      <c r="J26" s="98">
        <f>SUM(H26*0.78)*$C$2</f>
        <v>0</v>
      </c>
      <c r="K26" s="98">
        <f>SUM(I26*0.78)*$C$3</f>
        <v>0</v>
      </c>
      <c r="L26" s="103">
        <v>0</v>
      </c>
      <c r="M26" s="98">
        <f>L26</f>
        <v>0</v>
      </c>
      <c r="N26" s="98"/>
      <c r="O26" s="98"/>
      <c r="P26" s="98">
        <f>N26*$C$2</f>
        <v>0</v>
      </c>
      <c r="Q26" s="98">
        <f>O26*$C$3</f>
        <v>0</v>
      </c>
      <c r="R26" s="103">
        <v>7.28</v>
      </c>
      <c r="S26" s="98">
        <f>R26*$C$3</f>
        <v>7.69496</v>
      </c>
      <c r="T26" s="108">
        <v>0</v>
      </c>
      <c r="U26" s="99">
        <v>12.31</v>
      </c>
      <c r="V26" s="98">
        <f>SUM(T26*($C$2))</f>
        <v>0</v>
      </c>
      <c r="W26" s="98">
        <f>SUM(U26*($C$3))</f>
        <v>13.011670000000001</v>
      </c>
      <c r="X26" s="120">
        <v>0</v>
      </c>
      <c r="Y26" s="120">
        <v>0</v>
      </c>
      <c r="Z26" s="110"/>
      <c r="AA26" s="121">
        <f>SUM(X26*0.75)+(Z26*0.75)</f>
        <v>0</v>
      </c>
      <c r="AB26" s="121">
        <f>(Y26*0.75)+(Z26*0.75)</f>
        <v>0</v>
      </c>
      <c r="AC26" s="110"/>
      <c r="AD26" s="110"/>
      <c r="AE26" s="121">
        <f>AC26*0.75</f>
        <v>0</v>
      </c>
      <c r="AF26" s="121">
        <f>AD26*0.75</f>
        <v>0</v>
      </c>
      <c r="AG26" s="98">
        <v>0</v>
      </c>
      <c r="AH26" s="98">
        <v>0</v>
      </c>
      <c r="AI26" s="98">
        <f>AG26*0.75</f>
        <v>0</v>
      </c>
      <c r="AJ26" s="98">
        <f>AH26*0.75</f>
        <v>0</v>
      </c>
      <c r="AK26" s="103"/>
      <c r="AL26" s="98"/>
      <c r="AM26" s="98">
        <f>AK26*$C$2</f>
        <v>0</v>
      </c>
      <c r="AN26" s="98">
        <f>AL26*$C$3</f>
        <v>0</v>
      </c>
      <c r="AO26" s="98"/>
      <c r="AP26" s="98"/>
      <c r="AQ26" s="131">
        <v>0</v>
      </c>
      <c r="AR26" s="131">
        <v>11.47</v>
      </c>
      <c r="AS26" s="99"/>
      <c r="AT26" s="98">
        <f>AS26*$C$3</f>
        <v>0</v>
      </c>
      <c r="AU26" s="99"/>
      <c r="AV26" s="149">
        <f>AU26*$C$3</f>
        <v>0</v>
      </c>
      <c r="AW26" s="99">
        <v>0</v>
      </c>
      <c r="AX26" s="99">
        <v>0</v>
      </c>
      <c r="AY26" s="101"/>
      <c r="AZ26" s="98">
        <f>AY26*$D$2</f>
        <v>0</v>
      </c>
      <c r="BA26" s="98"/>
      <c r="BB26" s="98"/>
      <c r="BC26" s="99"/>
      <c r="BD26" s="99"/>
      <c r="BE26" s="98">
        <f>SUM(BC26*0.62)*$B$2</f>
        <v>0</v>
      </c>
      <c r="BF26" s="98">
        <f>SUM(BD26*0.62)*$B$3</f>
        <v>0</v>
      </c>
      <c r="BG26" s="99"/>
      <c r="BH26" s="99"/>
      <c r="BI26" s="98">
        <f>(BG26*$C$3)</f>
        <v>0</v>
      </c>
      <c r="BJ26" s="98">
        <f>BH26*$C$3</f>
        <v>0</v>
      </c>
      <c r="BK26" s="100"/>
      <c r="BL26" s="100"/>
      <c r="BM26" s="98"/>
      <c r="BN26" s="98">
        <f>BM26*$C$3</f>
        <v>0</v>
      </c>
      <c r="BO26" s="105">
        <v>0.6</v>
      </c>
      <c r="BP26" s="149">
        <f>BO26*$C$3</f>
        <v>0.63419999999999999</v>
      </c>
      <c r="BQ26" s="112"/>
      <c r="BR26" s="112"/>
      <c r="BS26" s="104">
        <f>(BQ26/$D$2)*$C$2</f>
        <v>0</v>
      </c>
      <c r="BT26" s="104">
        <f>(BR26/$D$3)*$C$3</f>
        <v>0</v>
      </c>
      <c r="BU26" s="105">
        <v>0</v>
      </c>
      <c r="BV26" s="105">
        <v>0</v>
      </c>
      <c r="BW26" s="142">
        <f>BU26*$E$2</f>
        <v>0</v>
      </c>
      <c r="BX26" s="142">
        <f>BV26*$E$3</f>
        <v>0</v>
      </c>
      <c r="BY26" s="110"/>
      <c r="BZ26" s="110"/>
      <c r="CA26" s="142">
        <f>BY26/2</f>
        <v>0</v>
      </c>
      <c r="CB26" s="142">
        <f>BZ26/2</f>
        <v>0</v>
      </c>
      <c r="CC26" s="106"/>
      <c r="CD26" s="106"/>
      <c r="CE26" s="98">
        <f>CC26*0.05</f>
        <v>0</v>
      </c>
      <c r="CF26" s="107">
        <f>CD26*0.05</f>
        <v>0</v>
      </c>
      <c r="CG26" s="81"/>
      <c r="CH26" s="65">
        <f>SUM(CI26:CO26)</f>
        <v>80000</v>
      </c>
      <c r="CI26" s="133"/>
      <c r="CJ26" s="133"/>
      <c r="CK26" s="54"/>
      <c r="CL26" s="133"/>
      <c r="CM26" s="54">
        <v>80000</v>
      </c>
      <c r="CN26" s="133"/>
      <c r="CO26" s="133"/>
      <c r="CP26" s="69"/>
      <c r="CQ26" s="68">
        <v>0</v>
      </c>
      <c r="CR26" s="69">
        <f>SUM(AO26,AQ26,F26,P26,BS26,AM26,AA26,AE26,J26,AI26,V26,BA26,BE26,CE26,AW26,CA26,BW26)</f>
        <v>0</v>
      </c>
      <c r="CS26" s="69">
        <f>SUM(AP26,AR26,G26,Q26,BN26,AZ26,M26,BT26,AN26,S26,AB26,AF26,K26,AJ26,BI26,W26,BB26,BF26,CF26,BP26,BL26,CG26,AT26,AV26,AX26,CB26,BX26)</f>
        <v>32.810830000000003</v>
      </c>
      <c r="CT26" s="70">
        <f>(((CR26*$A$2)+(CS26*$A$3))*0.6)+((BJ26*$A$3)*0.75)</f>
        <v>78568.81351800001</v>
      </c>
      <c r="CU26" s="70">
        <f>((CR26*$A$2)+(CS26*$A$3))*0.4+((BJ26*$A$3)*0.25)</f>
        <v>52379.209012000007</v>
      </c>
      <c r="CV26" s="70">
        <f>CT26-CH26</f>
        <v>-1431.1864819999901</v>
      </c>
      <c r="CW26" s="55"/>
      <c r="CX26" s="118"/>
    </row>
    <row r="27" spans="1:102">
      <c r="A27" s="18"/>
      <c r="B27" s="94"/>
      <c r="C27" s="92"/>
      <c r="D27" s="102">
        <v>0</v>
      </c>
      <c r="E27" s="102">
        <v>0</v>
      </c>
      <c r="F27" s="98">
        <f t="shared" si="38"/>
        <v>0</v>
      </c>
      <c r="G27" s="98">
        <f t="shared" si="39"/>
        <v>0</v>
      </c>
      <c r="H27" s="110"/>
      <c r="I27" s="110"/>
      <c r="J27" s="98">
        <f t="shared" si="40"/>
        <v>0</v>
      </c>
      <c r="K27" s="98">
        <f t="shared" si="41"/>
        <v>0</v>
      </c>
      <c r="L27" s="103">
        <v>0</v>
      </c>
      <c r="M27" s="98">
        <f t="shared" si="42"/>
        <v>0</v>
      </c>
      <c r="N27" s="98"/>
      <c r="O27" s="98"/>
      <c r="P27" s="98">
        <f t="shared" si="43"/>
        <v>0</v>
      </c>
      <c r="Q27" s="98">
        <f t="shared" si="44"/>
        <v>0</v>
      </c>
      <c r="R27" s="103">
        <v>0</v>
      </c>
      <c r="S27" s="98">
        <f t="shared" si="45"/>
        <v>0</v>
      </c>
      <c r="T27" s="108">
        <v>0</v>
      </c>
      <c r="U27" s="99">
        <v>0</v>
      </c>
      <c r="V27" s="98">
        <f t="shared" si="46"/>
        <v>0</v>
      </c>
      <c r="W27" s="98">
        <f t="shared" si="47"/>
        <v>0</v>
      </c>
      <c r="X27" s="120">
        <v>0</v>
      </c>
      <c r="Y27" s="120">
        <v>0</v>
      </c>
      <c r="Z27" s="110"/>
      <c r="AA27" s="121">
        <f t="shared" si="48"/>
        <v>0</v>
      </c>
      <c r="AB27" s="121">
        <f t="shared" si="49"/>
        <v>0</v>
      </c>
      <c r="AC27" s="110"/>
      <c r="AD27" s="110"/>
      <c r="AE27" s="121">
        <f t="shared" si="50"/>
        <v>0</v>
      </c>
      <c r="AF27" s="121">
        <f t="shared" si="51"/>
        <v>0</v>
      </c>
      <c r="AG27" s="98">
        <v>0</v>
      </c>
      <c r="AH27" s="98">
        <v>0</v>
      </c>
      <c r="AI27" s="98">
        <f t="shared" si="52"/>
        <v>0</v>
      </c>
      <c r="AJ27" s="98">
        <f t="shared" si="53"/>
        <v>0</v>
      </c>
      <c r="AK27" s="103"/>
      <c r="AL27" s="98"/>
      <c r="AM27" s="98">
        <f t="shared" si="54"/>
        <v>0</v>
      </c>
      <c r="AN27" s="98">
        <f t="shared" si="55"/>
        <v>0</v>
      </c>
      <c r="AO27" s="98"/>
      <c r="AP27" s="98"/>
      <c r="AQ27" s="131"/>
      <c r="AR27" s="131"/>
      <c r="AS27" s="99"/>
      <c r="AT27" s="98">
        <f t="shared" si="56"/>
        <v>0</v>
      </c>
      <c r="AU27" s="99"/>
      <c r="AV27" s="149">
        <f t="shared" si="57"/>
        <v>0</v>
      </c>
      <c r="AW27" s="99">
        <v>0</v>
      </c>
      <c r="AX27" s="99">
        <v>0</v>
      </c>
      <c r="AY27" s="101"/>
      <c r="AZ27" s="98">
        <f t="shared" si="58"/>
        <v>0</v>
      </c>
      <c r="BA27" s="98"/>
      <c r="BB27" s="98"/>
      <c r="BC27" s="99"/>
      <c r="BD27" s="99"/>
      <c r="BE27" s="98">
        <f t="shared" si="59"/>
        <v>0</v>
      </c>
      <c r="BF27" s="98">
        <f t="shared" si="60"/>
        <v>0</v>
      </c>
      <c r="BG27" s="99"/>
      <c r="BH27" s="99"/>
      <c r="BI27" s="98">
        <f t="shared" si="61"/>
        <v>0</v>
      </c>
      <c r="BJ27" s="98">
        <f t="shared" si="62"/>
        <v>0</v>
      </c>
      <c r="BK27" s="100"/>
      <c r="BL27" s="100"/>
      <c r="BM27" s="98"/>
      <c r="BN27" s="98">
        <f t="shared" si="63"/>
        <v>0</v>
      </c>
      <c r="BO27" s="105">
        <v>0</v>
      </c>
      <c r="BP27" s="149">
        <f t="shared" si="64"/>
        <v>0</v>
      </c>
      <c r="BQ27" s="112"/>
      <c r="BR27" s="112"/>
      <c r="BS27" s="104">
        <f t="shared" si="65"/>
        <v>0</v>
      </c>
      <c r="BT27" s="104">
        <f t="shared" si="66"/>
        <v>0</v>
      </c>
      <c r="BU27" s="105">
        <v>0</v>
      </c>
      <c r="BV27" s="105">
        <v>0</v>
      </c>
      <c r="BW27" s="142">
        <f t="shared" si="67"/>
        <v>0</v>
      </c>
      <c r="BX27" s="142">
        <f t="shared" si="68"/>
        <v>0</v>
      </c>
      <c r="BY27" s="110"/>
      <c r="BZ27" s="110"/>
      <c r="CA27" s="142">
        <f t="shared" si="69"/>
        <v>0</v>
      </c>
      <c r="CB27" s="142">
        <f t="shared" si="70"/>
        <v>0</v>
      </c>
      <c r="CC27" s="106"/>
      <c r="CD27" s="106"/>
      <c r="CE27" s="98">
        <f t="shared" si="71"/>
        <v>0</v>
      </c>
      <c r="CF27" s="107">
        <f t="shared" si="72"/>
        <v>0</v>
      </c>
      <c r="CG27" s="81"/>
      <c r="CH27" s="65">
        <f t="shared" si="73"/>
        <v>0</v>
      </c>
      <c r="CI27" s="74"/>
      <c r="CJ27" s="74"/>
      <c r="CK27" s="54"/>
      <c r="CL27" s="74"/>
      <c r="CM27" s="54"/>
      <c r="CN27" s="74"/>
      <c r="CO27" s="74"/>
      <c r="CP27" s="90"/>
      <c r="CQ27" s="68">
        <v>0</v>
      </c>
      <c r="CR27" s="69">
        <f t="shared" si="74"/>
        <v>0</v>
      </c>
      <c r="CS27" s="69">
        <f t="shared" si="75"/>
        <v>0</v>
      </c>
      <c r="CT27" s="70">
        <f t="shared" si="76"/>
        <v>0</v>
      </c>
      <c r="CU27" s="70">
        <f t="shared" si="77"/>
        <v>0</v>
      </c>
      <c r="CV27" s="70">
        <f t="shared" si="78"/>
        <v>0</v>
      </c>
      <c r="CW27" s="55"/>
      <c r="CX27" s="118"/>
    </row>
    <row r="28" spans="1:102">
      <c r="A28" s="18"/>
      <c r="B28" s="94"/>
      <c r="C28" s="92"/>
      <c r="D28" s="102">
        <v>0</v>
      </c>
      <c r="E28" s="102">
        <v>0</v>
      </c>
      <c r="F28" s="98">
        <f t="shared" ref="F28:G28" si="120">SUM((D28*2)*0.3)</f>
        <v>0</v>
      </c>
      <c r="G28" s="98">
        <f t="shared" si="120"/>
        <v>0</v>
      </c>
      <c r="H28" s="110"/>
      <c r="I28" s="110"/>
      <c r="J28" s="98">
        <f t="shared" si="3"/>
        <v>0</v>
      </c>
      <c r="K28" s="98">
        <f t="shared" si="4"/>
        <v>0</v>
      </c>
      <c r="L28" s="103">
        <v>0</v>
      </c>
      <c r="M28" s="98">
        <f t="shared" si="5"/>
        <v>0</v>
      </c>
      <c r="N28" s="98"/>
      <c r="O28" s="98"/>
      <c r="P28" s="98">
        <f t="shared" si="6"/>
        <v>0</v>
      </c>
      <c r="Q28" s="98">
        <f t="shared" si="7"/>
        <v>0</v>
      </c>
      <c r="R28" s="103">
        <v>0</v>
      </c>
      <c r="S28" s="98">
        <f t="shared" si="8"/>
        <v>0</v>
      </c>
      <c r="T28" s="108">
        <v>0</v>
      </c>
      <c r="U28" s="99">
        <v>0</v>
      </c>
      <c r="V28" s="98">
        <f t="shared" si="9"/>
        <v>0</v>
      </c>
      <c r="W28" s="98">
        <f t="shared" si="10"/>
        <v>0</v>
      </c>
      <c r="X28" s="120">
        <v>0</v>
      </c>
      <c r="Y28" s="120">
        <v>0</v>
      </c>
      <c r="Z28" s="110"/>
      <c r="AA28" s="121">
        <f t="shared" si="11"/>
        <v>0</v>
      </c>
      <c r="AB28" s="121">
        <f t="shared" si="12"/>
        <v>0</v>
      </c>
      <c r="AC28" s="110"/>
      <c r="AD28" s="110"/>
      <c r="AE28" s="121">
        <f t="shared" si="13"/>
        <v>0</v>
      </c>
      <c r="AF28" s="121">
        <f t="shared" si="13"/>
        <v>0</v>
      </c>
      <c r="AG28" s="98">
        <v>0</v>
      </c>
      <c r="AH28" s="98">
        <v>0</v>
      </c>
      <c r="AI28" s="98">
        <f t="shared" si="14"/>
        <v>0</v>
      </c>
      <c r="AJ28" s="98">
        <f t="shared" si="14"/>
        <v>0</v>
      </c>
      <c r="AK28" s="103"/>
      <c r="AL28" s="98"/>
      <c r="AM28" s="98">
        <f t="shared" si="15"/>
        <v>0</v>
      </c>
      <c r="AN28" s="98">
        <f t="shared" si="16"/>
        <v>0</v>
      </c>
      <c r="AO28" s="98"/>
      <c r="AP28" s="98"/>
      <c r="AQ28" s="131"/>
      <c r="AR28" s="131"/>
      <c r="AS28" s="99"/>
      <c r="AT28" s="98">
        <f t="shared" si="17"/>
        <v>0</v>
      </c>
      <c r="AU28" s="99"/>
      <c r="AV28" s="149">
        <f t="shared" si="18"/>
        <v>0</v>
      </c>
      <c r="AW28" s="99">
        <v>0</v>
      </c>
      <c r="AX28" s="99">
        <v>0</v>
      </c>
      <c r="AY28" s="101"/>
      <c r="AZ28" s="98">
        <f t="shared" si="19"/>
        <v>0</v>
      </c>
      <c r="BA28" s="98"/>
      <c r="BB28" s="98"/>
      <c r="BC28" s="99"/>
      <c r="BD28" s="99"/>
      <c r="BE28" s="98">
        <f t="shared" si="20"/>
        <v>0</v>
      </c>
      <c r="BF28" s="98">
        <f t="shared" si="21"/>
        <v>0</v>
      </c>
      <c r="BG28" s="99"/>
      <c r="BH28" s="99"/>
      <c r="BI28" s="98">
        <f t="shared" si="22"/>
        <v>0</v>
      </c>
      <c r="BJ28" s="98">
        <f t="shared" si="23"/>
        <v>0</v>
      </c>
      <c r="BK28" s="100"/>
      <c r="BL28" s="100"/>
      <c r="BM28" s="98"/>
      <c r="BN28" s="98">
        <f t="shared" si="24"/>
        <v>0</v>
      </c>
      <c r="BO28" s="105">
        <v>0</v>
      </c>
      <c r="BP28" s="149">
        <f t="shared" si="25"/>
        <v>0</v>
      </c>
      <c r="BQ28" s="112"/>
      <c r="BR28" s="112"/>
      <c r="BS28" s="104">
        <f t="shared" si="26"/>
        <v>0</v>
      </c>
      <c r="BT28" s="104">
        <f t="shared" si="27"/>
        <v>0</v>
      </c>
      <c r="BU28" s="105">
        <v>0</v>
      </c>
      <c r="BV28" s="105">
        <v>0</v>
      </c>
      <c r="BW28" s="142">
        <f t="shared" si="28"/>
        <v>0</v>
      </c>
      <c r="BX28" s="142">
        <f t="shared" si="29"/>
        <v>0</v>
      </c>
      <c r="BY28" s="110"/>
      <c r="BZ28" s="110"/>
      <c r="CA28" s="142">
        <f t="shared" si="30"/>
        <v>0</v>
      </c>
      <c r="CB28" s="142">
        <f t="shared" si="30"/>
        <v>0</v>
      </c>
      <c r="CC28" s="106"/>
      <c r="CD28" s="106"/>
      <c r="CE28" s="98">
        <f t="shared" si="31"/>
        <v>0</v>
      </c>
      <c r="CF28" s="107">
        <f t="shared" si="31"/>
        <v>0</v>
      </c>
      <c r="CG28" s="81"/>
      <c r="CH28" s="65">
        <f t="shared" si="32"/>
        <v>0</v>
      </c>
      <c r="CI28" s="74"/>
      <c r="CJ28" s="74"/>
      <c r="CK28" s="54"/>
      <c r="CL28" s="74"/>
      <c r="CM28" s="54"/>
      <c r="CN28" s="74"/>
      <c r="CO28" s="74"/>
      <c r="CP28" s="90"/>
      <c r="CQ28" s="68">
        <v>0</v>
      </c>
      <c r="CR28" s="69">
        <f t="shared" si="33"/>
        <v>0</v>
      </c>
      <c r="CS28" s="69">
        <f t="shared" si="34"/>
        <v>0</v>
      </c>
      <c r="CT28" s="70">
        <f t="shared" si="0"/>
        <v>0</v>
      </c>
      <c r="CU28" s="70">
        <f t="shared" si="1"/>
        <v>0</v>
      </c>
      <c r="CV28" s="70">
        <f t="shared" si="35"/>
        <v>0</v>
      </c>
      <c r="CW28" s="55"/>
      <c r="CX28" s="118"/>
    </row>
    <row r="29" spans="1:102" s="5" customFormat="1" ht="44.25" customHeight="1">
      <c r="A29" s="19"/>
      <c r="B29" s="38"/>
      <c r="C29" s="20" t="s">
        <v>172</v>
      </c>
      <c r="D29" s="77">
        <f t="shared" ref="D29:BO29" si="121">SUM(D7:D28)</f>
        <v>58.52</v>
      </c>
      <c r="E29" s="77">
        <f t="shared" si="121"/>
        <v>79.11</v>
      </c>
      <c r="F29" s="77">
        <f t="shared" si="121"/>
        <v>35.112000000000002</v>
      </c>
      <c r="G29" s="77">
        <f t="shared" si="121"/>
        <v>47.466000000000008</v>
      </c>
      <c r="H29" s="77">
        <f t="shared" si="121"/>
        <v>117</v>
      </c>
      <c r="I29" s="77">
        <f t="shared" si="121"/>
        <v>103</v>
      </c>
      <c r="J29" s="77">
        <f t="shared" si="121"/>
        <v>97.19189999999999</v>
      </c>
      <c r="K29" s="77">
        <f t="shared" si="121"/>
        <v>84.91937999999999</v>
      </c>
      <c r="L29" s="77">
        <f t="shared" si="121"/>
        <v>569.54999999999995</v>
      </c>
      <c r="M29" s="77">
        <f t="shared" si="121"/>
        <v>569.54999999999995</v>
      </c>
      <c r="N29" s="77">
        <f t="shared" si="121"/>
        <v>57.11</v>
      </c>
      <c r="O29" s="77">
        <f t="shared" si="121"/>
        <v>75.17</v>
      </c>
      <c r="P29" s="77">
        <f t="shared" si="121"/>
        <v>60.822149999999993</v>
      </c>
      <c r="Q29" s="77">
        <f t="shared" si="121"/>
        <v>79.454689999999999</v>
      </c>
      <c r="R29" s="77">
        <f t="shared" si="121"/>
        <v>1085.02</v>
      </c>
      <c r="S29" s="77">
        <f t="shared" si="121"/>
        <v>1146.8661399999996</v>
      </c>
      <c r="T29" s="77">
        <f t="shared" si="121"/>
        <v>236.14999999999995</v>
      </c>
      <c r="U29" s="77">
        <f t="shared" si="121"/>
        <v>313.10999999999996</v>
      </c>
      <c r="V29" s="77">
        <f t="shared" si="121"/>
        <v>251.49974999999995</v>
      </c>
      <c r="W29" s="77">
        <f t="shared" si="121"/>
        <v>330.95726999999994</v>
      </c>
      <c r="X29" s="77">
        <f t="shared" si="121"/>
        <v>472.5</v>
      </c>
      <c r="Y29" s="77">
        <f t="shared" si="121"/>
        <v>494.25</v>
      </c>
      <c r="Z29" s="77">
        <f t="shared" si="121"/>
        <v>0</v>
      </c>
      <c r="AA29" s="77">
        <f t="shared" si="121"/>
        <v>354.375</v>
      </c>
      <c r="AB29" s="77">
        <f t="shared" si="121"/>
        <v>370.6875</v>
      </c>
      <c r="AC29" s="77">
        <f t="shared" si="121"/>
        <v>0</v>
      </c>
      <c r="AD29" s="77">
        <f t="shared" si="121"/>
        <v>0</v>
      </c>
      <c r="AE29" s="77">
        <f t="shared" si="121"/>
        <v>0</v>
      </c>
      <c r="AF29" s="77">
        <f t="shared" si="121"/>
        <v>0</v>
      </c>
      <c r="AG29" s="77">
        <f t="shared" si="121"/>
        <v>0</v>
      </c>
      <c r="AH29" s="77">
        <f t="shared" si="121"/>
        <v>0</v>
      </c>
      <c r="AI29" s="77">
        <f t="shared" si="121"/>
        <v>0</v>
      </c>
      <c r="AJ29" s="77">
        <f t="shared" si="121"/>
        <v>0</v>
      </c>
      <c r="AK29" s="77">
        <f t="shared" si="121"/>
        <v>1273.2199999999998</v>
      </c>
      <c r="AL29" s="77">
        <f t="shared" si="121"/>
        <v>799.43000000000018</v>
      </c>
      <c r="AM29" s="77">
        <f t="shared" si="121"/>
        <v>1355.9793</v>
      </c>
      <c r="AN29" s="77">
        <f t="shared" si="121"/>
        <v>844.99750999999981</v>
      </c>
      <c r="AO29" s="77">
        <f t="shared" si="121"/>
        <v>0</v>
      </c>
      <c r="AP29" s="77">
        <f t="shared" si="121"/>
        <v>0</v>
      </c>
      <c r="AQ29" s="77">
        <f t="shared" si="121"/>
        <v>425.23</v>
      </c>
      <c r="AR29" s="77">
        <f t="shared" si="121"/>
        <v>449.42</v>
      </c>
      <c r="AS29" s="77">
        <f t="shared" si="121"/>
        <v>0</v>
      </c>
      <c r="AT29" s="77">
        <f t="shared" si="121"/>
        <v>0</v>
      </c>
      <c r="AU29" s="77">
        <f t="shared" si="121"/>
        <v>114.9</v>
      </c>
      <c r="AV29" s="77">
        <f t="shared" si="121"/>
        <v>121.44929999999999</v>
      </c>
      <c r="AW29" s="77">
        <f t="shared" si="121"/>
        <v>679.57</v>
      </c>
      <c r="AX29" s="77">
        <f t="shared" si="121"/>
        <v>637.50000000000011</v>
      </c>
      <c r="AY29" s="77">
        <f t="shared" si="121"/>
        <v>0</v>
      </c>
      <c r="AZ29" s="77">
        <f t="shared" si="121"/>
        <v>0</v>
      </c>
      <c r="BA29" s="77">
        <f t="shared" si="121"/>
        <v>103.68</v>
      </c>
      <c r="BB29" s="77">
        <f t="shared" si="121"/>
        <v>46.78</v>
      </c>
      <c r="BC29" s="77">
        <f t="shared" si="121"/>
        <v>122.3</v>
      </c>
      <c r="BD29" s="77">
        <f t="shared" si="121"/>
        <v>91.4</v>
      </c>
      <c r="BE29" s="77">
        <f t="shared" si="121"/>
        <v>97.057280000000006</v>
      </c>
      <c r="BF29" s="77">
        <f t="shared" si="121"/>
        <v>72.535040000000009</v>
      </c>
      <c r="BG29" s="77">
        <f t="shared" si="121"/>
        <v>490.72</v>
      </c>
      <c r="BH29" s="77">
        <f t="shared" si="121"/>
        <v>33.44</v>
      </c>
      <c r="BI29" s="77">
        <f t="shared" si="121"/>
        <v>518.69103999999993</v>
      </c>
      <c r="BJ29" s="77">
        <f t="shared" si="121"/>
        <v>35.346080000000001</v>
      </c>
      <c r="BK29" s="77">
        <f t="shared" si="121"/>
        <v>0</v>
      </c>
      <c r="BL29" s="77">
        <f t="shared" si="121"/>
        <v>0</v>
      </c>
      <c r="BM29" s="77">
        <f t="shared" si="121"/>
        <v>0</v>
      </c>
      <c r="BN29" s="77">
        <f t="shared" si="121"/>
        <v>0</v>
      </c>
      <c r="BO29" s="77">
        <f t="shared" si="121"/>
        <v>847.17</v>
      </c>
      <c r="BP29" s="77">
        <f t="shared" ref="BP29:CP29" si="122">SUM(BP7:BP28)</f>
        <v>895.45869000000005</v>
      </c>
      <c r="BQ29" s="114">
        <f t="shared" si="122"/>
        <v>0</v>
      </c>
      <c r="BR29" s="77">
        <f t="shared" si="122"/>
        <v>0</v>
      </c>
      <c r="BS29" s="77">
        <f t="shared" si="122"/>
        <v>0</v>
      </c>
      <c r="BT29" s="77">
        <f t="shared" si="122"/>
        <v>0</v>
      </c>
      <c r="BU29" s="77">
        <f t="shared" si="122"/>
        <v>51.8</v>
      </c>
      <c r="BV29" s="77">
        <f t="shared" si="122"/>
        <v>10.3</v>
      </c>
      <c r="BW29" s="77">
        <f t="shared" si="122"/>
        <v>66.304000000000002</v>
      </c>
      <c r="BX29" s="77">
        <f t="shared" si="122"/>
        <v>13.184000000000001</v>
      </c>
      <c r="BY29" s="77">
        <f t="shared" si="122"/>
        <v>171.11</v>
      </c>
      <c r="BZ29" s="77">
        <f t="shared" si="122"/>
        <v>210.66</v>
      </c>
      <c r="CA29" s="77">
        <f t="shared" si="122"/>
        <v>85.555000000000007</v>
      </c>
      <c r="CB29" s="77">
        <f t="shared" si="122"/>
        <v>105.33</v>
      </c>
      <c r="CC29" s="77">
        <f t="shared" si="122"/>
        <v>207</v>
      </c>
      <c r="CD29" s="77">
        <f t="shared" si="122"/>
        <v>5</v>
      </c>
      <c r="CE29" s="77">
        <f t="shared" si="122"/>
        <v>10.350000000000001</v>
      </c>
      <c r="CF29" s="77">
        <f t="shared" si="122"/>
        <v>0.25</v>
      </c>
      <c r="CG29" s="77">
        <f t="shared" si="122"/>
        <v>0</v>
      </c>
      <c r="CH29" s="77">
        <f t="shared" si="122"/>
        <v>23753000</v>
      </c>
      <c r="CI29" s="77">
        <f t="shared" si="122"/>
        <v>0</v>
      </c>
      <c r="CJ29" s="77">
        <f t="shared" si="122"/>
        <v>600000</v>
      </c>
      <c r="CK29" s="77">
        <f t="shared" si="122"/>
        <v>11940000</v>
      </c>
      <c r="CL29" s="77">
        <f t="shared" si="122"/>
        <v>870000</v>
      </c>
      <c r="CM29" s="77">
        <f t="shared" si="122"/>
        <v>10343000</v>
      </c>
      <c r="CN29" s="77">
        <f t="shared" si="122"/>
        <v>0</v>
      </c>
      <c r="CO29" s="77">
        <f t="shared" si="122"/>
        <v>0</v>
      </c>
      <c r="CP29" s="77">
        <f t="shared" si="122"/>
        <v>0</v>
      </c>
      <c r="CR29" s="5">
        <f>SUM(CR7:CR28)</f>
        <v>3622.7263800000001</v>
      </c>
      <c r="CS29" s="5">
        <f>SUM(CS7:CS28)</f>
        <v>6335.4965600000005</v>
      </c>
      <c r="CT29" s="6">
        <f>SUM(CT7:CT28)</f>
        <v>23758306.717391998</v>
      </c>
      <c r="CU29" s="6">
        <f>SUM(CU7:CU28)</f>
        <v>15803604.593607998</v>
      </c>
      <c r="CV29" s="5">
        <f>SUM(CV7:CV28)</f>
        <v>5306.7173919981342</v>
      </c>
      <c r="CW29" s="56" t="s">
        <v>173</v>
      </c>
      <c r="CX29" s="57">
        <f>SUM(CX6:CX28)</f>
        <v>10624856</v>
      </c>
    </row>
    <row r="30" spans="1:102" ht="26.25">
      <c r="B30" s="39"/>
      <c r="CW30" s="58" t="s">
        <v>174</v>
      </c>
      <c r="CX30" s="47">
        <f>CU29</f>
        <v>15803604.593607998</v>
      </c>
    </row>
    <row r="31" spans="1:102" ht="28.5">
      <c r="CW31" s="59" t="s">
        <v>175</v>
      </c>
      <c r="CX31" s="76">
        <f>CX30-CX29</f>
        <v>5178748.5936079975</v>
      </c>
    </row>
    <row r="32" spans="1:102">
      <c r="B32" s="1"/>
      <c r="H32" s="10"/>
      <c r="I32" s="10"/>
      <c r="J32" s="10"/>
      <c r="K32" s="10"/>
      <c r="L32" s="88"/>
      <c r="M32" s="10"/>
      <c r="N32" s="10"/>
      <c r="O32" s="10"/>
      <c r="BT32" s="7"/>
      <c r="BX32" s="7"/>
      <c r="CB32" s="7"/>
      <c r="CC32" s="8"/>
      <c r="CD32" s="5"/>
      <c r="CE32" s="5"/>
    </row>
    <row r="33" spans="1:90">
      <c r="A33" s="12"/>
      <c r="B33" s="1"/>
      <c r="C33" s="40"/>
      <c r="D33" s="40"/>
      <c r="E33" s="40"/>
      <c r="F33" s="40"/>
      <c r="G33" s="40"/>
      <c r="H33" s="40"/>
    </row>
    <row r="34" spans="1:90" ht="52.5" customHeight="1">
      <c r="A34" s="12"/>
      <c r="B34" s="1"/>
      <c r="C34" s="40"/>
      <c r="D34" s="13"/>
      <c r="E34" s="40"/>
      <c r="F34" s="41"/>
      <c r="G34" s="42"/>
      <c r="H34" s="40"/>
      <c r="V34" s="10"/>
      <c r="W34" s="10"/>
      <c r="X34" s="10"/>
      <c r="Y34" s="10"/>
      <c r="Z34" s="10"/>
      <c r="AA34" s="10"/>
      <c r="AB34" s="10"/>
      <c r="AC34" s="10"/>
      <c r="AD34" s="10"/>
    </row>
    <row r="35" spans="1:90">
      <c r="A35" s="12"/>
      <c r="B35" s="1"/>
      <c r="C35" s="40"/>
      <c r="D35" s="13"/>
      <c r="E35" s="40"/>
      <c r="F35" s="42"/>
      <c r="G35" s="42"/>
      <c r="H35" s="40"/>
      <c r="Q35" s="40"/>
      <c r="R35" s="40"/>
      <c r="S35" s="40"/>
      <c r="T35" s="40"/>
      <c r="U35" s="40"/>
      <c r="V35" s="40"/>
      <c r="CL35" s="1">
        <v>2</v>
      </c>
    </row>
    <row r="36" spans="1:90">
      <c r="A36" s="12"/>
      <c r="B36" s="1"/>
      <c r="C36" s="40"/>
      <c r="D36" s="13"/>
      <c r="E36" s="40"/>
      <c r="F36" s="42"/>
      <c r="G36" s="42"/>
      <c r="H36" s="40"/>
      <c r="Q36" s="40"/>
      <c r="R36" s="13"/>
      <c r="S36" s="40"/>
      <c r="T36" s="41"/>
      <c r="U36" s="42"/>
      <c r="V36" s="40"/>
    </row>
    <row r="37" spans="1:90">
      <c r="A37" s="12"/>
      <c r="B37" s="1"/>
      <c r="C37" s="40"/>
      <c r="D37" s="40"/>
      <c r="E37" s="40"/>
      <c r="F37" s="40"/>
      <c r="G37" s="40"/>
      <c r="H37" s="40"/>
      <c r="Q37" s="40"/>
      <c r="R37" s="13"/>
      <c r="S37" s="40"/>
      <c r="T37" s="42"/>
      <c r="U37" s="42"/>
      <c r="V37" s="40"/>
    </row>
    <row r="38" spans="1:90" ht="20.25" customHeight="1">
      <c r="A38" s="12"/>
      <c r="B38" s="1"/>
      <c r="C38" s="40"/>
      <c r="D38" s="14"/>
      <c r="E38" s="40"/>
      <c r="F38" s="42"/>
      <c r="G38" s="42"/>
      <c r="H38" s="40"/>
      <c r="Q38" s="40"/>
      <c r="R38" s="13"/>
      <c r="S38" s="40"/>
      <c r="T38" s="42"/>
      <c r="U38" s="42"/>
      <c r="V38" s="40"/>
    </row>
    <row r="39" spans="1:90" ht="18" customHeight="1">
      <c r="A39" s="12"/>
      <c r="B39" s="1"/>
      <c r="C39" s="40"/>
      <c r="D39" s="40"/>
      <c r="E39" s="40"/>
      <c r="F39" s="40"/>
      <c r="G39" s="40"/>
      <c r="H39" s="40"/>
      <c r="Q39" s="40"/>
      <c r="R39" s="40"/>
      <c r="S39" s="40"/>
      <c r="T39" s="40"/>
      <c r="U39" s="40"/>
      <c r="V39" s="40"/>
    </row>
    <row r="40" spans="1:90">
      <c r="A40" s="12"/>
      <c r="B40" s="1"/>
      <c r="C40" s="40"/>
      <c r="D40" s="40"/>
      <c r="E40" s="40"/>
      <c r="F40" s="40"/>
      <c r="G40" s="40"/>
      <c r="H40" s="40"/>
      <c r="Q40" s="40"/>
      <c r="R40" s="14"/>
      <c r="S40" s="40"/>
      <c r="T40" s="42"/>
      <c r="U40" s="42"/>
      <c r="V40" s="40"/>
    </row>
    <row r="41" spans="1:90">
      <c r="A41" s="12"/>
      <c r="B41" s="1"/>
      <c r="Q41" s="40"/>
      <c r="R41" s="40"/>
      <c r="S41" s="40"/>
      <c r="T41" s="40"/>
      <c r="U41" s="40"/>
      <c r="V41" s="40"/>
    </row>
    <row r="42" spans="1:90">
      <c r="A42" s="12"/>
      <c r="B42" s="1"/>
      <c r="Q42" s="40"/>
      <c r="R42" s="40"/>
      <c r="S42" s="40"/>
      <c r="T42" s="40"/>
      <c r="U42" s="40"/>
      <c r="V42" s="40"/>
    </row>
    <row r="43" spans="1:90">
      <c r="A43" s="12"/>
      <c r="B43" s="1"/>
    </row>
    <row r="44" spans="1:90">
      <c r="A44" s="12"/>
      <c r="B44" s="1"/>
    </row>
    <row r="45" spans="1:90" ht="21" customHeight="1">
      <c r="A45" s="12"/>
      <c r="B45" s="1"/>
    </row>
    <row r="46" spans="1:90">
      <c r="A46" s="12"/>
      <c r="B46" s="1"/>
    </row>
    <row r="47" spans="1:90" ht="20.25" customHeight="1">
      <c r="A47" s="12"/>
      <c r="B47" s="1"/>
    </row>
    <row r="48" spans="1:90">
      <c r="B48" s="1"/>
      <c r="H48" s="10"/>
      <c r="I48" s="10"/>
      <c r="J48" s="10"/>
      <c r="K48" s="10"/>
      <c r="L48" s="10"/>
      <c r="M48" s="10"/>
      <c r="N48" s="10"/>
      <c r="O48" s="10"/>
    </row>
    <row r="49" spans="1:11">
      <c r="B49" s="1"/>
      <c r="C49" s="40"/>
      <c r="D49" s="40"/>
      <c r="E49" s="40"/>
      <c r="F49" s="40"/>
      <c r="G49" s="40"/>
      <c r="H49" s="40"/>
    </row>
    <row r="50" spans="1:11">
      <c r="B50" s="1"/>
      <c r="C50" s="40"/>
      <c r="D50" s="13"/>
      <c r="E50" s="40"/>
      <c r="F50" s="41"/>
      <c r="G50" s="42"/>
      <c r="H50" s="40"/>
    </row>
    <row r="51" spans="1:11">
      <c r="B51" s="1"/>
      <c r="C51" s="40"/>
      <c r="D51" s="13"/>
      <c r="E51" s="40"/>
      <c r="F51" s="42"/>
      <c r="G51" s="42"/>
      <c r="H51" s="40"/>
    </row>
    <row r="52" spans="1:11">
      <c r="B52" s="1"/>
      <c r="C52" s="40"/>
      <c r="D52" s="13"/>
      <c r="E52" s="40"/>
      <c r="F52" s="42"/>
      <c r="G52" s="42"/>
      <c r="H52" s="40"/>
    </row>
    <row r="53" spans="1:11" ht="21.75" customHeight="1">
      <c r="B53" s="1"/>
      <c r="C53" s="40"/>
      <c r="D53" s="40"/>
      <c r="E53" s="40"/>
      <c r="F53" s="40"/>
      <c r="G53" s="40"/>
      <c r="H53" s="40"/>
    </row>
    <row r="54" spans="1:11" ht="21.75" customHeight="1">
      <c r="B54" s="1"/>
      <c r="C54" s="40"/>
      <c r="D54" s="14"/>
      <c r="E54" s="40"/>
      <c r="F54" s="42"/>
      <c r="G54" s="42"/>
      <c r="H54" s="40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B58" s="1"/>
    </row>
    <row r="59" spans="1:11" ht="21.75" customHeight="1">
      <c r="B59" s="1"/>
    </row>
    <row r="60" spans="1:11" ht="21.75" customHeight="1">
      <c r="B60" s="1"/>
    </row>
    <row r="61" spans="1:11" ht="21.75" customHeight="1">
      <c r="B61" s="1"/>
    </row>
    <row r="62" spans="1:11" ht="21.75" customHeight="1">
      <c r="A62" s="12"/>
      <c r="B62" s="1"/>
    </row>
    <row r="63" spans="1:11" ht="21.75" customHeight="1">
      <c r="A63" s="12"/>
      <c r="B63" s="1"/>
    </row>
    <row r="64" spans="1:11" ht="21.75" customHeight="1">
      <c r="B64" s="1"/>
      <c r="K64" s="11"/>
    </row>
    <row r="65" spans="2:35" ht="21.75" customHeight="1">
      <c r="B65" s="1"/>
      <c r="K65" s="11"/>
    </row>
    <row r="66" spans="2:35">
      <c r="B66" s="1"/>
      <c r="K66" s="11"/>
    </row>
    <row r="67" spans="2:35">
      <c r="B67" s="1"/>
      <c r="K67" s="11"/>
    </row>
    <row r="68" spans="2:35">
      <c r="B68" s="1"/>
      <c r="K68" s="11"/>
    </row>
    <row r="69" spans="2:35">
      <c r="B69" s="1"/>
      <c r="K69" s="16"/>
    </row>
    <row r="70" spans="2:35">
      <c r="B70" s="1"/>
      <c r="K70" s="12"/>
    </row>
    <row r="71" spans="2:35">
      <c r="B71" s="1"/>
    </row>
    <row r="72" spans="2:35">
      <c r="B72" s="1"/>
    </row>
    <row r="73" spans="2:35">
      <c r="B73" s="9"/>
      <c r="C73" s="9"/>
      <c r="D73" s="9"/>
      <c r="E73" s="9"/>
      <c r="F73" s="9"/>
      <c r="G73" s="9"/>
      <c r="H73" s="9"/>
      <c r="I73" s="9"/>
      <c r="J73" s="9"/>
    </row>
    <row r="74" spans="2:35">
      <c r="B74" s="1"/>
    </row>
    <row r="75" spans="2:35" ht="46.5" customHeight="1">
      <c r="B75" s="1"/>
      <c r="K75" s="9"/>
      <c r="U75" s="9"/>
      <c r="V75" s="9"/>
      <c r="W75" s="9"/>
      <c r="X75" s="9"/>
      <c r="Y75" s="9"/>
      <c r="Z75" s="9"/>
      <c r="AA75" s="9"/>
      <c r="AB75" s="9"/>
      <c r="AC75" s="9"/>
      <c r="AD75" s="9"/>
      <c r="AI75" s="17"/>
    </row>
    <row r="76" spans="2:35" ht="21.75" customHeight="1">
      <c r="B76" s="1"/>
    </row>
    <row r="77" spans="2:35">
      <c r="B77" s="1"/>
      <c r="M77" s="9"/>
      <c r="N77" s="9"/>
      <c r="O77" s="9"/>
      <c r="P77" s="9"/>
      <c r="Q77" s="9"/>
      <c r="R77" s="9"/>
      <c r="S77" s="9"/>
      <c r="T77" s="9"/>
    </row>
    <row r="78" spans="2:35">
      <c r="B78" s="1"/>
    </row>
    <row r="79" spans="2:35">
      <c r="B79" s="1"/>
    </row>
    <row r="80" spans="2:35">
      <c r="B80" s="1"/>
    </row>
    <row r="81" spans="2:12">
      <c r="B81" s="1"/>
    </row>
    <row r="82" spans="2:12">
      <c r="B82" s="1"/>
    </row>
    <row r="83" spans="2:12">
      <c r="B83" s="1"/>
    </row>
    <row r="84" spans="2:12">
      <c r="B84" s="1"/>
    </row>
    <row r="85" spans="2:12">
      <c r="B85" s="1"/>
    </row>
    <row r="86" spans="2:12">
      <c r="B86" s="1"/>
    </row>
    <row r="87" spans="2:12">
      <c r="B87" s="1"/>
    </row>
    <row r="88" spans="2:12">
      <c r="B88" s="1"/>
    </row>
    <row r="89" spans="2:12">
      <c r="B89" s="1"/>
    </row>
    <row r="90" spans="2:12">
      <c r="B90" s="1"/>
    </row>
    <row r="91" spans="2:12">
      <c r="B91" s="1"/>
    </row>
    <row r="92" spans="2:12">
      <c r="B92" s="1"/>
    </row>
    <row r="93" spans="2:12">
      <c r="B93" s="1"/>
    </row>
    <row r="94" spans="2:12">
      <c r="B94" s="1"/>
    </row>
    <row r="95" spans="2:12">
      <c r="B95" s="1"/>
      <c r="D95" s="9"/>
      <c r="E95" s="9"/>
      <c r="F95" s="9"/>
      <c r="G95" s="9"/>
      <c r="H95" s="9"/>
      <c r="I95" s="9"/>
      <c r="J95" s="9"/>
      <c r="K95" s="9"/>
      <c r="L95" s="9"/>
    </row>
    <row r="96" spans="2:12">
      <c r="B96" s="1"/>
    </row>
    <row r="97" spans="1:3">
      <c r="A97" s="9"/>
      <c r="B97" s="9"/>
      <c r="C97" s="9"/>
    </row>
    <row r="98" spans="1:3">
      <c r="B98" s="1"/>
    </row>
    <row r="99" spans="1:3">
      <c r="B99" s="1"/>
    </row>
    <row r="100" spans="1:3">
      <c r="B100" s="1"/>
    </row>
    <row r="101" spans="1:3">
      <c r="B101" s="1"/>
    </row>
    <row r="102" spans="1:3">
      <c r="B102" s="1"/>
    </row>
    <row r="103" spans="1:3">
      <c r="B103" s="1"/>
    </row>
    <row r="104" spans="1:3">
      <c r="B104" s="1"/>
    </row>
    <row r="105" spans="1:3">
      <c r="B105" s="1"/>
    </row>
    <row r="106" spans="1:3">
      <c r="B106" s="1"/>
    </row>
    <row r="107" spans="1:3">
      <c r="B107" s="1"/>
    </row>
    <row r="108" spans="1:3">
      <c r="B108" s="1"/>
    </row>
    <row r="109" spans="1:3">
      <c r="B109" s="1"/>
    </row>
    <row r="110" spans="1:3">
      <c r="B110" s="1"/>
    </row>
    <row r="111" spans="1:3">
      <c r="B111" s="1"/>
    </row>
    <row r="112" spans="1:3">
      <c r="B112" s="1"/>
    </row>
    <row r="113" spans="1:12">
      <c r="B113" s="1"/>
    </row>
    <row r="114" spans="1:12">
      <c r="B114" s="1"/>
    </row>
    <row r="115" spans="1:12">
      <c r="B115" s="1"/>
    </row>
    <row r="116" spans="1:12">
      <c r="B116" s="1"/>
      <c r="D116" s="9"/>
      <c r="E116" s="9"/>
      <c r="F116" s="9"/>
      <c r="G116" s="9"/>
      <c r="H116" s="9"/>
      <c r="I116" s="9"/>
    </row>
    <row r="117" spans="1:12">
      <c r="B117" s="1"/>
      <c r="J117" s="9"/>
      <c r="K117" s="9"/>
      <c r="L117" s="9"/>
    </row>
    <row r="118" spans="1:12">
      <c r="A118" s="9"/>
      <c r="B118" s="9"/>
      <c r="C118" s="9"/>
    </row>
    <row r="119" spans="1:12">
      <c r="B119" s="1"/>
    </row>
    <row r="120" spans="1:12">
      <c r="B120" s="1"/>
    </row>
  </sheetData>
  <mergeCells count="27"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T5:W5"/>
    <mergeCell ref="D5:G5"/>
    <mergeCell ref="H5:K5"/>
    <mergeCell ref="L5:M5"/>
    <mergeCell ref="N5:Q5"/>
    <mergeCell ref="R5:S5"/>
  </mergeCells>
  <conditionalFormatting sqref="CT7:CV28">
    <cfRule type="cellIs" dxfId="234" priority="33" operator="lessThan">
      <formula>0</formula>
    </cfRule>
    <cfRule type="cellIs" dxfId="233" priority="34" operator="greaterThan">
      <formula>0</formula>
    </cfRule>
  </conditionalFormatting>
  <conditionalFormatting sqref="CR7:CS28">
    <cfRule type="cellIs" dxfId="232" priority="29" operator="greaterThan">
      <formula>1000</formula>
    </cfRule>
    <cfRule type="cellIs" dxfId="231" priority="30" operator="between">
      <formula>500</formula>
      <formula>1000</formula>
    </cfRule>
    <cfRule type="cellIs" dxfId="230" priority="31" operator="between">
      <formula>300</formula>
      <formula>500</formula>
    </cfRule>
    <cfRule type="cellIs" dxfId="229" priority="32" operator="lessThan">
      <formula>300</formula>
    </cfRule>
  </conditionalFormatting>
  <conditionalFormatting sqref="AI75">
    <cfRule type="cellIs" dxfId="228" priority="28" operator="greaterThanOrEqual">
      <formula>10</formula>
    </cfRule>
  </conditionalFormatting>
  <conditionalFormatting sqref="B121:B1048576 B6 C5 B13:B54">
    <cfRule type="duplicateValues" dxfId="227" priority="27"/>
  </conditionalFormatting>
  <conditionalFormatting sqref="C13:C28">
    <cfRule type="containsText" dxfId="226" priority="26" operator="containsText" text="@">
      <formula>NOT(ISERROR(SEARCH("@",C13)))</formula>
    </cfRule>
  </conditionalFormatting>
  <conditionalFormatting sqref="B13:B28">
    <cfRule type="notContainsBlanks" dxfId="225" priority="25">
      <formula>LEN(TRIM(B13))&gt;0</formula>
    </cfRule>
  </conditionalFormatting>
  <conditionalFormatting sqref="Z7:AN7 CH6:CO7 D7:M7 P7:W7 AC8:AD8 C8 AU7:AX7 AZ8:BF8 CA7:CG7 Z8:Z11 AY8:AY11 AA8:AB12 AZ9:BH12 CA8:CV12 BI7:BN12 A13:C13 AY13:BN13 A14:K16 Z13:AD13 AE8:AJ13 CA13:CO13 AS8:AX13 D8:K13 B18:Q18 A17:Q17 AM8:AP16 AS14:CO16 AQ7:AR16 BO7:BZ13 L8:R8 L9:Q16 CP13:CV15 CY7:XFD15 CW14:CX15 AM17:CO18 CP16:XFD18 BG7:BH14 BO9:BO20 CP7:CV7 D9:E22 A19:Q21 R9:R21 S8:W21 Z14:AJ22 AM19:XFD22 AK8:AL22 AW10:AX22 Z23:XFD28 A22:W28">
    <cfRule type="expression" dxfId="224" priority="24">
      <formula>CELL("row")=ROW()</formula>
    </cfRule>
  </conditionalFormatting>
  <conditionalFormatting sqref="A1">
    <cfRule type="expression" dxfId="223" priority="23">
      <formula>CELL("row")=ROW()</formula>
    </cfRule>
  </conditionalFormatting>
  <conditionalFormatting sqref="P7:S7 AC8:AD8 BK10:BL12 BN10:BN12 J7:M7 AI7:AN7 Z8:Z11 AY8:AY11 BK7:BN9 S8:S13 AM8:AP16 AS8:AS16 AQ7:AR16 S14:U21 J8:R21 AM17:AS22 AI8:AL22 AI23:AS28 J22:U28 AA7:AB28 AE7:AF28 BA8:BD28 BM10:BM28 BU7:BV28 D7:G28 AU7:AX28 BG7:BH28 BO7:BP28">
    <cfRule type="containsText" dxfId="222" priority="22" operator="containsText" text=".">
      <formula>NOT(ISERROR(SEARCH(".",D7)))</formula>
    </cfRule>
  </conditionalFormatting>
  <conditionalFormatting sqref="C7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{051E1726-6CAE-4447-880D-7C554A08C16C}</x14:id>
        </ext>
      </extLst>
    </cfRule>
  </conditionalFormatting>
  <conditionalFormatting sqref="AS7:AT7 AY7:BF7 N7:O7 AO7:AP7">
    <cfRule type="expression" dxfId="221" priority="20">
      <formula>CELL("row")=ROW()</formula>
    </cfRule>
  </conditionalFormatting>
  <conditionalFormatting sqref="AY7:BF7 Z7 AS7:AT7 AO7:AP7 N7:O7 AC7:AD7 H7:I12 H14:I15 AZ8:AZ28 BE8:BF28 BI7:BJ28 AT8:AT28 AG7:AH28 T7:W28">
    <cfRule type="containsText" dxfId="220" priority="19" operator="containsText" text=".">
      <formula>NOT(ISERROR(SEARCH(".",H7)))</formula>
    </cfRule>
  </conditionalFormatting>
  <conditionalFormatting sqref="C35">
    <cfRule type="duplicateValues" dxfId="219" priority="18"/>
  </conditionalFormatting>
  <conditionalFormatting sqref="C35">
    <cfRule type="containsText" dxfId="218" priority="17" operator="containsText" text="@">
      <formula>NOT(ISERROR(SEARCH("@",C35)))</formula>
    </cfRule>
  </conditionalFormatting>
  <conditionalFormatting sqref="C35">
    <cfRule type="expression" dxfId="217" priority="16">
      <formula>CELL("row")=ROW()</formula>
    </cfRule>
  </conditionalFormatting>
  <conditionalFormatting sqref="C3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{13EE17F7-AAA9-4900-852F-7EA55E42109D}</x14:id>
        </ext>
      </extLst>
    </cfRule>
  </conditionalFormatting>
  <conditionalFormatting sqref="C38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{1DE451AB-0268-466C-A8AE-07B083EC1E56}</x14:id>
        </ext>
      </extLst>
    </cfRule>
  </conditionalFormatting>
  <conditionalFormatting sqref="C43">
    <cfRule type="containsText" dxfId="216" priority="13" operator="containsText" text="@">
      <formula>NOT(ISERROR(SEARCH("@",C43)))</formula>
    </cfRule>
  </conditionalFormatting>
  <conditionalFormatting sqref="C43">
    <cfRule type="expression" dxfId="215" priority="12">
      <formula>CELL("row")=ROW()</formula>
    </cfRule>
  </conditionalFormatting>
  <conditionalFormatting sqref="C44">
    <cfRule type="duplicateValues" dxfId="214" priority="11"/>
  </conditionalFormatting>
  <conditionalFormatting sqref="C44">
    <cfRule type="containsText" dxfId="213" priority="10" operator="containsText" text="@">
      <formula>NOT(ISERROR(SEARCH("@",C44)))</formula>
    </cfRule>
  </conditionalFormatting>
  <conditionalFormatting sqref="C44">
    <cfRule type="expression" dxfId="212" priority="9">
      <formula>CELL("row")=ROW()</formula>
    </cfRule>
  </conditionalFormatting>
  <conditionalFormatting sqref="C4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{9BE90960-2595-4B96-B47C-44BA2E6711A3}</x14:id>
        </ext>
      </extLst>
    </cfRule>
  </conditionalFormatting>
  <conditionalFormatting sqref="C50">
    <cfRule type="duplicateValues" dxfId="211" priority="7"/>
  </conditionalFormatting>
  <conditionalFormatting sqref="C50">
    <cfRule type="containsText" dxfId="210" priority="6" operator="containsText" text="@">
      <formula>NOT(ISERROR(SEARCH("@",C50)))</formula>
    </cfRule>
  </conditionalFormatting>
  <conditionalFormatting sqref="C50">
    <cfRule type="expression" dxfId="209" priority="5">
      <formula>CELL("row")=ROW()</formula>
    </cfRule>
  </conditionalFormatting>
  <conditionalFormatting sqref="H8:I8">
    <cfRule type="containsText" dxfId="208" priority="4" operator="containsText" text=".">
      <formula>NOT(ISERROR(SEARCH(".",H8)))</formula>
    </cfRule>
  </conditionalFormatting>
  <conditionalFormatting sqref="AY12 Z12 AC12:AD12">
    <cfRule type="expression" dxfId="207" priority="3">
      <formula>CELL("row")=ROW()</formula>
    </cfRule>
  </conditionalFormatting>
  <conditionalFormatting sqref="Z12 AY12 AC12:AD12">
    <cfRule type="containsText" dxfId="206" priority="2" operator="containsText" text=".">
      <formula>NOT(ISERROR(SEARCH(".",Z12)))</formula>
    </cfRule>
  </conditionalFormatting>
  <conditionalFormatting sqref="H18:I18">
    <cfRule type="containsText" dxfId="205" priority="1" operator="containsText" text=".">
      <formula>NOT(ISERROR(SEARCH(".",H18)))</formula>
    </cfRule>
  </conditionalFormatting>
  <conditionalFormatting sqref="CT7:CT28">
    <cfRule type="colorScale" priority="28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138" scale="13" orientation="landscape" horizontalDpi="1200" verticalDpi="120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1E1726-6CAE-4447-880D-7C554A08C16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13EE17F7-AAA9-4900-852F-7EA55E4210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C36</xm:sqref>
        </x14:conditionalFormatting>
        <x14:conditionalFormatting xmlns:xm="http://schemas.microsoft.com/office/excel/2006/main">
          <x14:cfRule type="dataBar" id="{1DE451AB-0268-466C-A8AE-07B083EC1E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C38</xm:sqref>
        </x14:conditionalFormatting>
        <x14:conditionalFormatting xmlns:xm="http://schemas.microsoft.com/office/excel/2006/main">
          <x14:cfRule type="dataBar" id="{9BE90960-2595-4B96-B47C-44BA2E6711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7692-DCF6-416A-8C03-C6E285898C95}">
  <sheetPr codeName="Hoja37">
    <pageSetUpPr fitToPage="1"/>
  </sheetPr>
  <dimension ref="A1:CX118"/>
  <sheetViews>
    <sheetView zoomScaleNormal="100" zoomScaleSheetLayoutView="70" workbookViewId="0">
      <pane xSplit="3" topLeftCell="CK1" activePane="topRight" state="frozen"/>
      <selection pane="topRight" activeCell="BZ8" sqref="BZ8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5" width="15" style="1" bestFit="1" customWidth="1"/>
    <col min="26" max="26" width="15" style="1" customWidth="1"/>
    <col min="27" max="27" width="12.85546875" style="1" hidden="1" customWidth="1"/>
    <col min="28" max="28" width="13.140625" style="1" hidden="1" customWidth="1"/>
    <col min="29" max="29" width="12.85546875" style="1" hidden="1" customWidth="1"/>
    <col min="30" max="30" width="9.5703125" style="1" hidden="1" customWidth="1"/>
    <col min="31" max="32" width="8.42578125" style="1" hidden="1" customWidth="1"/>
    <col min="33" max="33" width="15.7109375" style="1" hidden="1" customWidth="1"/>
    <col min="34" max="34" width="13.7109375" style="1" hidden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hidden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2.85546875" style="1" bestFit="1" customWidth="1"/>
    <col min="57" max="57" width="15.7109375" style="1" hidden="1" customWidth="1"/>
    <col min="58" max="58" width="14.140625" style="1" hidden="1" customWidth="1"/>
    <col min="59" max="59" width="13.42578125" style="1" customWidth="1"/>
    <col min="60" max="60" width="13.5703125" style="1" customWidth="1"/>
    <col min="61" max="61" width="14.85546875" style="1" hidden="1" customWidth="1"/>
    <col min="62" max="62" width="11.28515625" style="1" hidden="1" customWidth="1"/>
    <col min="63" max="63" width="10.5703125" style="1" hidden="1" customWidth="1"/>
    <col min="64" max="64" width="12.7109375" style="1" hidden="1" customWidth="1"/>
    <col min="65" max="66" width="18.140625" style="1" hidden="1" customWidth="1"/>
    <col min="67" max="67" width="22.7109375" style="1" customWidth="1"/>
    <col min="68" max="68" width="14.28515625" style="1" hidden="1" customWidth="1"/>
    <col min="69" max="69" width="16.28515625" style="1" hidden="1" customWidth="1"/>
    <col min="70" max="70" width="15.7109375" style="1" hidden="1" customWidth="1"/>
    <col min="71" max="71" width="11.5703125" style="1" hidden="1" customWidth="1"/>
    <col min="72" max="72" width="12.140625" style="1" hidden="1" customWidth="1"/>
    <col min="73" max="73" width="15.140625" style="1" customWidth="1"/>
    <col min="74" max="74" width="15.7109375" style="1" customWidth="1"/>
    <col min="75" max="75" width="13" style="1" hidden="1" customWidth="1"/>
    <col min="76" max="76" width="13.28515625" style="1" hidden="1" customWidth="1"/>
    <col min="77" max="77" width="15.140625" style="1" customWidth="1"/>
    <col min="78" max="78" width="15.7109375" style="1" customWidth="1"/>
    <col min="79" max="79" width="13.85546875" style="1" customWidth="1"/>
    <col min="80" max="80" width="15.85546875" style="1" customWidth="1"/>
    <col min="81" max="82" width="14.28515625" style="1" bestFit="1" customWidth="1"/>
    <col min="83" max="84" width="12.140625" style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54">
        <v>4129</v>
      </c>
      <c r="B2" s="155">
        <v>1.31</v>
      </c>
      <c r="C2" s="156">
        <v>1.1060000000000001</v>
      </c>
      <c r="D2" s="157">
        <v>395.32</v>
      </c>
      <c r="E2" s="157">
        <v>1.3133333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158">
        <v>4022</v>
      </c>
      <c r="B3" s="159">
        <v>1.31</v>
      </c>
      <c r="C3" s="159">
        <v>1.1060000000000001</v>
      </c>
      <c r="D3" s="160">
        <v>395.32</v>
      </c>
      <c r="E3" s="160">
        <v>1.31</v>
      </c>
      <c r="F3" s="32"/>
      <c r="H3" s="32"/>
      <c r="L3" s="32"/>
      <c r="T3" s="43"/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 thickBo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O4" s="78" t="s">
        <v>10</v>
      </c>
      <c r="CH4" s="80"/>
    </row>
    <row r="5" spans="1:102" s="4" customFormat="1" ht="43.5" customHeight="1" thickBo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19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29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 thickBo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148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141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141" t="s">
        <v>112</v>
      </c>
      <c r="BX6" s="141" t="s">
        <v>112</v>
      </c>
      <c r="BY6" s="82" t="s">
        <v>45</v>
      </c>
      <c r="BZ6" s="82" t="s">
        <v>46</v>
      </c>
      <c r="CA6" s="141" t="s">
        <v>53</v>
      </c>
      <c r="CB6" s="141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/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4835079</v>
      </c>
    </row>
    <row r="7" spans="1:102">
      <c r="A7" s="44"/>
      <c r="B7" s="45" t="s">
        <v>118</v>
      </c>
      <c r="C7" s="46" t="s">
        <v>119</v>
      </c>
      <c r="D7" s="102">
        <v>0</v>
      </c>
      <c r="E7" s="102">
        <v>0</v>
      </c>
      <c r="F7" s="98">
        <f>SUM((D7*2)*0.3)</f>
        <v>0</v>
      </c>
      <c r="G7" s="98">
        <f>SUM((E7*2)*0.3)</f>
        <v>0</v>
      </c>
      <c r="H7" s="98">
        <v>0</v>
      </c>
      <c r="I7" s="98">
        <v>0</v>
      </c>
      <c r="J7" s="98">
        <f>SUM(H7*0.78)*$C$2</f>
        <v>0</v>
      </c>
      <c r="K7" s="98">
        <f>SUM(I7*0.78)*$C$3</f>
        <v>0</v>
      </c>
      <c r="L7" s="103">
        <v>42.92</v>
      </c>
      <c r="M7" s="98">
        <f>L7</f>
        <v>42.92</v>
      </c>
      <c r="N7" s="98">
        <v>47.33</v>
      </c>
      <c r="O7" s="98">
        <v>31.6</v>
      </c>
      <c r="P7" s="98">
        <f>N7*$C$2</f>
        <v>52.346980000000002</v>
      </c>
      <c r="Q7" s="98">
        <f>O7*$C$3</f>
        <v>34.949600000000004</v>
      </c>
      <c r="R7" s="103">
        <v>26.66</v>
      </c>
      <c r="S7" s="98">
        <f>R7*$C$3</f>
        <v>29.485960000000002</v>
      </c>
      <c r="T7" s="103">
        <v>106.44</v>
      </c>
      <c r="U7" s="98">
        <v>94.82</v>
      </c>
      <c r="V7" s="98">
        <f>SUM(T7*($C$2))</f>
        <v>117.72264000000001</v>
      </c>
      <c r="W7" s="98">
        <f>SUM(U7*($C$3))</f>
        <v>104.87092</v>
      </c>
      <c r="X7" s="120">
        <v>2.5</v>
      </c>
      <c r="Y7" s="120">
        <v>0</v>
      </c>
      <c r="Z7" s="121"/>
      <c r="AA7" s="121">
        <f>SUM(X7*0.75)+(Z7*0.75)</f>
        <v>1.875</v>
      </c>
      <c r="AB7" s="121">
        <f>(Y7*0.75)+(Z7*0.75)</f>
        <v>0</v>
      </c>
      <c r="AC7" s="121">
        <v>0</v>
      </c>
      <c r="AD7" s="121">
        <v>0</v>
      </c>
      <c r="AE7" s="121">
        <f>AC7*0.75</f>
        <v>0</v>
      </c>
      <c r="AF7" s="121">
        <f>AD7*0.75</f>
        <v>0</v>
      </c>
      <c r="AG7" s="98"/>
      <c r="AH7" s="98"/>
      <c r="AI7" s="98">
        <f>AG7*0.75</f>
        <v>0</v>
      </c>
      <c r="AJ7" s="98">
        <f>AH7*0.75</f>
        <v>0</v>
      </c>
      <c r="AK7" s="103">
        <v>167.44</v>
      </c>
      <c r="AL7" s="98">
        <v>84.42</v>
      </c>
      <c r="AM7" s="98">
        <f>AK7*$C$2</f>
        <v>185.18864000000002</v>
      </c>
      <c r="AN7" s="98">
        <f>AL7*$C$3</f>
        <v>93.368520000000004</v>
      </c>
      <c r="AO7" s="98"/>
      <c r="AP7" s="98"/>
      <c r="AQ7" s="130"/>
      <c r="AR7" s="130"/>
      <c r="AS7" s="98"/>
      <c r="AT7" s="98">
        <f>AS7*$C$3</f>
        <v>0</v>
      </c>
      <c r="AU7" s="98"/>
      <c r="AV7" s="149">
        <f>AU7*$C$3</f>
        <v>0</v>
      </c>
      <c r="AW7" s="98">
        <v>166.68</v>
      </c>
      <c r="AX7" s="98">
        <v>98.68</v>
      </c>
      <c r="AY7" s="98"/>
      <c r="AZ7" s="98">
        <f>AY7*$D$2</f>
        <v>0</v>
      </c>
      <c r="BA7" s="98">
        <v>44.92</v>
      </c>
      <c r="BB7" s="98">
        <v>127.64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>BH7*$C$3</f>
        <v>0</v>
      </c>
      <c r="BK7" s="98"/>
      <c r="BL7" s="98"/>
      <c r="BM7" s="98">
        <v>0</v>
      </c>
      <c r="BN7" s="98">
        <f>BM7*$C$3</f>
        <v>0</v>
      </c>
      <c r="BO7" s="105">
        <v>204.37</v>
      </c>
      <c r="BP7" s="149">
        <f>BO7*$C$3</f>
        <v>226.03322000000003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42">
        <f>BU7*$E$2</f>
        <v>0</v>
      </c>
      <c r="BX7" s="142">
        <f>BV7*$E$3</f>
        <v>0</v>
      </c>
      <c r="BY7" s="110">
        <v>8.25</v>
      </c>
      <c r="BZ7" s="110">
        <v>64.02</v>
      </c>
      <c r="CA7" s="142">
        <f>BY7/2</f>
        <v>4.125</v>
      </c>
      <c r="CB7" s="142">
        <f>BZ7/2</f>
        <v>32.01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3325000</v>
      </c>
      <c r="CI7" s="72"/>
      <c r="CJ7" s="72"/>
      <c r="CK7" s="53">
        <v>1560000</v>
      </c>
      <c r="CL7" s="72"/>
      <c r="CM7" s="53">
        <v>1765000</v>
      </c>
      <c r="CN7" s="72"/>
      <c r="CO7" s="72"/>
      <c r="CP7" s="90"/>
      <c r="CQ7" s="68">
        <v>0</v>
      </c>
      <c r="CR7" s="69">
        <f>SUM(AO7,AQ7,F7,P7,BS7,AM7,AA7,AE7,J7,AI7,V7,BA7,BE7,CE7,AW7,CA7,BW7)</f>
        <v>572.85826000000009</v>
      </c>
      <c r="CS7" s="69">
        <f>SUM(AP7,AR7,G7,Q7,BN7,AZ7,M7,BT7,AN7,S7,AB7,AF7,K7,AJ7,BI7,W7,BB7,BF7,CF7,BP7,BL7,CG7,AT7,AV7,AX7,CB7,BX7)</f>
        <v>789.95821999999998</v>
      </c>
      <c r="CT7" s="70">
        <f t="shared" ref="CT7:CT26" si="0">(((CR7*$A$2)+(CS7*$A$3))*0.6)+((BJ7*$A$3)*0.75)</f>
        <v>3325526.2298280001</v>
      </c>
      <c r="CU7" s="70">
        <f t="shared" ref="CU7:CU26" si="1">((CR7*$A$2)+(CS7*$A$3))*0.4+((BJ7*$A$3)*0.25)</f>
        <v>2217017.486552</v>
      </c>
      <c r="CV7" s="143">
        <f>CT7-CH7</f>
        <v>526.22982800006866</v>
      </c>
      <c r="CW7" s="1" t="s">
        <v>120</v>
      </c>
      <c r="CX7" s="126">
        <v>1494353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ref="F8:G20" si="2">SUM((D8*2)*0.3)</f>
        <v>0</v>
      </c>
      <c r="G8" s="98">
        <f t="shared" si="2"/>
        <v>0</v>
      </c>
      <c r="H8" s="98">
        <v>52</v>
      </c>
      <c r="I8" s="98">
        <v>9.67</v>
      </c>
      <c r="J8" s="98">
        <f t="shared" ref="J8:J26" si="3">SUM(H8*0.78)*$C$2</f>
        <v>44.859360000000009</v>
      </c>
      <c r="K8" s="98">
        <f t="shared" ref="K8:K26" si="4">SUM(I8*0.78)*$C$3</f>
        <v>8.3421156000000014</v>
      </c>
      <c r="L8" s="103">
        <v>67.819999999999993</v>
      </c>
      <c r="M8" s="98">
        <f t="shared" ref="M8:M26" si="5">L8</f>
        <v>67.819999999999993</v>
      </c>
      <c r="N8" s="99"/>
      <c r="O8" s="99"/>
      <c r="P8" s="98">
        <f t="shared" ref="P8:P26" si="6">N8*$C$2</f>
        <v>0</v>
      </c>
      <c r="Q8" s="98">
        <f t="shared" ref="Q8:Q26" si="7">O8*$C$3</f>
        <v>0</v>
      </c>
      <c r="R8" s="103"/>
      <c r="S8" s="98">
        <f t="shared" ref="S8:S26" si="8">R8*$C$3</f>
        <v>0</v>
      </c>
      <c r="T8" s="103">
        <v>41.71</v>
      </c>
      <c r="U8" s="98">
        <v>14.02</v>
      </c>
      <c r="V8" s="98">
        <f t="shared" ref="V8:V26" si="9">SUM(T8*($C$2))</f>
        <v>46.131260000000005</v>
      </c>
      <c r="W8" s="98">
        <f t="shared" ref="W8:W26" si="10">SUM(U8*($C$3))</f>
        <v>15.506120000000001</v>
      </c>
      <c r="X8" s="120">
        <v>101.5</v>
      </c>
      <c r="Y8" s="120">
        <v>204.5</v>
      </c>
      <c r="Z8" s="119"/>
      <c r="AA8" s="121">
        <f t="shared" ref="AA8:AA26" si="11">SUM(X8*0.75)+(Z8*0.75)</f>
        <v>76.125</v>
      </c>
      <c r="AB8" s="121">
        <f t="shared" ref="AB8:AB26" si="12">(Y8*0.75)+(Z8*0.75)</f>
        <v>153.375</v>
      </c>
      <c r="AC8" s="119"/>
      <c r="AD8" s="119"/>
      <c r="AE8" s="121">
        <f t="shared" ref="AE8:AF26" si="13">AC8*0.75</f>
        <v>0</v>
      </c>
      <c r="AF8" s="121">
        <f t="shared" si="13"/>
        <v>0</v>
      </c>
      <c r="AG8" s="98"/>
      <c r="AH8" s="98"/>
      <c r="AI8" s="98">
        <f t="shared" ref="AI8:AJ26" si="14">AG8*0.75</f>
        <v>0</v>
      </c>
      <c r="AJ8" s="98">
        <f t="shared" si="14"/>
        <v>0</v>
      </c>
      <c r="AK8" s="103">
        <v>32.56</v>
      </c>
      <c r="AL8" s="98">
        <v>54.17</v>
      </c>
      <c r="AM8" s="98">
        <f t="shared" ref="AM8:AM26" si="15">AK8*$C$2</f>
        <v>36.011360000000003</v>
      </c>
      <c r="AN8" s="98">
        <f t="shared" ref="AN8:AN26" si="16">AL8*$C$3</f>
        <v>59.912020000000005</v>
      </c>
      <c r="AO8" s="99">
        <v>50.59</v>
      </c>
      <c r="AP8" s="99">
        <v>116.74</v>
      </c>
      <c r="AQ8" s="131"/>
      <c r="AR8" s="131"/>
      <c r="AS8" s="99"/>
      <c r="AT8" s="98">
        <f t="shared" ref="AT8:AT26" si="17">AS8*$C$3</f>
        <v>0</v>
      </c>
      <c r="AU8" s="99"/>
      <c r="AV8" s="149">
        <f t="shared" ref="AV8:AV26" si="18">AU8*$C$3</f>
        <v>0</v>
      </c>
      <c r="AW8" s="98">
        <v>17.96</v>
      </c>
      <c r="AX8" s="98">
        <v>14.72</v>
      </c>
      <c r="AY8" s="99"/>
      <c r="AZ8" s="98">
        <f t="shared" ref="AZ8:AZ26" si="19">AY8*$D$2</f>
        <v>0</v>
      </c>
      <c r="BA8" s="99"/>
      <c r="BB8" s="99"/>
      <c r="BC8" s="99">
        <f>49.7+16+16+20+6</f>
        <v>107.7</v>
      </c>
      <c r="BD8" s="99">
        <f>31.7+1-0.03</f>
        <v>32.67</v>
      </c>
      <c r="BE8" s="98">
        <f t="shared" ref="BE8:BE26" si="20">SUM(BC8*0.62)*$B$2</f>
        <v>87.473939999999999</v>
      </c>
      <c r="BF8" s="98">
        <f t="shared" ref="BF8:BF26" si="21">SUM(BD8*0.62)*$B$3</f>
        <v>26.534574000000003</v>
      </c>
      <c r="BG8" s="98">
        <v>54.5</v>
      </c>
      <c r="BH8" s="98">
        <v>5.51</v>
      </c>
      <c r="BI8" s="98">
        <f t="shared" ref="BI8:BI26" si="22">(BG8*$C$3)</f>
        <v>60.277000000000008</v>
      </c>
      <c r="BJ8" s="98">
        <f t="shared" ref="BJ8:BJ26" si="23">BH8*$C$3</f>
        <v>6.0940600000000007</v>
      </c>
      <c r="BK8" s="99"/>
      <c r="BL8" s="99"/>
      <c r="BM8" s="99"/>
      <c r="BN8" s="98">
        <f t="shared" ref="BN8:BN26" si="24">BM8*$C$3</f>
        <v>0</v>
      </c>
      <c r="BO8" s="105">
        <v>139.21</v>
      </c>
      <c r="BP8" s="149">
        <f t="shared" ref="BP8:BP26" si="25">BO8*$C$3</f>
        <v>153.96626000000003</v>
      </c>
      <c r="BQ8" s="113">
        <v>0</v>
      </c>
      <c r="BR8" s="113">
        <v>0</v>
      </c>
      <c r="BS8" s="104">
        <f t="shared" ref="BS8:BS26" si="26">(BQ8/$D$2)*$C$2</f>
        <v>0</v>
      </c>
      <c r="BT8" s="104">
        <f t="shared" ref="BT8:BT26" si="27">(BR8/$D$3)*$C$3</f>
        <v>0</v>
      </c>
      <c r="BU8" s="105">
        <v>14.2</v>
      </c>
      <c r="BV8" s="105">
        <v>0</v>
      </c>
      <c r="BW8" s="142">
        <f t="shared" ref="BW8:BW26" si="28">BU8*$E$2</f>
        <v>18.649332860000001</v>
      </c>
      <c r="BX8" s="142">
        <f t="shared" ref="BX8:BX26" si="29">BV8*$E$3</f>
        <v>0</v>
      </c>
      <c r="BY8" s="110">
        <v>18.38</v>
      </c>
      <c r="BZ8" s="110">
        <v>210.64</v>
      </c>
      <c r="CA8" s="142">
        <f t="shared" ref="CA8:CB26" si="30">BY8/2</f>
        <v>9.19</v>
      </c>
      <c r="CB8" s="142">
        <f t="shared" si="30"/>
        <v>105.32</v>
      </c>
      <c r="CC8" s="109">
        <v>0</v>
      </c>
      <c r="CD8" s="109">
        <v>0</v>
      </c>
      <c r="CE8" s="98">
        <f t="shared" ref="CE8:CF26" si="31">CC8*0.05</f>
        <v>0</v>
      </c>
      <c r="CF8" s="107">
        <f t="shared" si="31"/>
        <v>0</v>
      </c>
      <c r="CG8" s="81"/>
      <c r="CH8" s="65">
        <f t="shared" ref="CH8:CH26" si="32">SUM(CI8:CO8)</f>
        <v>2865000</v>
      </c>
      <c r="CI8" s="73"/>
      <c r="CJ8" s="125">
        <v>500000</v>
      </c>
      <c r="CK8" s="66">
        <v>1045000</v>
      </c>
      <c r="CL8" s="73"/>
      <c r="CM8" s="66">
        <v>1320000</v>
      </c>
      <c r="CN8" s="73"/>
      <c r="CO8" s="73"/>
      <c r="CP8" s="90"/>
      <c r="CQ8" s="68">
        <v>0</v>
      </c>
      <c r="CR8" s="69">
        <f t="shared" ref="CR8:CR26" si="33">SUM(AO8,AQ8,F8,P8,BS8,AM8,AA8,AE8,J8,AI8,V8,BA8,BE8,CE8,AW8,CA8,BW8)</f>
        <v>386.99025286</v>
      </c>
      <c r="CS8" s="69">
        <f t="shared" ref="CS8:CS26" si="34">SUM(AP8,AR8,G8,Q8,BN8,AZ8,M8,BT8,AN8,S8,AB8,AF8,K8,AJ8,BI8,W8,BB8,BF8,CF8,BP8,BL8,CG8,AT8,AV8,AX8,CB8,BX8)</f>
        <v>782.51308960000006</v>
      </c>
      <c r="CT8" s="70">
        <f t="shared" si="0"/>
        <v>2865472.9722480844</v>
      </c>
      <c r="CU8" s="70">
        <f t="shared" si="1"/>
        <v>1904187.7375020562</v>
      </c>
      <c r="CV8" s="70">
        <f t="shared" ref="CV8:CV26" si="35">CT8-CH8</f>
        <v>472.9722480843775</v>
      </c>
      <c r="CW8" s="15" t="s">
        <v>123</v>
      </c>
      <c r="CX8" s="127">
        <v>174350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2"/>
        <v>0</v>
      </c>
      <c r="G9" s="98">
        <f t="shared" si="2"/>
        <v>0</v>
      </c>
      <c r="H9" s="98"/>
      <c r="I9" s="98"/>
      <c r="J9" s="98">
        <f t="shared" si="3"/>
        <v>0</v>
      </c>
      <c r="K9" s="98">
        <f t="shared" si="4"/>
        <v>0</v>
      </c>
      <c r="L9" s="103">
        <v>46.57</v>
      </c>
      <c r="M9" s="98">
        <f t="shared" si="5"/>
        <v>46.57</v>
      </c>
      <c r="N9" s="98"/>
      <c r="O9" s="98"/>
      <c r="P9" s="98">
        <f t="shared" si="6"/>
        <v>0</v>
      </c>
      <c r="Q9" s="98">
        <f t="shared" si="7"/>
        <v>0</v>
      </c>
      <c r="R9" s="103">
        <v>53.58</v>
      </c>
      <c r="S9" s="98">
        <f t="shared" si="8"/>
        <v>59.259480000000003</v>
      </c>
      <c r="T9" s="103">
        <v>18.350000000000001</v>
      </c>
      <c r="U9" s="98">
        <v>2.5</v>
      </c>
      <c r="V9" s="98">
        <f t="shared" si="9"/>
        <v>20.295100000000005</v>
      </c>
      <c r="W9" s="98">
        <f t="shared" si="10"/>
        <v>2.7650000000000001</v>
      </c>
      <c r="X9" s="120">
        <v>9</v>
      </c>
      <c r="Y9" s="120">
        <v>0</v>
      </c>
      <c r="Z9" s="121"/>
      <c r="AA9" s="121">
        <f t="shared" si="11"/>
        <v>6.75</v>
      </c>
      <c r="AB9" s="121">
        <f t="shared" si="12"/>
        <v>0</v>
      </c>
      <c r="AC9" s="123">
        <v>0</v>
      </c>
      <c r="AD9" s="123">
        <v>0</v>
      </c>
      <c r="AE9" s="121">
        <f t="shared" si="13"/>
        <v>0</v>
      </c>
      <c r="AF9" s="121">
        <f t="shared" si="13"/>
        <v>0</v>
      </c>
      <c r="AG9" s="98"/>
      <c r="AH9" s="98"/>
      <c r="AI9" s="98">
        <f t="shared" si="14"/>
        <v>0</v>
      </c>
      <c r="AJ9" s="98">
        <f t="shared" si="14"/>
        <v>0</v>
      </c>
      <c r="AK9" s="103">
        <v>35.119999999999997</v>
      </c>
      <c r="AL9" s="98">
        <v>20.97</v>
      </c>
      <c r="AM9" s="98">
        <f t="shared" si="15"/>
        <v>38.84272</v>
      </c>
      <c r="AN9" s="98">
        <f t="shared" si="16"/>
        <v>23.192820000000001</v>
      </c>
      <c r="AO9" s="98"/>
      <c r="AP9" s="98"/>
      <c r="AQ9" s="130"/>
      <c r="AR9" s="130"/>
      <c r="AS9" s="99"/>
      <c r="AT9" s="98">
        <f t="shared" si="17"/>
        <v>0</v>
      </c>
      <c r="AU9" s="98"/>
      <c r="AV9" s="149">
        <f t="shared" si="18"/>
        <v>0</v>
      </c>
      <c r="AW9" s="98">
        <v>10.71</v>
      </c>
      <c r="AX9" s="98">
        <v>0</v>
      </c>
      <c r="AY9" s="98"/>
      <c r="AZ9" s="98">
        <f t="shared" si="19"/>
        <v>0</v>
      </c>
      <c r="BA9" s="98"/>
      <c r="BB9" s="98"/>
      <c r="BC9" s="98"/>
      <c r="BD9" s="98"/>
      <c r="BE9" s="98">
        <f t="shared" si="20"/>
        <v>0</v>
      </c>
      <c r="BF9" s="98">
        <f t="shared" si="21"/>
        <v>0</v>
      </c>
      <c r="BG9" s="98">
        <v>28.02</v>
      </c>
      <c r="BH9" s="98">
        <v>0</v>
      </c>
      <c r="BI9" s="98">
        <f t="shared" si="22"/>
        <v>30.990120000000001</v>
      </c>
      <c r="BJ9" s="98">
        <f t="shared" si="23"/>
        <v>0</v>
      </c>
      <c r="BK9" s="98"/>
      <c r="BL9" s="98"/>
      <c r="BM9" s="98"/>
      <c r="BN9" s="98">
        <f t="shared" si="24"/>
        <v>0</v>
      </c>
      <c r="BO9" s="105">
        <v>21.54</v>
      </c>
      <c r="BP9" s="149">
        <f t="shared" si="25"/>
        <v>23.823240000000002</v>
      </c>
      <c r="BQ9" s="112">
        <v>0</v>
      </c>
      <c r="BR9" s="112">
        <v>0</v>
      </c>
      <c r="BS9" s="104">
        <f>(BQ9/$D$2)*$C$2</f>
        <v>0</v>
      </c>
      <c r="BT9" s="104">
        <f t="shared" si="27"/>
        <v>0</v>
      </c>
      <c r="BU9" s="105">
        <v>50.94</v>
      </c>
      <c r="BV9" s="105">
        <v>0</v>
      </c>
      <c r="BW9" s="142">
        <f t="shared" si="28"/>
        <v>66.901198301999997</v>
      </c>
      <c r="BX9" s="142">
        <f t="shared" si="29"/>
        <v>0</v>
      </c>
      <c r="BY9" s="110">
        <v>199.04</v>
      </c>
      <c r="BZ9" s="110">
        <v>103.04</v>
      </c>
      <c r="CA9" s="142">
        <f t="shared" si="30"/>
        <v>99.52</v>
      </c>
      <c r="CB9" s="142">
        <f t="shared" si="30"/>
        <v>51.52</v>
      </c>
      <c r="CC9" s="106"/>
      <c r="CD9" s="106"/>
      <c r="CE9" s="98">
        <f t="shared" si="31"/>
        <v>0</v>
      </c>
      <c r="CF9" s="107">
        <f t="shared" si="31"/>
        <v>0</v>
      </c>
      <c r="CG9" s="89"/>
      <c r="CH9" s="65">
        <f t="shared" si="32"/>
        <v>1180000</v>
      </c>
      <c r="CI9" s="73"/>
      <c r="CJ9" s="73"/>
      <c r="CK9" s="66">
        <v>860000</v>
      </c>
      <c r="CL9" s="73"/>
      <c r="CM9" s="66">
        <v>320000</v>
      </c>
      <c r="CN9" s="73"/>
      <c r="CO9" s="73"/>
      <c r="CP9" s="90"/>
      <c r="CQ9" s="68">
        <v>0</v>
      </c>
      <c r="CR9" s="69">
        <f t="shared" si="33"/>
        <v>243.01901830200001</v>
      </c>
      <c r="CS9" s="69">
        <f t="shared" si="34"/>
        <v>238.12065999999999</v>
      </c>
      <c r="CT9" s="70">
        <f t="shared" si="0"/>
        <v>1176688.0926533749</v>
      </c>
      <c r="CU9" s="70">
        <f t="shared" si="1"/>
        <v>784458.7284355833</v>
      </c>
      <c r="CV9" s="70">
        <f t="shared" si="35"/>
        <v>-3311.9073466251139</v>
      </c>
      <c r="CW9" s="87" t="s">
        <v>126</v>
      </c>
      <c r="CX9" s="87">
        <v>2880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2"/>
        <v>0</v>
      </c>
      <c r="G10" s="98">
        <f t="shared" si="2"/>
        <v>0</v>
      </c>
      <c r="H10" s="98">
        <v>0</v>
      </c>
      <c r="I10" s="98">
        <v>10</v>
      </c>
      <c r="J10" s="98">
        <f t="shared" si="3"/>
        <v>0</v>
      </c>
      <c r="K10" s="98">
        <f t="shared" si="4"/>
        <v>8.6268000000000011</v>
      </c>
      <c r="L10" s="103">
        <v>93.49</v>
      </c>
      <c r="M10" s="98">
        <f t="shared" si="5"/>
        <v>93.49</v>
      </c>
      <c r="N10" s="99"/>
      <c r="O10" s="99"/>
      <c r="P10" s="98">
        <f t="shared" si="6"/>
        <v>0</v>
      </c>
      <c r="Q10" s="98">
        <f t="shared" si="7"/>
        <v>0</v>
      </c>
      <c r="R10" s="103">
        <v>138.22999999999999</v>
      </c>
      <c r="S10" s="98">
        <f t="shared" si="8"/>
        <v>152.88238000000001</v>
      </c>
      <c r="T10" s="103">
        <v>31.45</v>
      </c>
      <c r="U10" s="98">
        <v>33.89</v>
      </c>
      <c r="V10" s="98">
        <f t="shared" si="9"/>
        <v>34.783700000000003</v>
      </c>
      <c r="W10" s="98">
        <f t="shared" si="10"/>
        <v>37.482340000000001</v>
      </c>
      <c r="X10" s="120">
        <v>0</v>
      </c>
      <c r="Y10" s="120">
        <v>0</v>
      </c>
      <c r="Z10" s="119"/>
      <c r="AA10" s="121">
        <f t="shared" si="11"/>
        <v>0</v>
      </c>
      <c r="AB10" s="121">
        <f t="shared" si="12"/>
        <v>0</v>
      </c>
      <c r="AC10" s="122">
        <v>0</v>
      </c>
      <c r="AD10" s="122">
        <v>0</v>
      </c>
      <c r="AE10" s="121">
        <f t="shared" si="13"/>
        <v>0</v>
      </c>
      <c r="AF10" s="121">
        <f t="shared" si="13"/>
        <v>0</v>
      </c>
      <c r="AG10" s="98">
        <v>0</v>
      </c>
      <c r="AH10" s="98">
        <v>0</v>
      </c>
      <c r="AI10" s="98">
        <f t="shared" si="14"/>
        <v>0</v>
      </c>
      <c r="AJ10" s="98">
        <f t="shared" si="14"/>
        <v>0</v>
      </c>
      <c r="AK10" s="103">
        <v>92.71</v>
      </c>
      <c r="AL10" s="98">
        <v>138.12</v>
      </c>
      <c r="AM10" s="98">
        <f t="shared" si="15"/>
        <v>102.53726</v>
      </c>
      <c r="AN10" s="98">
        <f t="shared" si="16"/>
        <v>152.76072000000002</v>
      </c>
      <c r="AO10" s="98"/>
      <c r="AP10" s="98"/>
      <c r="AQ10" s="131">
        <v>0</v>
      </c>
      <c r="AR10" s="131"/>
      <c r="AS10" s="99"/>
      <c r="AT10" s="98">
        <f t="shared" si="17"/>
        <v>0</v>
      </c>
      <c r="AU10" s="99"/>
      <c r="AV10" s="149">
        <f t="shared" si="18"/>
        <v>0</v>
      </c>
      <c r="AW10" s="98">
        <v>42.15</v>
      </c>
      <c r="AX10" s="98">
        <v>30.33</v>
      </c>
      <c r="AY10" s="99"/>
      <c r="AZ10" s="98">
        <f t="shared" si="19"/>
        <v>0</v>
      </c>
      <c r="BA10" s="99"/>
      <c r="BB10" s="99"/>
      <c r="BC10" s="99"/>
      <c r="BD10" s="99"/>
      <c r="BE10" s="98">
        <f t="shared" si="20"/>
        <v>0</v>
      </c>
      <c r="BF10" s="98">
        <f t="shared" si="21"/>
        <v>0</v>
      </c>
      <c r="BG10" s="98">
        <v>39.72</v>
      </c>
      <c r="BH10" s="98">
        <v>0</v>
      </c>
      <c r="BI10" s="98">
        <f t="shared" si="22"/>
        <v>43.930320000000002</v>
      </c>
      <c r="BJ10" s="98">
        <f t="shared" si="23"/>
        <v>0</v>
      </c>
      <c r="BK10" s="99"/>
      <c r="BL10" s="99"/>
      <c r="BM10" s="98"/>
      <c r="BN10" s="98">
        <f t="shared" si="24"/>
        <v>0</v>
      </c>
      <c r="BO10" s="105">
        <v>75.48</v>
      </c>
      <c r="BP10" s="149">
        <f t="shared" si="25"/>
        <v>83.480880000000013</v>
      </c>
      <c r="BQ10" s="113"/>
      <c r="BR10" s="113"/>
      <c r="BS10" s="104">
        <f t="shared" si="26"/>
        <v>0</v>
      </c>
      <c r="BT10" s="104">
        <f t="shared" si="27"/>
        <v>0</v>
      </c>
      <c r="BU10" s="105">
        <v>0</v>
      </c>
      <c r="BV10" s="105">
        <v>0</v>
      </c>
      <c r="BW10" s="142">
        <f t="shared" si="28"/>
        <v>0</v>
      </c>
      <c r="BX10" s="142">
        <f t="shared" si="29"/>
        <v>0</v>
      </c>
      <c r="BY10" s="111"/>
      <c r="BZ10" s="111"/>
      <c r="CA10" s="142">
        <f t="shared" si="30"/>
        <v>0</v>
      </c>
      <c r="CB10" s="142">
        <f t="shared" si="30"/>
        <v>0</v>
      </c>
      <c r="CC10" s="109"/>
      <c r="CD10" s="109"/>
      <c r="CE10" s="98">
        <f t="shared" si="31"/>
        <v>0</v>
      </c>
      <c r="CF10" s="107">
        <f t="shared" si="31"/>
        <v>0</v>
      </c>
      <c r="CG10" s="89"/>
      <c r="CH10" s="65">
        <f t="shared" si="32"/>
        <v>1900000</v>
      </c>
      <c r="CI10" s="73"/>
      <c r="CJ10" s="73"/>
      <c r="CK10" s="66">
        <v>850000</v>
      </c>
      <c r="CL10" s="73"/>
      <c r="CM10" s="66">
        <v>1050000</v>
      </c>
      <c r="CN10" s="73"/>
      <c r="CO10" s="73"/>
      <c r="CP10" s="90"/>
      <c r="CQ10" s="68">
        <v>0</v>
      </c>
      <c r="CR10" s="69">
        <f t="shared" si="33"/>
        <v>179.47096000000002</v>
      </c>
      <c r="CS10" s="69">
        <f>SUM(AP10,AR10,G10,Q10,BN10,AZ10,M10,BT10,AN10,S10,AB10,AF10,K10,AJ10,BI10,W10,BB10,BF10,CF10,BP10,BL10,CG10,AT10,AV10,AX10,CB10,BX10)</f>
        <v>602.98344000000009</v>
      </c>
      <c r="CT10" s="70">
        <f t="shared" si="0"/>
        <v>1899740.9937120003</v>
      </c>
      <c r="CU10" s="70">
        <f t="shared" si="1"/>
        <v>1266493.9958080004</v>
      </c>
      <c r="CV10" s="70">
        <f t="shared" si="35"/>
        <v>-259.00628799968399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2"/>
        <v>0</v>
      </c>
      <c r="G11" s="98">
        <f t="shared" si="2"/>
        <v>0</v>
      </c>
      <c r="H11" s="98">
        <v>0</v>
      </c>
      <c r="I11" s="98">
        <v>0</v>
      </c>
      <c r="J11" s="98">
        <f t="shared" si="3"/>
        <v>0</v>
      </c>
      <c r="K11" s="98">
        <f t="shared" si="4"/>
        <v>0</v>
      </c>
      <c r="L11" s="103">
        <v>39.03</v>
      </c>
      <c r="M11" s="98">
        <f t="shared" si="5"/>
        <v>39.03</v>
      </c>
      <c r="N11" s="98"/>
      <c r="O11" s="98"/>
      <c r="P11" s="98">
        <f t="shared" si="6"/>
        <v>0</v>
      </c>
      <c r="Q11" s="98">
        <f t="shared" si="7"/>
        <v>0</v>
      </c>
      <c r="R11" s="103">
        <v>49.23</v>
      </c>
      <c r="S11" s="98">
        <f t="shared" si="8"/>
        <v>54.44838</v>
      </c>
      <c r="T11" s="103">
        <v>8.8699999999999992</v>
      </c>
      <c r="U11" s="98">
        <v>7.03</v>
      </c>
      <c r="V11" s="98">
        <f t="shared" si="9"/>
        <v>9.8102199999999993</v>
      </c>
      <c r="W11" s="98">
        <f t="shared" si="10"/>
        <v>7.7751800000000006</v>
      </c>
      <c r="X11" s="120">
        <v>0</v>
      </c>
      <c r="Y11" s="120">
        <v>0</v>
      </c>
      <c r="Z11" s="121"/>
      <c r="AA11" s="121">
        <f t="shared" si="11"/>
        <v>0</v>
      </c>
      <c r="AB11" s="121">
        <f t="shared" si="12"/>
        <v>0</v>
      </c>
      <c r="AC11" s="123">
        <v>0</v>
      </c>
      <c r="AD11" s="123">
        <v>0</v>
      </c>
      <c r="AE11" s="121">
        <f t="shared" si="13"/>
        <v>0</v>
      </c>
      <c r="AF11" s="121">
        <f t="shared" si="13"/>
        <v>0</v>
      </c>
      <c r="AG11" s="98"/>
      <c r="AH11" s="98"/>
      <c r="AI11" s="98">
        <f t="shared" si="14"/>
        <v>0</v>
      </c>
      <c r="AJ11" s="98">
        <f t="shared" si="14"/>
        <v>0</v>
      </c>
      <c r="AK11" s="103">
        <v>85.93</v>
      </c>
      <c r="AL11" s="98">
        <v>124.71</v>
      </c>
      <c r="AM11" s="98">
        <f t="shared" si="15"/>
        <v>95.03858000000001</v>
      </c>
      <c r="AN11" s="98">
        <f t="shared" si="16"/>
        <v>137.92926</v>
      </c>
      <c r="AO11" s="98"/>
      <c r="AP11" s="98"/>
      <c r="AQ11" s="131">
        <v>53.31</v>
      </c>
      <c r="AR11" s="131">
        <v>11.81</v>
      </c>
      <c r="AS11" s="99"/>
      <c r="AT11" s="98">
        <f t="shared" si="17"/>
        <v>0</v>
      </c>
      <c r="AU11" s="98"/>
      <c r="AV11" s="149">
        <f t="shared" si="18"/>
        <v>0</v>
      </c>
      <c r="AW11" s="98">
        <v>69.489999999999995</v>
      </c>
      <c r="AX11" s="98">
        <v>116.34</v>
      </c>
      <c r="AY11" s="98"/>
      <c r="AZ11" s="98">
        <f t="shared" si="19"/>
        <v>0</v>
      </c>
      <c r="BA11" s="98"/>
      <c r="BB11" s="98"/>
      <c r="BC11" s="98"/>
      <c r="BD11" s="98"/>
      <c r="BE11" s="98">
        <f t="shared" si="20"/>
        <v>0</v>
      </c>
      <c r="BF11" s="98">
        <f t="shared" si="21"/>
        <v>0</v>
      </c>
      <c r="BG11" s="98">
        <v>26.66</v>
      </c>
      <c r="BH11" s="98">
        <v>0</v>
      </c>
      <c r="BI11" s="98">
        <f t="shared" si="22"/>
        <v>29.485960000000002</v>
      </c>
      <c r="BJ11" s="98">
        <f t="shared" si="23"/>
        <v>0</v>
      </c>
      <c r="BK11" s="98"/>
      <c r="BL11" s="98"/>
      <c r="BM11" s="98"/>
      <c r="BN11" s="98">
        <f t="shared" si="24"/>
        <v>0</v>
      </c>
      <c r="BO11" s="105">
        <v>47.08</v>
      </c>
      <c r="BP11" s="149">
        <f t="shared" si="25"/>
        <v>52.070480000000003</v>
      </c>
      <c r="BQ11" s="112">
        <v>0</v>
      </c>
      <c r="BR11" s="112">
        <v>0</v>
      </c>
      <c r="BS11" s="104">
        <f t="shared" si="26"/>
        <v>0</v>
      </c>
      <c r="BT11" s="104">
        <f t="shared" si="27"/>
        <v>0</v>
      </c>
      <c r="BU11" s="105">
        <v>0.5</v>
      </c>
      <c r="BV11" s="105">
        <v>13.22</v>
      </c>
      <c r="BW11" s="142">
        <f t="shared" si="28"/>
        <v>0.65666665000000002</v>
      </c>
      <c r="BX11" s="142">
        <f t="shared" si="29"/>
        <v>17.318200000000001</v>
      </c>
      <c r="BY11" s="110">
        <v>0</v>
      </c>
      <c r="BZ11" s="110">
        <v>0</v>
      </c>
      <c r="CA11" s="142">
        <f t="shared" si="30"/>
        <v>0</v>
      </c>
      <c r="CB11" s="142">
        <f t="shared" si="30"/>
        <v>0</v>
      </c>
      <c r="CC11" s="106"/>
      <c r="CD11" s="106"/>
      <c r="CE11" s="98">
        <f t="shared" si="31"/>
        <v>0</v>
      </c>
      <c r="CF11" s="107">
        <f t="shared" si="31"/>
        <v>0</v>
      </c>
      <c r="CG11" s="89"/>
      <c r="CH11" s="65">
        <f t="shared" si="32"/>
        <v>1690000</v>
      </c>
      <c r="CI11" s="73"/>
      <c r="CJ11" s="73"/>
      <c r="CK11" s="66">
        <v>800000</v>
      </c>
      <c r="CL11" s="73"/>
      <c r="CM11" s="66">
        <v>890000</v>
      </c>
      <c r="CN11" s="73"/>
      <c r="CO11" s="73"/>
      <c r="CP11" s="90"/>
      <c r="CQ11" s="68">
        <v>0</v>
      </c>
      <c r="CR11" s="69">
        <f t="shared" si="33"/>
        <v>228.30546665</v>
      </c>
      <c r="CS11" s="69">
        <f t="shared" si="34"/>
        <v>466.20746000000003</v>
      </c>
      <c r="CT11" s="70">
        <f t="shared" si="0"/>
        <v>1690655.8055507098</v>
      </c>
      <c r="CU11" s="70">
        <f t="shared" si="1"/>
        <v>1127103.87036714</v>
      </c>
      <c r="CV11" s="70">
        <f t="shared" si="35"/>
        <v>655.80555070983246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2.5</v>
      </c>
      <c r="E12" s="102">
        <v>3.2</v>
      </c>
      <c r="F12" s="98">
        <f t="shared" si="2"/>
        <v>1.5</v>
      </c>
      <c r="G12" s="98">
        <f t="shared" si="2"/>
        <v>1.92</v>
      </c>
      <c r="H12" s="98"/>
      <c r="I12" s="98"/>
      <c r="J12" s="98">
        <f t="shared" si="3"/>
        <v>0</v>
      </c>
      <c r="K12" s="98">
        <f t="shared" si="4"/>
        <v>0</v>
      </c>
      <c r="L12" s="103">
        <v>10.54</v>
      </c>
      <c r="M12" s="98">
        <f t="shared" si="5"/>
        <v>10.54</v>
      </c>
      <c r="N12" s="99"/>
      <c r="O12" s="99"/>
      <c r="P12" s="98">
        <f t="shared" si="6"/>
        <v>0</v>
      </c>
      <c r="Q12" s="98">
        <f t="shared" si="7"/>
        <v>0</v>
      </c>
      <c r="R12" s="103">
        <v>2.5299999999999998</v>
      </c>
      <c r="S12" s="98">
        <f t="shared" si="8"/>
        <v>2.7981799999999999</v>
      </c>
      <c r="T12" s="103">
        <v>9.85</v>
      </c>
      <c r="U12" s="98">
        <v>22.54</v>
      </c>
      <c r="V12" s="98">
        <f t="shared" si="9"/>
        <v>10.8941</v>
      </c>
      <c r="W12" s="98">
        <f t="shared" si="10"/>
        <v>24.92924</v>
      </c>
      <c r="X12" s="120">
        <v>977</v>
      </c>
      <c r="Y12" s="120">
        <v>698</v>
      </c>
      <c r="Z12" s="119"/>
      <c r="AA12" s="121">
        <f t="shared" si="11"/>
        <v>732.75</v>
      </c>
      <c r="AB12" s="121">
        <f t="shared" si="12"/>
        <v>523.5</v>
      </c>
      <c r="AC12" s="119"/>
      <c r="AD12" s="119"/>
      <c r="AE12" s="121">
        <f t="shared" si="13"/>
        <v>0</v>
      </c>
      <c r="AF12" s="121">
        <f t="shared" si="13"/>
        <v>0</v>
      </c>
      <c r="AG12" s="98"/>
      <c r="AH12" s="98"/>
      <c r="AI12" s="98">
        <f t="shared" si="14"/>
        <v>0</v>
      </c>
      <c r="AJ12" s="98">
        <f t="shared" si="14"/>
        <v>0</v>
      </c>
      <c r="AK12" s="103">
        <v>6.63</v>
      </c>
      <c r="AL12" s="98">
        <v>1.92</v>
      </c>
      <c r="AM12" s="98">
        <f t="shared" si="15"/>
        <v>7.3327800000000005</v>
      </c>
      <c r="AN12" s="98">
        <f t="shared" si="16"/>
        <v>2.1235200000000001</v>
      </c>
      <c r="AO12" s="98"/>
      <c r="AP12" s="98"/>
      <c r="AQ12" s="131">
        <v>0</v>
      </c>
      <c r="AR12" s="131">
        <v>0</v>
      </c>
      <c r="AS12" s="99"/>
      <c r="AT12" s="98">
        <f t="shared" si="17"/>
        <v>0</v>
      </c>
      <c r="AU12" s="99">
        <v>23.2</v>
      </c>
      <c r="AV12" s="149">
        <f>AU12*$C$3</f>
        <v>25.659200000000002</v>
      </c>
      <c r="AW12" s="98">
        <v>4.57</v>
      </c>
      <c r="AX12" s="98">
        <v>14.62</v>
      </c>
      <c r="AY12" s="99"/>
      <c r="AZ12" s="98">
        <f t="shared" si="19"/>
        <v>0</v>
      </c>
      <c r="BA12" s="99"/>
      <c r="BB12" s="99"/>
      <c r="BC12" s="99"/>
      <c r="BD12" s="99"/>
      <c r="BE12" s="98">
        <f t="shared" si="20"/>
        <v>0</v>
      </c>
      <c r="BF12" s="98">
        <f t="shared" si="21"/>
        <v>0</v>
      </c>
      <c r="BG12" s="98">
        <v>8.0399999999999991</v>
      </c>
      <c r="BH12" s="98">
        <v>0</v>
      </c>
      <c r="BI12" s="98">
        <f t="shared" si="22"/>
        <v>8.8922399999999993</v>
      </c>
      <c r="BJ12" s="98">
        <f t="shared" si="23"/>
        <v>0</v>
      </c>
      <c r="BK12" s="99"/>
      <c r="BL12" s="99"/>
      <c r="BM12" s="98"/>
      <c r="BN12" s="98">
        <f t="shared" si="24"/>
        <v>0</v>
      </c>
      <c r="BO12" s="105">
        <v>3.59</v>
      </c>
      <c r="BP12" s="149">
        <f t="shared" si="25"/>
        <v>3.9705400000000002</v>
      </c>
      <c r="BQ12" s="113"/>
      <c r="BR12" s="113"/>
      <c r="BS12" s="104">
        <f t="shared" si="26"/>
        <v>0</v>
      </c>
      <c r="BT12" s="104">
        <f t="shared" si="27"/>
        <v>0</v>
      </c>
      <c r="BU12" s="105">
        <v>0.38</v>
      </c>
      <c r="BV12" s="105">
        <v>0</v>
      </c>
      <c r="BW12" s="142">
        <f t="shared" si="28"/>
        <v>0.499066654</v>
      </c>
      <c r="BX12" s="142">
        <f t="shared" si="29"/>
        <v>0</v>
      </c>
      <c r="BY12" s="111"/>
      <c r="BZ12" s="111"/>
      <c r="CA12" s="142">
        <f t="shared" si="30"/>
        <v>0</v>
      </c>
      <c r="CB12" s="142">
        <f t="shared" si="30"/>
        <v>0</v>
      </c>
      <c r="CC12" s="109"/>
      <c r="CD12" s="109"/>
      <c r="CE12" s="98">
        <f t="shared" si="31"/>
        <v>0</v>
      </c>
      <c r="CF12" s="107">
        <f t="shared" si="31"/>
        <v>0</v>
      </c>
      <c r="CG12" s="89"/>
      <c r="CH12" s="65">
        <f t="shared" si="32"/>
        <v>3370000</v>
      </c>
      <c r="CI12" s="73"/>
      <c r="CJ12" s="73"/>
      <c r="CK12" s="66">
        <v>1970000</v>
      </c>
      <c r="CL12" s="73"/>
      <c r="CM12" s="66">
        <v>1400000</v>
      </c>
      <c r="CN12" s="73"/>
      <c r="CO12" s="73"/>
      <c r="CP12" s="90"/>
      <c r="CQ12" s="68">
        <v>0</v>
      </c>
      <c r="CR12" s="69">
        <f t="shared" si="33"/>
        <v>757.54594665399998</v>
      </c>
      <c r="CS12" s="69">
        <f t="shared" si="34"/>
        <v>618.95292000000018</v>
      </c>
      <c r="CT12" s="70">
        <f t="shared" si="0"/>
        <v>3370401.5147846201</v>
      </c>
      <c r="CU12" s="70">
        <f t="shared" si="1"/>
        <v>2246934.3431897471</v>
      </c>
      <c r="CV12" s="70">
        <f t="shared" si="35"/>
        <v>401.51478462014347</v>
      </c>
      <c r="CW12" s="67" t="s">
        <v>135</v>
      </c>
      <c r="CX12" s="116">
        <v>250000</v>
      </c>
    </row>
    <row r="13" spans="1:102">
      <c r="A13" s="18"/>
      <c r="B13" s="94" t="s">
        <v>139</v>
      </c>
      <c r="C13" s="92" t="s">
        <v>140</v>
      </c>
      <c r="D13" s="102">
        <v>6</v>
      </c>
      <c r="E13" s="102">
        <v>2.5</v>
      </c>
      <c r="F13" s="98">
        <f t="shared" si="2"/>
        <v>3.5999999999999996</v>
      </c>
      <c r="G13" s="98">
        <f t="shared" si="2"/>
        <v>1.5</v>
      </c>
      <c r="H13" s="119">
        <v>0</v>
      </c>
      <c r="I13" s="119">
        <v>0</v>
      </c>
      <c r="J13" s="98">
        <f t="shared" si="3"/>
        <v>0</v>
      </c>
      <c r="K13" s="98">
        <f t="shared" si="4"/>
        <v>0</v>
      </c>
      <c r="L13" s="103">
        <v>8.01</v>
      </c>
      <c r="M13" s="98">
        <f t="shared" si="5"/>
        <v>8.01</v>
      </c>
      <c r="N13" s="98"/>
      <c r="O13" s="98"/>
      <c r="P13" s="98">
        <f t="shared" si="6"/>
        <v>0</v>
      </c>
      <c r="Q13" s="98">
        <f t="shared" si="7"/>
        <v>0</v>
      </c>
      <c r="R13" s="103">
        <v>76.790000000000006</v>
      </c>
      <c r="S13" s="98">
        <f t="shared" si="8"/>
        <v>84.92974000000001</v>
      </c>
      <c r="T13" s="103">
        <v>4.04</v>
      </c>
      <c r="U13" s="98">
        <v>13.85</v>
      </c>
      <c r="V13" s="98">
        <f t="shared" si="9"/>
        <v>4.4682400000000007</v>
      </c>
      <c r="W13" s="98">
        <f t="shared" si="10"/>
        <v>15.318100000000001</v>
      </c>
      <c r="X13" s="120">
        <v>0</v>
      </c>
      <c r="Y13" s="120">
        <v>0</v>
      </c>
      <c r="Z13" s="110"/>
      <c r="AA13" s="121">
        <f t="shared" si="11"/>
        <v>0</v>
      </c>
      <c r="AB13" s="121">
        <f t="shared" si="12"/>
        <v>0</v>
      </c>
      <c r="AC13" s="110"/>
      <c r="AD13" s="110"/>
      <c r="AE13" s="121">
        <f t="shared" si="13"/>
        <v>0</v>
      </c>
      <c r="AF13" s="121">
        <f t="shared" si="13"/>
        <v>0</v>
      </c>
      <c r="AG13" s="98"/>
      <c r="AH13" s="98"/>
      <c r="AI13" s="98">
        <f t="shared" si="14"/>
        <v>0</v>
      </c>
      <c r="AJ13" s="98">
        <f t="shared" si="14"/>
        <v>0</v>
      </c>
      <c r="AK13" s="103">
        <v>56.86</v>
      </c>
      <c r="AL13" s="98">
        <v>24.38</v>
      </c>
      <c r="AM13" s="98">
        <f t="shared" si="15"/>
        <v>62.887160000000002</v>
      </c>
      <c r="AN13" s="98">
        <f t="shared" si="16"/>
        <v>26.964280000000002</v>
      </c>
      <c r="AO13" s="98"/>
      <c r="AP13" s="98"/>
      <c r="AQ13" s="131">
        <v>12.89</v>
      </c>
      <c r="AR13" s="131">
        <v>1.95</v>
      </c>
      <c r="AS13" s="99"/>
      <c r="AT13" s="98">
        <f t="shared" si="17"/>
        <v>0</v>
      </c>
      <c r="AU13" s="99">
        <v>18.5</v>
      </c>
      <c r="AV13" s="149">
        <f t="shared" si="18"/>
        <v>20.461000000000002</v>
      </c>
      <c r="AW13" s="98">
        <v>29.13</v>
      </c>
      <c r="AX13" s="98">
        <v>9.8800000000000008</v>
      </c>
      <c r="AY13" s="101"/>
      <c r="AZ13" s="98">
        <f t="shared" si="19"/>
        <v>0</v>
      </c>
      <c r="BA13" s="98"/>
      <c r="BB13" s="98"/>
      <c r="BC13" s="99"/>
      <c r="BD13" s="99"/>
      <c r="BE13" s="98">
        <f t="shared" si="20"/>
        <v>0</v>
      </c>
      <c r="BF13" s="98">
        <f t="shared" si="21"/>
        <v>0</v>
      </c>
      <c r="BG13" s="98">
        <v>38.520000000000003</v>
      </c>
      <c r="BH13" s="98">
        <v>1.05</v>
      </c>
      <c r="BI13" s="98">
        <f t="shared" si="22"/>
        <v>42.603120000000004</v>
      </c>
      <c r="BJ13" s="98">
        <f t="shared" si="23"/>
        <v>1.1613000000000002</v>
      </c>
      <c r="BK13" s="100"/>
      <c r="BL13" s="100"/>
      <c r="BM13" s="98">
        <v>0</v>
      </c>
      <c r="BN13" s="98">
        <f t="shared" si="24"/>
        <v>0</v>
      </c>
      <c r="BO13" s="105">
        <v>34.840000000000003</v>
      </c>
      <c r="BP13" s="149">
        <f t="shared" si="25"/>
        <v>38.533040000000007</v>
      </c>
      <c r="BQ13" s="112"/>
      <c r="BR13" s="112"/>
      <c r="BS13" s="104">
        <f t="shared" si="26"/>
        <v>0</v>
      </c>
      <c r="BT13" s="104">
        <f t="shared" si="27"/>
        <v>0</v>
      </c>
      <c r="BU13" s="105">
        <v>0</v>
      </c>
      <c r="BV13" s="105">
        <v>0</v>
      </c>
      <c r="BW13" s="142">
        <f t="shared" si="28"/>
        <v>0</v>
      </c>
      <c r="BX13" s="142">
        <f t="shared" si="29"/>
        <v>0</v>
      </c>
      <c r="BY13" s="110"/>
      <c r="BZ13" s="110"/>
      <c r="CA13" s="142">
        <f t="shared" si="30"/>
        <v>0</v>
      </c>
      <c r="CB13" s="142">
        <f t="shared" si="30"/>
        <v>0</v>
      </c>
      <c r="CC13" s="106"/>
      <c r="CD13" s="106"/>
      <c r="CE13" s="98">
        <f t="shared" si="31"/>
        <v>0</v>
      </c>
      <c r="CF13" s="107">
        <f t="shared" si="31"/>
        <v>0</v>
      </c>
      <c r="CG13" s="81"/>
      <c r="CH13" s="65">
        <f t="shared" si="32"/>
        <v>885000</v>
      </c>
      <c r="CI13" s="74"/>
      <c r="CJ13" s="74"/>
      <c r="CK13" s="54">
        <v>535000</v>
      </c>
      <c r="CL13" s="74"/>
      <c r="CM13" s="54">
        <v>350000</v>
      </c>
      <c r="CN13" s="74"/>
      <c r="CO13" s="74"/>
      <c r="CP13" s="90"/>
      <c r="CQ13" s="68">
        <v>0</v>
      </c>
      <c r="CR13" s="69">
        <f t="shared" si="33"/>
        <v>112.97539999999999</v>
      </c>
      <c r="CS13" s="69">
        <f t="shared" si="34"/>
        <v>250.14928000000006</v>
      </c>
      <c r="CT13" s="70">
        <f t="shared" si="0"/>
        <v>887048.55990600016</v>
      </c>
      <c r="CU13" s="70">
        <f t="shared" si="1"/>
        <v>590198.01945400017</v>
      </c>
      <c r="CV13" s="70">
        <f t="shared" si="35"/>
        <v>2048.559906000155</v>
      </c>
      <c r="CW13" s="55" t="s">
        <v>141</v>
      </c>
      <c r="CX13" s="118">
        <f>140000</f>
        <v>140000</v>
      </c>
    </row>
    <row r="14" spans="1:102">
      <c r="A14" s="18"/>
      <c r="B14" s="94" t="s">
        <v>142</v>
      </c>
      <c r="C14" s="92" t="s">
        <v>143</v>
      </c>
      <c r="D14" s="102">
        <v>3.9</v>
      </c>
      <c r="E14" s="102">
        <v>1.6</v>
      </c>
      <c r="F14" s="98">
        <f t="shared" si="2"/>
        <v>2.34</v>
      </c>
      <c r="G14" s="98">
        <f t="shared" si="2"/>
        <v>0.96</v>
      </c>
      <c r="H14" s="119">
        <v>81</v>
      </c>
      <c r="I14" s="119">
        <v>0</v>
      </c>
      <c r="J14" s="98">
        <f t="shared" si="3"/>
        <v>69.877080000000007</v>
      </c>
      <c r="K14" s="98">
        <f t="shared" si="4"/>
        <v>0</v>
      </c>
      <c r="L14" s="103">
        <v>14.78</v>
      </c>
      <c r="M14" s="98">
        <f t="shared" si="5"/>
        <v>14.78</v>
      </c>
      <c r="N14" s="98">
        <v>2.95</v>
      </c>
      <c r="O14" s="98">
        <v>33.5</v>
      </c>
      <c r="P14" s="98">
        <f t="shared" si="6"/>
        <v>3.2627000000000006</v>
      </c>
      <c r="Q14" s="98">
        <f t="shared" si="7"/>
        <v>37.051000000000002</v>
      </c>
      <c r="R14" s="103">
        <v>67.77</v>
      </c>
      <c r="S14" s="98">
        <f t="shared" si="8"/>
        <v>74.953620000000001</v>
      </c>
      <c r="T14" s="103">
        <v>10.45</v>
      </c>
      <c r="U14" s="98">
        <v>1.68</v>
      </c>
      <c r="V14" s="98">
        <f t="shared" si="9"/>
        <v>11.557700000000001</v>
      </c>
      <c r="W14" s="98">
        <f t="shared" si="10"/>
        <v>1.8580800000000002</v>
      </c>
      <c r="X14" s="120">
        <v>0</v>
      </c>
      <c r="Y14" s="120">
        <v>0</v>
      </c>
      <c r="Z14" s="110"/>
      <c r="AA14" s="121">
        <f t="shared" si="11"/>
        <v>0</v>
      </c>
      <c r="AB14" s="121">
        <f t="shared" si="12"/>
        <v>0</v>
      </c>
      <c r="AC14" s="110"/>
      <c r="AD14" s="110"/>
      <c r="AE14" s="121">
        <f t="shared" si="13"/>
        <v>0</v>
      </c>
      <c r="AF14" s="121">
        <f t="shared" si="13"/>
        <v>0</v>
      </c>
      <c r="AG14" s="98"/>
      <c r="AH14" s="98"/>
      <c r="AI14" s="98">
        <f t="shared" si="14"/>
        <v>0</v>
      </c>
      <c r="AJ14" s="98">
        <f t="shared" si="14"/>
        <v>0</v>
      </c>
      <c r="AK14" s="103">
        <v>36.409999999999997</v>
      </c>
      <c r="AL14" s="98">
        <v>16.98</v>
      </c>
      <c r="AM14" s="98">
        <f t="shared" si="15"/>
        <v>40.269460000000002</v>
      </c>
      <c r="AN14" s="98">
        <f t="shared" si="16"/>
        <v>18.779880000000002</v>
      </c>
      <c r="AO14" s="98"/>
      <c r="AP14" s="98"/>
      <c r="AQ14" s="131">
        <v>34.700000000000003</v>
      </c>
      <c r="AR14" s="131">
        <v>22.71</v>
      </c>
      <c r="AS14" s="99"/>
      <c r="AT14" s="98">
        <f t="shared" si="17"/>
        <v>0</v>
      </c>
      <c r="AU14" s="99">
        <v>2.8</v>
      </c>
      <c r="AV14" s="149">
        <f t="shared" si="18"/>
        <v>3.0968</v>
      </c>
      <c r="AW14" s="98">
        <v>128.43</v>
      </c>
      <c r="AX14" s="98">
        <v>64.8</v>
      </c>
      <c r="AY14" s="101"/>
      <c r="AZ14" s="98">
        <f t="shared" si="19"/>
        <v>0</v>
      </c>
      <c r="BA14" s="98"/>
      <c r="BB14" s="98"/>
      <c r="BC14" s="99"/>
      <c r="BD14" s="99"/>
      <c r="BE14" s="98">
        <f t="shared" si="20"/>
        <v>0</v>
      </c>
      <c r="BF14" s="98">
        <f t="shared" si="21"/>
        <v>0</v>
      </c>
      <c r="BG14" s="98">
        <v>41.48</v>
      </c>
      <c r="BH14" s="98">
        <v>1.91</v>
      </c>
      <c r="BI14" s="98">
        <f t="shared" si="22"/>
        <v>45.87688</v>
      </c>
      <c r="BJ14" s="98">
        <f t="shared" si="23"/>
        <v>2.11246</v>
      </c>
      <c r="BK14" s="100"/>
      <c r="BL14" s="100"/>
      <c r="BM14" s="98"/>
      <c r="BN14" s="98">
        <f t="shared" si="24"/>
        <v>0</v>
      </c>
      <c r="BO14" s="105">
        <v>29.62</v>
      </c>
      <c r="BP14" s="149">
        <f t="shared" si="25"/>
        <v>32.759720000000002</v>
      </c>
      <c r="BQ14" s="112"/>
      <c r="BR14" s="112"/>
      <c r="BS14" s="104">
        <f t="shared" si="26"/>
        <v>0</v>
      </c>
      <c r="BT14" s="104">
        <f t="shared" si="27"/>
        <v>0</v>
      </c>
      <c r="BU14" s="105">
        <v>0</v>
      </c>
      <c r="BV14" s="105">
        <v>0</v>
      </c>
      <c r="BW14" s="142">
        <f t="shared" si="28"/>
        <v>0</v>
      </c>
      <c r="BX14" s="142">
        <f t="shared" si="29"/>
        <v>0</v>
      </c>
      <c r="BY14" s="110"/>
      <c r="BZ14" s="110"/>
      <c r="CA14" s="142">
        <f t="shared" si="30"/>
        <v>0</v>
      </c>
      <c r="CB14" s="142">
        <f t="shared" si="30"/>
        <v>0</v>
      </c>
      <c r="CC14" s="106"/>
      <c r="CD14" s="106"/>
      <c r="CE14" s="98">
        <f t="shared" si="31"/>
        <v>0</v>
      </c>
      <c r="CF14" s="107">
        <f t="shared" si="31"/>
        <v>0</v>
      </c>
      <c r="CG14" s="81"/>
      <c r="CH14" s="65">
        <f t="shared" si="32"/>
        <v>1495000</v>
      </c>
      <c r="CI14" s="74"/>
      <c r="CJ14" s="74"/>
      <c r="CK14" s="54">
        <v>915000</v>
      </c>
      <c r="CL14" s="74"/>
      <c r="CM14" s="54">
        <v>580000</v>
      </c>
      <c r="CN14" s="74"/>
      <c r="CO14" s="74"/>
      <c r="CP14" s="90"/>
      <c r="CQ14" s="68">
        <v>0</v>
      </c>
      <c r="CR14" s="69">
        <f t="shared" si="33"/>
        <v>290.43694000000005</v>
      </c>
      <c r="CS14" s="69">
        <f t="shared" si="34"/>
        <v>317.62598000000003</v>
      </c>
      <c r="CT14" s="70">
        <f t="shared" si="0"/>
        <v>1492395.7256820002</v>
      </c>
      <c r="CU14" s="70">
        <f t="shared" si="1"/>
        <v>992806.40525800025</v>
      </c>
      <c r="CV14" s="70">
        <f t="shared" si="35"/>
        <v>-2604.2743179998361</v>
      </c>
      <c r="CW14" s="55" t="s">
        <v>144</v>
      </c>
      <c r="CX14" s="118">
        <v>0</v>
      </c>
    </row>
    <row r="15" spans="1:102">
      <c r="A15" s="18"/>
      <c r="B15" s="94" t="s">
        <v>145</v>
      </c>
      <c r="C15" s="92" t="s">
        <v>146</v>
      </c>
      <c r="D15" s="102">
        <v>6.4</v>
      </c>
      <c r="E15" s="102">
        <v>57.2</v>
      </c>
      <c r="F15" s="98">
        <f t="shared" si="2"/>
        <v>3.84</v>
      </c>
      <c r="G15" s="98">
        <f t="shared" si="2"/>
        <v>34.32</v>
      </c>
      <c r="H15" s="110"/>
      <c r="I15" s="110"/>
      <c r="J15" s="98">
        <f t="shared" si="3"/>
        <v>0</v>
      </c>
      <c r="K15" s="98">
        <f t="shared" si="4"/>
        <v>0</v>
      </c>
      <c r="L15" s="103">
        <v>103</v>
      </c>
      <c r="M15" s="98">
        <f t="shared" si="5"/>
        <v>103</v>
      </c>
      <c r="N15" s="98"/>
      <c r="O15" s="98"/>
      <c r="P15" s="98">
        <f t="shared" si="6"/>
        <v>0</v>
      </c>
      <c r="Q15" s="98">
        <f t="shared" si="7"/>
        <v>0</v>
      </c>
      <c r="R15" s="103">
        <v>136.55000000000001</v>
      </c>
      <c r="S15" s="98">
        <f t="shared" si="8"/>
        <v>151.02430000000004</v>
      </c>
      <c r="T15" s="103">
        <v>34.71</v>
      </c>
      <c r="U15" s="98">
        <v>39.380000000000003</v>
      </c>
      <c r="V15" s="98">
        <f t="shared" si="9"/>
        <v>38.389260000000007</v>
      </c>
      <c r="W15" s="98">
        <f t="shared" si="10"/>
        <v>43.554280000000006</v>
      </c>
      <c r="X15" s="120">
        <v>0</v>
      </c>
      <c r="Y15" s="120">
        <v>0</v>
      </c>
      <c r="Z15" s="110"/>
      <c r="AA15" s="121">
        <f t="shared" si="11"/>
        <v>0</v>
      </c>
      <c r="AB15" s="121">
        <f t="shared" si="12"/>
        <v>0</v>
      </c>
      <c r="AC15" s="110"/>
      <c r="AD15" s="110"/>
      <c r="AE15" s="121">
        <f t="shared" si="13"/>
        <v>0</v>
      </c>
      <c r="AF15" s="121">
        <f t="shared" si="13"/>
        <v>0</v>
      </c>
      <c r="AG15" s="98"/>
      <c r="AH15" s="98"/>
      <c r="AI15" s="98">
        <f t="shared" si="14"/>
        <v>0</v>
      </c>
      <c r="AJ15" s="98">
        <f t="shared" si="14"/>
        <v>0</v>
      </c>
      <c r="AK15" s="103">
        <v>31.59</v>
      </c>
      <c r="AL15" s="98">
        <v>113.66</v>
      </c>
      <c r="AM15" s="98">
        <f t="shared" si="15"/>
        <v>34.938540000000003</v>
      </c>
      <c r="AN15" s="98">
        <f t="shared" si="16"/>
        <v>125.70796</v>
      </c>
      <c r="AO15" s="98"/>
      <c r="AP15" s="98"/>
      <c r="AQ15" s="131">
        <v>13.24</v>
      </c>
      <c r="AR15" s="131">
        <v>22.35</v>
      </c>
      <c r="AS15" s="99"/>
      <c r="AT15" s="98">
        <f t="shared" si="17"/>
        <v>0</v>
      </c>
      <c r="AU15" s="99">
        <v>29.4</v>
      </c>
      <c r="AV15" s="149">
        <f t="shared" si="18"/>
        <v>32.516400000000004</v>
      </c>
      <c r="AW15" s="98">
        <v>87.26</v>
      </c>
      <c r="AX15" s="98">
        <v>18.510000000000002</v>
      </c>
      <c r="AY15" s="101"/>
      <c r="AZ15" s="98">
        <f t="shared" si="19"/>
        <v>0</v>
      </c>
      <c r="BA15" s="98"/>
      <c r="BB15" s="98"/>
      <c r="BC15" s="99"/>
      <c r="BD15" s="99"/>
      <c r="BE15" s="98">
        <f t="shared" si="20"/>
        <v>0</v>
      </c>
      <c r="BF15" s="98">
        <f t="shared" si="21"/>
        <v>0</v>
      </c>
      <c r="BG15" s="99"/>
      <c r="BH15" s="99"/>
      <c r="BI15" s="98">
        <f t="shared" si="22"/>
        <v>0</v>
      </c>
      <c r="BJ15" s="98">
        <f t="shared" si="23"/>
        <v>0</v>
      </c>
      <c r="BK15" s="100"/>
      <c r="BL15" s="100"/>
      <c r="BM15" s="98"/>
      <c r="BN15" s="98">
        <f t="shared" si="24"/>
        <v>0</v>
      </c>
      <c r="BO15" s="105">
        <v>321.32</v>
      </c>
      <c r="BP15" s="149">
        <f t="shared" si="25"/>
        <v>355.37992000000003</v>
      </c>
      <c r="BQ15" s="112"/>
      <c r="BR15" s="112"/>
      <c r="BS15" s="104">
        <f t="shared" si="26"/>
        <v>0</v>
      </c>
      <c r="BT15" s="104">
        <f t="shared" si="27"/>
        <v>0</v>
      </c>
      <c r="BU15" s="105">
        <v>0</v>
      </c>
      <c r="BV15" s="105">
        <v>0</v>
      </c>
      <c r="BW15" s="142">
        <f t="shared" si="28"/>
        <v>0</v>
      </c>
      <c r="BX15" s="142">
        <f t="shared" si="29"/>
        <v>0</v>
      </c>
      <c r="BY15" s="110"/>
      <c r="BZ15" s="110"/>
      <c r="CA15" s="142">
        <f t="shared" si="30"/>
        <v>0</v>
      </c>
      <c r="CB15" s="142">
        <f t="shared" si="30"/>
        <v>0</v>
      </c>
      <c r="CC15" s="106"/>
      <c r="CD15" s="106"/>
      <c r="CE15" s="98">
        <f t="shared" si="31"/>
        <v>0</v>
      </c>
      <c r="CF15" s="107">
        <f t="shared" si="31"/>
        <v>0</v>
      </c>
      <c r="CG15" s="81"/>
      <c r="CH15" s="65">
        <f t="shared" si="32"/>
        <v>2580000</v>
      </c>
      <c r="CI15" s="74"/>
      <c r="CJ15" s="74"/>
      <c r="CK15" s="54">
        <v>1305000</v>
      </c>
      <c r="CL15" s="74"/>
      <c r="CM15" s="54">
        <v>1275000</v>
      </c>
      <c r="CN15" s="74"/>
      <c r="CO15" s="74"/>
      <c r="CP15" s="90"/>
      <c r="CQ15" s="68">
        <v>0</v>
      </c>
      <c r="CR15" s="69">
        <f t="shared" si="33"/>
        <v>177.6678</v>
      </c>
      <c r="CS15" s="69">
        <f t="shared" si="34"/>
        <v>886.36286000000007</v>
      </c>
      <c r="CT15" s="70">
        <f t="shared" si="0"/>
        <v>2579125.0614720001</v>
      </c>
      <c r="CU15" s="70">
        <f t="shared" si="1"/>
        <v>1719416.7076480002</v>
      </c>
      <c r="CV15" s="70">
        <f t="shared" si="35"/>
        <v>-874.93852799991146</v>
      </c>
      <c r="CW15" s="55" t="s">
        <v>147</v>
      </c>
      <c r="CX15" s="118">
        <v>400000</v>
      </c>
    </row>
    <row r="16" spans="1:102">
      <c r="A16" s="132"/>
      <c r="B16" s="94" t="s">
        <v>153</v>
      </c>
      <c r="C16" s="92" t="s">
        <v>154</v>
      </c>
      <c r="D16" s="102">
        <v>14.9</v>
      </c>
      <c r="E16" s="102">
        <v>4.3</v>
      </c>
      <c r="F16" s="98">
        <f t="shared" si="2"/>
        <v>8.94</v>
      </c>
      <c r="G16" s="98">
        <f t="shared" si="2"/>
        <v>2.5799999999999996</v>
      </c>
      <c r="H16" s="119"/>
      <c r="I16" s="119"/>
      <c r="J16" s="98">
        <f t="shared" si="3"/>
        <v>0</v>
      </c>
      <c r="K16" s="98">
        <f t="shared" si="4"/>
        <v>0</v>
      </c>
      <c r="L16" s="103"/>
      <c r="M16" s="98">
        <f t="shared" si="5"/>
        <v>0</v>
      </c>
      <c r="N16" s="98">
        <v>90.72</v>
      </c>
      <c r="O16" s="98">
        <v>39.869999999999997</v>
      </c>
      <c r="P16" s="98">
        <f t="shared" si="6"/>
        <v>100.33632</v>
      </c>
      <c r="Q16" s="98">
        <f t="shared" si="7"/>
        <v>44.096220000000002</v>
      </c>
      <c r="R16" s="103">
        <v>159.80000000000001</v>
      </c>
      <c r="S16" s="98">
        <f t="shared" si="8"/>
        <v>176.73880000000003</v>
      </c>
      <c r="T16" s="103">
        <v>33.04</v>
      </c>
      <c r="U16" s="98">
        <v>14.63</v>
      </c>
      <c r="V16" s="98">
        <f t="shared" si="9"/>
        <v>36.54224</v>
      </c>
      <c r="W16" s="98">
        <f t="shared" si="10"/>
        <v>16.180780000000002</v>
      </c>
      <c r="X16" s="120">
        <v>0</v>
      </c>
      <c r="Y16" s="120">
        <v>0</v>
      </c>
      <c r="Z16" s="110"/>
      <c r="AA16" s="121">
        <f t="shared" si="11"/>
        <v>0</v>
      </c>
      <c r="AB16" s="121">
        <f t="shared" si="12"/>
        <v>0</v>
      </c>
      <c r="AC16" s="110"/>
      <c r="AD16" s="110"/>
      <c r="AE16" s="121">
        <f t="shared" si="13"/>
        <v>0</v>
      </c>
      <c r="AF16" s="121">
        <f t="shared" si="13"/>
        <v>0</v>
      </c>
      <c r="AG16" s="98"/>
      <c r="AH16" s="98"/>
      <c r="AI16" s="98">
        <f t="shared" si="14"/>
        <v>0</v>
      </c>
      <c r="AJ16" s="98">
        <f t="shared" si="14"/>
        <v>0</v>
      </c>
      <c r="AK16" s="103">
        <v>144.13</v>
      </c>
      <c r="AL16" s="98">
        <v>70.56</v>
      </c>
      <c r="AM16" s="98">
        <f t="shared" si="15"/>
        <v>159.40778</v>
      </c>
      <c r="AN16" s="98">
        <f t="shared" si="16"/>
        <v>78.039360000000002</v>
      </c>
      <c r="AO16" s="98"/>
      <c r="AP16" s="98"/>
      <c r="AQ16" s="131"/>
      <c r="AR16" s="131"/>
      <c r="AS16" s="99"/>
      <c r="AT16" s="98">
        <f t="shared" si="17"/>
        <v>0</v>
      </c>
      <c r="AU16" s="99"/>
      <c r="AV16" s="149">
        <f t="shared" si="18"/>
        <v>0</v>
      </c>
      <c r="AW16" s="98"/>
      <c r="AX16" s="98"/>
      <c r="AY16" s="101"/>
      <c r="AZ16" s="98">
        <f t="shared" si="19"/>
        <v>0</v>
      </c>
      <c r="BA16" s="98"/>
      <c r="BB16" s="98"/>
      <c r="BC16" s="99"/>
      <c r="BD16" s="99"/>
      <c r="BE16" s="98">
        <f t="shared" si="20"/>
        <v>0</v>
      </c>
      <c r="BF16" s="98">
        <f t="shared" si="21"/>
        <v>0</v>
      </c>
      <c r="BG16" s="99">
        <v>169.53</v>
      </c>
      <c r="BH16" s="99">
        <v>10.45</v>
      </c>
      <c r="BI16" s="98">
        <f t="shared" si="22"/>
        <v>187.50018000000003</v>
      </c>
      <c r="BJ16" s="98">
        <f t="shared" si="23"/>
        <v>11.557700000000001</v>
      </c>
      <c r="BK16" s="100"/>
      <c r="BL16" s="100"/>
      <c r="BM16" s="98"/>
      <c r="BN16" s="98">
        <f t="shared" si="24"/>
        <v>0</v>
      </c>
      <c r="BO16" s="105">
        <v>218.78</v>
      </c>
      <c r="BP16" s="149">
        <f t="shared" si="25"/>
        <v>241.97068000000002</v>
      </c>
      <c r="BQ16" s="112"/>
      <c r="BR16" s="112"/>
      <c r="BS16" s="104">
        <f t="shared" si="26"/>
        <v>0</v>
      </c>
      <c r="BT16" s="104">
        <f t="shared" si="27"/>
        <v>0</v>
      </c>
      <c r="BU16" s="105">
        <v>0.65</v>
      </c>
      <c r="BV16" s="105">
        <v>31.7</v>
      </c>
      <c r="BW16" s="142">
        <f t="shared" si="28"/>
        <v>0.853666645</v>
      </c>
      <c r="BX16" s="142">
        <f t="shared" si="29"/>
        <v>41.527000000000001</v>
      </c>
      <c r="BY16" s="110">
        <v>50</v>
      </c>
      <c r="BZ16" s="110">
        <v>27.46</v>
      </c>
      <c r="CA16" s="142">
        <f t="shared" si="30"/>
        <v>25</v>
      </c>
      <c r="CB16" s="142">
        <f t="shared" si="30"/>
        <v>13.73</v>
      </c>
      <c r="CC16" s="106">
        <v>841</v>
      </c>
      <c r="CD16" s="106">
        <v>99</v>
      </c>
      <c r="CE16" s="98">
        <f t="shared" si="31"/>
        <v>42.050000000000004</v>
      </c>
      <c r="CF16" s="107">
        <f t="shared" si="31"/>
        <v>4.95</v>
      </c>
      <c r="CG16" s="81"/>
      <c r="CH16" s="65">
        <f t="shared" si="32"/>
        <v>2907000</v>
      </c>
      <c r="CI16" s="74"/>
      <c r="CJ16" s="74"/>
      <c r="CK16" s="54">
        <v>1915000</v>
      </c>
      <c r="CL16" s="74"/>
      <c r="CM16" s="54">
        <v>992000</v>
      </c>
      <c r="CN16" s="74"/>
      <c r="CO16" s="74"/>
      <c r="CP16" s="90"/>
      <c r="CQ16" s="68">
        <v>0</v>
      </c>
      <c r="CR16" s="69">
        <f t="shared" si="33"/>
        <v>373.13000664499998</v>
      </c>
      <c r="CS16" s="69">
        <f t="shared" si="34"/>
        <v>807.31302000000005</v>
      </c>
      <c r="CT16" s="70">
        <f t="shared" si="0"/>
        <v>2907463.8603763231</v>
      </c>
      <c r="CU16" s="70">
        <f t="shared" si="1"/>
        <v>1926687.9729008824</v>
      </c>
      <c r="CV16" s="70">
        <f t="shared" si="35"/>
        <v>463.86037632310763</v>
      </c>
      <c r="CW16" s="55"/>
      <c r="CX16" s="118"/>
    </row>
    <row r="17" spans="1:102">
      <c r="A17" s="18"/>
      <c r="B17" s="94" t="s">
        <v>157</v>
      </c>
      <c r="C17" s="92" t="s">
        <v>158</v>
      </c>
      <c r="D17" s="102">
        <v>0</v>
      </c>
      <c r="E17" s="102">
        <v>0</v>
      </c>
      <c r="F17" s="98">
        <f t="shared" si="2"/>
        <v>0</v>
      </c>
      <c r="G17" s="98">
        <f t="shared" si="2"/>
        <v>0</v>
      </c>
      <c r="H17" s="110"/>
      <c r="I17" s="110"/>
      <c r="J17" s="98">
        <f t="shared" si="3"/>
        <v>0</v>
      </c>
      <c r="K17" s="98">
        <f t="shared" si="4"/>
        <v>0</v>
      </c>
      <c r="L17" s="103"/>
      <c r="M17" s="98">
        <f t="shared" si="5"/>
        <v>0</v>
      </c>
      <c r="N17" s="98"/>
      <c r="O17" s="98"/>
      <c r="P17" s="98">
        <f t="shared" si="6"/>
        <v>0</v>
      </c>
      <c r="Q17" s="98">
        <f t="shared" si="7"/>
        <v>0</v>
      </c>
      <c r="R17" s="103">
        <v>0</v>
      </c>
      <c r="S17" s="98">
        <f t="shared" si="8"/>
        <v>0</v>
      </c>
      <c r="T17" s="103">
        <v>0</v>
      </c>
      <c r="U17" s="98">
        <v>0</v>
      </c>
      <c r="V17" s="98">
        <f t="shared" si="9"/>
        <v>0</v>
      </c>
      <c r="W17" s="98">
        <f t="shared" si="10"/>
        <v>0</v>
      </c>
      <c r="X17" s="120">
        <v>0</v>
      </c>
      <c r="Y17" s="120">
        <v>0</v>
      </c>
      <c r="Z17" s="110"/>
      <c r="AA17" s="121">
        <f t="shared" si="11"/>
        <v>0</v>
      </c>
      <c r="AB17" s="121">
        <f t="shared" si="12"/>
        <v>0</v>
      </c>
      <c r="AC17" s="110"/>
      <c r="AD17" s="110"/>
      <c r="AE17" s="121">
        <f t="shared" si="13"/>
        <v>0</v>
      </c>
      <c r="AF17" s="121">
        <f t="shared" si="13"/>
        <v>0</v>
      </c>
      <c r="AG17" s="98">
        <v>0</v>
      </c>
      <c r="AH17" s="98">
        <v>0</v>
      </c>
      <c r="AI17" s="98">
        <f t="shared" si="14"/>
        <v>0</v>
      </c>
      <c r="AJ17" s="98">
        <f t="shared" si="14"/>
        <v>0</v>
      </c>
      <c r="AK17" s="103"/>
      <c r="AL17" s="98"/>
      <c r="AM17" s="98">
        <f t="shared" si="15"/>
        <v>0</v>
      </c>
      <c r="AN17" s="98">
        <f t="shared" si="16"/>
        <v>0</v>
      </c>
      <c r="AO17" s="98"/>
      <c r="AP17" s="98"/>
      <c r="AQ17" s="131">
        <v>0</v>
      </c>
      <c r="AR17" s="131">
        <v>0</v>
      </c>
      <c r="AS17" s="99"/>
      <c r="AT17" s="98">
        <f t="shared" si="17"/>
        <v>0</v>
      </c>
      <c r="AU17" s="99"/>
      <c r="AV17" s="149">
        <f t="shared" si="18"/>
        <v>0</v>
      </c>
      <c r="AW17" s="98">
        <v>0</v>
      </c>
      <c r="AX17" s="98">
        <v>0</v>
      </c>
      <c r="AY17" s="101"/>
      <c r="AZ17" s="98">
        <f t="shared" si="19"/>
        <v>0</v>
      </c>
      <c r="BA17" s="98"/>
      <c r="BB17" s="98"/>
      <c r="BC17" s="99"/>
      <c r="BD17" s="99"/>
      <c r="BE17" s="98">
        <f t="shared" si="20"/>
        <v>0</v>
      </c>
      <c r="BF17" s="98">
        <f t="shared" si="21"/>
        <v>0</v>
      </c>
      <c r="BG17" s="99"/>
      <c r="BH17" s="99"/>
      <c r="BI17" s="98">
        <f t="shared" si="22"/>
        <v>0</v>
      </c>
      <c r="BJ17" s="98">
        <f t="shared" si="23"/>
        <v>0</v>
      </c>
      <c r="BK17" s="100"/>
      <c r="BL17" s="100"/>
      <c r="BM17" s="98"/>
      <c r="BN17" s="98">
        <f t="shared" si="24"/>
        <v>0</v>
      </c>
      <c r="BO17" s="105">
        <v>0</v>
      </c>
      <c r="BP17" s="149">
        <f t="shared" si="25"/>
        <v>0</v>
      </c>
      <c r="BQ17" s="112"/>
      <c r="BR17" s="112"/>
      <c r="BS17" s="104">
        <f t="shared" si="26"/>
        <v>0</v>
      </c>
      <c r="BT17" s="104">
        <f t="shared" si="27"/>
        <v>0</v>
      </c>
      <c r="BU17" s="105">
        <v>0</v>
      </c>
      <c r="BV17" s="105">
        <v>0</v>
      </c>
      <c r="BW17" s="142">
        <f t="shared" si="28"/>
        <v>0</v>
      </c>
      <c r="BX17" s="142">
        <f t="shared" si="29"/>
        <v>0</v>
      </c>
      <c r="BY17" s="110">
        <v>0</v>
      </c>
      <c r="BZ17" s="110">
        <v>0</v>
      </c>
      <c r="CA17" s="142">
        <f t="shared" si="30"/>
        <v>0</v>
      </c>
      <c r="CB17" s="142">
        <f t="shared" si="30"/>
        <v>0</v>
      </c>
      <c r="CC17" s="106"/>
      <c r="CD17" s="106"/>
      <c r="CE17" s="98">
        <f t="shared" si="31"/>
        <v>0</v>
      </c>
      <c r="CF17" s="107">
        <f t="shared" si="31"/>
        <v>0</v>
      </c>
      <c r="CG17" s="81"/>
      <c r="CH17" s="65">
        <f t="shared" si="32"/>
        <v>0</v>
      </c>
      <c r="CI17" s="74"/>
      <c r="CJ17" s="74"/>
      <c r="CK17" s="54"/>
      <c r="CL17" s="74"/>
      <c r="CM17" s="54"/>
      <c r="CN17" s="74"/>
      <c r="CO17" s="74"/>
      <c r="CP17" s="90"/>
      <c r="CQ17" s="68">
        <v>0</v>
      </c>
      <c r="CR17" s="69">
        <f t="shared" si="33"/>
        <v>0</v>
      </c>
      <c r="CS17" s="69">
        <f t="shared" si="34"/>
        <v>0</v>
      </c>
      <c r="CT17" s="70">
        <f t="shared" si="0"/>
        <v>0</v>
      </c>
      <c r="CU17" s="70">
        <f t="shared" si="1"/>
        <v>0</v>
      </c>
      <c r="CV17" s="70">
        <f t="shared" si="35"/>
        <v>0</v>
      </c>
      <c r="CW17" s="55"/>
      <c r="CX17" s="118"/>
    </row>
    <row r="18" spans="1:102">
      <c r="A18" s="18" t="s">
        <v>166</v>
      </c>
      <c r="B18" s="94" t="s">
        <v>167</v>
      </c>
      <c r="C18" s="92" t="s">
        <v>168</v>
      </c>
      <c r="D18" s="102">
        <v>0</v>
      </c>
      <c r="E18" s="102">
        <v>0</v>
      </c>
      <c r="F18" s="98">
        <f t="shared" si="2"/>
        <v>0</v>
      </c>
      <c r="G18" s="98">
        <f t="shared" si="2"/>
        <v>0</v>
      </c>
      <c r="H18" s="110"/>
      <c r="I18" s="110"/>
      <c r="J18" s="98">
        <f t="shared" si="3"/>
        <v>0</v>
      </c>
      <c r="K18" s="98">
        <f t="shared" si="4"/>
        <v>0</v>
      </c>
      <c r="L18" s="103">
        <v>57.5</v>
      </c>
      <c r="M18" s="98">
        <f t="shared" si="5"/>
        <v>57.5</v>
      </c>
      <c r="N18" s="98"/>
      <c r="O18" s="98"/>
      <c r="P18" s="98">
        <f t="shared" si="6"/>
        <v>0</v>
      </c>
      <c r="Q18" s="98">
        <f t="shared" si="7"/>
        <v>0</v>
      </c>
      <c r="R18" s="103">
        <v>78.14</v>
      </c>
      <c r="S18" s="98">
        <f t="shared" si="8"/>
        <v>86.422840000000008</v>
      </c>
      <c r="T18" s="103">
        <v>7.66</v>
      </c>
      <c r="U18" s="98">
        <v>25.17</v>
      </c>
      <c r="V18" s="98">
        <f t="shared" si="9"/>
        <v>8.471960000000001</v>
      </c>
      <c r="W18" s="98">
        <f t="shared" si="10"/>
        <v>27.838020000000004</v>
      </c>
      <c r="X18" s="120">
        <v>0</v>
      </c>
      <c r="Y18" s="120">
        <v>0</v>
      </c>
      <c r="Z18" s="110"/>
      <c r="AA18" s="121">
        <f t="shared" si="11"/>
        <v>0</v>
      </c>
      <c r="AB18" s="121">
        <f t="shared" si="12"/>
        <v>0</v>
      </c>
      <c r="AC18" s="110"/>
      <c r="AD18" s="110"/>
      <c r="AE18" s="121">
        <f t="shared" si="13"/>
        <v>0</v>
      </c>
      <c r="AF18" s="121">
        <f t="shared" si="13"/>
        <v>0</v>
      </c>
      <c r="AG18" s="98">
        <v>0</v>
      </c>
      <c r="AH18" s="98">
        <v>0</v>
      </c>
      <c r="AI18" s="98">
        <f t="shared" si="14"/>
        <v>0</v>
      </c>
      <c r="AJ18" s="98">
        <f t="shared" si="14"/>
        <v>0</v>
      </c>
      <c r="AK18" s="103">
        <v>55.14</v>
      </c>
      <c r="AL18" s="98">
        <v>133.6</v>
      </c>
      <c r="AM18" s="98">
        <f t="shared" si="15"/>
        <v>60.984840000000005</v>
      </c>
      <c r="AN18" s="98">
        <f t="shared" si="16"/>
        <v>147.76160000000002</v>
      </c>
      <c r="AO18" s="98"/>
      <c r="AP18" s="98"/>
      <c r="AQ18" s="131"/>
      <c r="AR18" s="131"/>
      <c r="AS18" s="99"/>
      <c r="AT18" s="98">
        <f t="shared" si="17"/>
        <v>0</v>
      </c>
      <c r="AU18" s="99"/>
      <c r="AV18" s="149">
        <f t="shared" si="18"/>
        <v>0</v>
      </c>
      <c r="AW18" s="98">
        <v>69.55</v>
      </c>
      <c r="AX18" s="98">
        <v>13.51</v>
      </c>
      <c r="AY18" s="101"/>
      <c r="AZ18" s="98">
        <f t="shared" si="19"/>
        <v>0</v>
      </c>
      <c r="BA18" s="98"/>
      <c r="BB18" s="98"/>
      <c r="BC18" s="99">
        <f>6+2</f>
        <v>8</v>
      </c>
      <c r="BD18" s="99">
        <f>4.5</f>
        <v>4.5</v>
      </c>
      <c r="BE18" s="98">
        <f t="shared" si="20"/>
        <v>6.4976000000000003</v>
      </c>
      <c r="BF18" s="98">
        <f t="shared" si="21"/>
        <v>3.6549</v>
      </c>
      <c r="BG18" s="99">
        <v>8.94</v>
      </c>
      <c r="BH18" s="99">
        <v>5.76</v>
      </c>
      <c r="BI18" s="98">
        <f t="shared" si="22"/>
        <v>9.8876400000000011</v>
      </c>
      <c r="BJ18" s="98">
        <f t="shared" si="23"/>
        <v>6.3705600000000002</v>
      </c>
      <c r="BK18" s="100"/>
      <c r="BL18" s="100"/>
      <c r="BM18" s="98"/>
      <c r="BN18" s="98">
        <f t="shared" si="24"/>
        <v>0</v>
      </c>
      <c r="BO18" s="105">
        <v>50.13</v>
      </c>
      <c r="BP18" s="149">
        <f t="shared" si="25"/>
        <v>55.443780000000011</v>
      </c>
      <c r="BQ18" s="112"/>
      <c r="BR18" s="112"/>
      <c r="BS18" s="104">
        <f t="shared" si="26"/>
        <v>0</v>
      </c>
      <c r="BT18" s="104">
        <f t="shared" si="27"/>
        <v>0</v>
      </c>
      <c r="BU18" s="105">
        <v>0</v>
      </c>
      <c r="BV18" s="105">
        <v>0</v>
      </c>
      <c r="BW18" s="142">
        <f t="shared" si="28"/>
        <v>0</v>
      </c>
      <c r="BX18" s="142">
        <f t="shared" si="29"/>
        <v>0</v>
      </c>
      <c r="BY18" s="110"/>
      <c r="BZ18" s="110"/>
      <c r="CA18" s="142">
        <f t="shared" si="30"/>
        <v>0</v>
      </c>
      <c r="CB18" s="142">
        <f t="shared" si="30"/>
        <v>0</v>
      </c>
      <c r="CC18" s="106"/>
      <c r="CD18" s="106"/>
      <c r="CE18" s="98">
        <f t="shared" si="31"/>
        <v>0</v>
      </c>
      <c r="CF18" s="107">
        <f t="shared" si="31"/>
        <v>0</v>
      </c>
      <c r="CG18" s="81"/>
      <c r="CH18" s="65">
        <f t="shared" si="32"/>
        <v>1349000</v>
      </c>
      <c r="CI18" s="74"/>
      <c r="CJ18" s="74">
        <v>300000</v>
      </c>
      <c r="CK18" s="54">
        <v>405000</v>
      </c>
      <c r="CL18" s="74"/>
      <c r="CM18" s="54">
        <v>644000</v>
      </c>
      <c r="CN18" s="74"/>
      <c r="CO18" s="74"/>
      <c r="CP18" s="90"/>
      <c r="CQ18" s="68">
        <v>0</v>
      </c>
      <c r="CR18" s="69">
        <f t="shared" si="33"/>
        <v>145.5044</v>
      </c>
      <c r="CS18" s="69">
        <f t="shared" si="34"/>
        <v>402.01877999999999</v>
      </c>
      <c r="CT18" s="70">
        <f t="shared" si="0"/>
        <v>1349841.1146959998</v>
      </c>
      <c r="CU18" s="70">
        <f t="shared" si="1"/>
        <v>893488.47838400002</v>
      </c>
      <c r="CV18" s="70">
        <f t="shared" si="35"/>
        <v>841.11469599977136</v>
      </c>
      <c r="CW18" s="55"/>
      <c r="CX18" s="118"/>
    </row>
    <row r="19" spans="1:102">
      <c r="A19" s="18"/>
      <c r="B19" s="94" t="s">
        <v>178</v>
      </c>
      <c r="C19" s="92" t="s">
        <v>179</v>
      </c>
      <c r="D19" s="102">
        <v>0</v>
      </c>
      <c r="E19" s="102">
        <v>0</v>
      </c>
      <c r="F19" s="98">
        <f t="shared" si="2"/>
        <v>0</v>
      </c>
      <c r="G19" s="98">
        <f t="shared" si="2"/>
        <v>0</v>
      </c>
      <c r="H19" s="110"/>
      <c r="I19" s="110"/>
      <c r="J19" s="98">
        <f t="shared" si="3"/>
        <v>0</v>
      </c>
      <c r="K19" s="98">
        <f t="shared" si="4"/>
        <v>0</v>
      </c>
      <c r="L19" s="103">
        <v>5.57</v>
      </c>
      <c r="M19" s="98">
        <f t="shared" si="5"/>
        <v>5.57</v>
      </c>
      <c r="N19" s="98"/>
      <c r="O19" s="98"/>
      <c r="P19" s="98">
        <f t="shared" si="6"/>
        <v>0</v>
      </c>
      <c r="Q19" s="98">
        <f t="shared" si="7"/>
        <v>0</v>
      </c>
      <c r="R19" s="103">
        <v>0</v>
      </c>
      <c r="S19" s="98">
        <f t="shared" si="8"/>
        <v>0</v>
      </c>
      <c r="T19" s="108">
        <v>0</v>
      </c>
      <c r="U19" s="99">
        <v>0.77</v>
      </c>
      <c r="V19" s="98">
        <f t="shared" si="9"/>
        <v>0</v>
      </c>
      <c r="W19" s="98">
        <f t="shared" si="10"/>
        <v>0.85162000000000004</v>
      </c>
      <c r="X19" s="120">
        <v>0</v>
      </c>
      <c r="Y19" s="120">
        <v>0</v>
      </c>
      <c r="Z19" s="110"/>
      <c r="AA19" s="121">
        <f t="shared" si="11"/>
        <v>0</v>
      </c>
      <c r="AB19" s="121">
        <f t="shared" si="12"/>
        <v>0</v>
      </c>
      <c r="AC19" s="110"/>
      <c r="AD19" s="110"/>
      <c r="AE19" s="121">
        <f t="shared" si="13"/>
        <v>0</v>
      </c>
      <c r="AF19" s="121">
        <f t="shared" si="13"/>
        <v>0</v>
      </c>
      <c r="AG19" s="98">
        <v>0</v>
      </c>
      <c r="AH19" s="98">
        <v>0</v>
      </c>
      <c r="AI19" s="98">
        <f t="shared" si="14"/>
        <v>0</v>
      </c>
      <c r="AJ19" s="98">
        <f t="shared" si="14"/>
        <v>0</v>
      </c>
      <c r="AK19" s="103">
        <v>83.93</v>
      </c>
      <c r="AL19" s="98">
        <v>65.37</v>
      </c>
      <c r="AM19" s="98">
        <f t="shared" si="15"/>
        <v>92.826580000000021</v>
      </c>
      <c r="AN19" s="98">
        <f t="shared" si="16"/>
        <v>72.299220000000005</v>
      </c>
      <c r="AO19" s="98"/>
      <c r="AP19" s="98"/>
      <c r="AQ19" s="131">
        <v>123.09</v>
      </c>
      <c r="AR19" s="131">
        <v>204.41</v>
      </c>
      <c r="AS19" s="99"/>
      <c r="AT19" s="98">
        <f t="shared" si="17"/>
        <v>0</v>
      </c>
      <c r="AU19" s="99"/>
      <c r="AV19" s="149">
        <f t="shared" si="18"/>
        <v>0</v>
      </c>
      <c r="AW19" s="98">
        <v>1.08</v>
      </c>
      <c r="AX19" s="98">
        <v>9.36</v>
      </c>
      <c r="AY19" s="101"/>
      <c r="AZ19" s="98">
        <f t="shared" si="19"/>
        <v>0</v>
      </c>
      <c r="BA19" s="98"/>
      <c r="BB19" s="98"/>
      <c r="BC19" s="99"/>
      <c r="BD19" s="99"/>
      <c r="BE19" s="98">
        <f t="shared" si="20"/>
        <v>0</v>
      </c>
      <c r="BF19" s="98">
        <f t="shared" si="21"/>
        <v>0</v>
      </c>
      <c r="BG19" s="99"/>
      <c r="BH19" s="99"/>
      <c r="BI19" s="98">
        <f t="shared" si="22"/>
        <v>0</v>
      </c>
      <c r="BJ19" s="98">
        <f t="shared" si="23"/>
        <v>0</v>
      </c>
      <c r="BK19" s="100"/>
      <c r="BL19" s="100"/>
      <c r="BM19" s="98"/>
      <c r="BN19" s="98">
        <f t="shared" si="24"/>
        <v>0</v>
      </c>
      <c r="BO19" s="105"/>
      <c r="BP19" s="149">
        <f t="shared" si="25"/>
        <v>0</v>
      </c>
      <c r="BQ19" s="112"/>
      <c r="BR19" s="112"/>
      <c r="BS19" s="104">
        <f t="shared" si="26"/>
        <v>0</v>
      </c>
      <c r="BT19" s="104">
        <f t="shared" si="27"/>
        <v>0</v>
      </c>
      <c r="BU19" s="105">
        <v>0</v>
      </c>
      <c r="BV19" s="105">
        <v>0</v>
      </c>
      <c r="BW19" s="142">
        <f t="shared" si="28"/>
        <v>0</v>
      </c>
      <c r="BX19" s="142">
        <f t="shared" si="29"/>
        <v>0</v>
      </c>
      <c r="BY19" s="110"/>
      <c r="BZ19" s="110"/>
      <c r="CA19" s="142">
        <f t="shared" si="30"/>
        <v>0</v>
      </c>
      <c r="CB19" s="142">
        <f t="shared" si="30"/>
        <v>0</v>
      </c>
      <c r="CC19" s="106"/>
      <c r="CD19" s="106"/>
      <c r="CE19" s="98">
        <f t="shared" si="31"/>
        <v>0</v>
      </c>
      <c r="CF19" s="107">
        <f t="shared" si="31"/>
        <v>0</v>
      </c>
      <c r="CG19" s="81"/>
      <c r="CH19" s="65">
        <f t="shared" si="32"/>
        <v>1245000</v>
      </c>
      <c r="CI19" s="74"/>
      <c r="CJ19" s="74">
        <v>200000</v>
      </c>
      <c r="CK19" s="54">
        <v>545000</v>
      </c>
      <c r="CL19" s="74">
        <v>300000</v>
      </c>
      <c r="CM19" s="54">
        <v>200000</v>
      </c>
      <c r="CN19" s="74"/>
      <c r="CO19" s="74"/>
      <c r="CP19" s="90"/>
      <c r="CQ19" s="68">
        <v>0</v>
      </c>
      <c r="CR19" s="69">
        <f t="shared" si="33"/>
        <v>216.99658000000002</v>
      </c>
      <c r="CS19" s="69">
        <f t="shared" si="34"/>
        <v>292.49084000000005</v>
      </c>
      <c r="CT19" s="70">
        <f t="shared" si="0"/>
        <v>1243426.2223800002</v>
      </c>
      <c r="CU19" s="70">
        <f t="shared" si="1"/>
        <v>828950.81492000027</v>
      </c>
      <c r="CV19" s="70">
        <f t="shared" si="35"/>
        <v>-1573.7776199998334</v>
      </c>
      <c r="CW19" s="55"/>
      <c r="CX19" s="118"/>
    </row>
    <row r="20" spans="1:102">
      <c r="A20" s="18"/>
      <c r="B20" s="94" t="s">
        <v>180</v>
      </c>
      <c r="C20" s="92" t="s">
        <v>181</v>
      </c>
      <c r="D20" s="102">
        <v>0</v>
      </c>
      <c r="E20" s="102">
        <v>0</v>
      </c>
      <c r="F20" s="98">
        <f t="shared" si="2"/>
        <v>0</v>
      </c>
      <c r="G20" s="98">
        <f t="shared" si="2"/>
        <v>0</v>
      </c>
      <c r="H20" s="110"/>
      <c r="I20" s="110"/>
      <c r="J20" s="98">
        <f t="shared" si="3"/>
        <v>0</v>
      </c>
      <c r="K20" s="98">
        <f t="shared" si="4"/>
        <v>0</v>
      </c>
      <c r="L20" s="103">
        <v>45.42</v>
      </c>
      <c r="M20" s="98">
        <f t="shared" si="5"/>
        <v>45.42</v>
      </c>
      <c r="N20" s="98"/>
      <c r="O20" s="98"/>
      <c r="P20" s="98">
        <f t="shared" si="6"/>
        <v>0</v>
      </c>
      <c r="Q20" s="98">
        <f t="shared" si="7"/>
        <v>0</v>
      </c>
      <c r="R20" s="103">
        <v>21.46</v>
      </c>
      <c r="S20" s="98">
        <f t="shared" si="8"/>
        <v>23.734760000000001</v>
      </c>
      <c r="T20" s="108">
        <v>15.99</v>
      </c>
      <c r="U20" s="99">
        <v>3.19</v>
      </c>
      <c r="V20" s="98">
        <f t="shared" si="9"/>
        <v>17.684940000000001</v>
      </c>
      <c r="W20" s="98">
        <f t="shared" si="10"/>
        <v>3.5281400000000001</v>
      </c>
      <c r="X20" s="120">
        <v>0</v>
      </c>
      <c r="Y20" s="120">
        <v>0</v>
      </c>
      <c r="Z20" s="110"/>
      <c r="AA20" s="121">
        <f t="shared" si="11"/>
        <v>0</v>
      </c>
      <c r="AB20" s="121">
        <f t="shared" si="12"/>
        <v>0</v>
      </c>
      <c r="AC20" s="110"/>
      <c r="AD20" s="110"/>
      <c r="AE20" s="121">
        <f t="shared" si="13"/>
        <v>0</v>
      </c>
      <c r="AF20" s="121">
        <f t="shared" si="13"/>
        <v>0</v>
      </c>
      <c r="AG20" s="98">
        <v>0</v>
      </c>
      <c r="AH20" s="98">
        <v>0</v>
      </c>
      <c r="AI20" s="98">
        <f t="shared" si="14"/>
        <v>0</v>
      </c>
      <c r="AJ20" s="98">
        <f t="shared" si="14"/>
        <v>0</v>
      </c>
      <c r="AK20" s="103">
        <v>42.79</v>
      </c>
      <c r="AL20" s="98">
        <v>9.57</v>
      </c>
      <c r="AM20" s="98">
        <f t="shared" si="15"/>
        <v>47.325740000000003</v>
      </c>
      <c r="AN20" s="98">
        <f t="shared" si="16"/>
        <v>10.584420000000001</v>
      </c>
      <c r="AO20" s="98"/>
      <c r="AP20" s="98"/>
      <c r="AQ20" s="131">
        <v>50.59</v>
      </c>
      <c r="AR20" s="131">
        <v>11.61</v>
      </c>
      <c r="AS20" s="99"/>
      <c r="AT20" s="98">
        <f t="shared" si="17"/>
        <v>0</v>
      </c>
      <c r="AU20" s="99"/>
      <c r="AV20" s="149">
        <f t="shared" si="18"/>
        <v>0</v>
      </c>
      <c r="AW20" s="98">
        <v>75.16</v>
      </c>
      <c r="AX20" s="98">
        <v>0</v>
      </c>
      <c r="AY20" s="101"/>
      <c r="AZ20" s="98">
        <f t="shared" si="19"/>
        <v>0</v>
      </c>
      <c r="BA20" s="98"/>
      <c r="BB20" s="98"/>
      <c r="BC20" s="99"/>
      <c r="BD20" s="99"/>
      <c r="BE20" s="98">
        <f t="shared" si="20"/>
        <v>0</v>
      </c>
      <c r="BF20" s="98">
        <f t="shared" si="21"/>
        <v>0</v>
      </c>
      <c r="BG20" s="99"/>
      <c r="BH20" s="99"/>
      <c r="BI20" s="98">
        <f t="shared" si="22"/>
        <v>0</v>
      </c>
      <c r="BJ20" s="98">
        <f t="shared" si="23"/>
        <v>0</v>
      </c>
      <c r="BK20" s="100"/>
      <c r="BL20" s="100"/>
      <c r="BM20" s="98"/>
      <c r="BN20" s="98">
        <f t="shared" si="24"/>
        <v>0</v>
      </c>
      <c r="BO20" s="105">
        <v>38.79</v>
      </c>
      <c r="BP20" s="149">
        <f t="shared" si="25"/>
        <v>42.901740000000004</v>
      </c>
      <c r="BQ20" s="112"/>
      <c r="BR20" s="112"/>
      <c r="BS20" s="104">
        <f t="shared" si="26"/>
        <v>0</v>
      </c>
      <c r="BT20" s="104">
        <f t="shared" si="27"/>
        <v>0</v>
      </c>
      <c r="BU20" s="105">
        <v>0</v>
      </c>
      <c r="BV20" s="105">
        <v>0</v>
      </c>
      <c r="BW20" s="142">
        <f t="shared" si="28"/>
        <v>0</v>
      </c>
      <c r="BX20" s="142">
        <f t="shared" si="29"/>
        <v>0</v>
      </c>
      <c r="BY20" s="110"/>
      <c r="BZ20" s="110"/>
      <c r="CA20" s="142">
        <f t="shared" si="30"/>
        <v>0</v>
      </c>
      <c r="CB20" s="142">
        <f t="shared" si="30"/>
        <v>0</v>
      </c>
      <c r="CC20" s="106"/>
      <c r="CD20" s="106"/>
      <c r="CE20" s="98">
        <f t="shared" si="31"/>
        <v>0</v>
      </c>
      <c r="CF20" s="107">
        <f t="shared" si="31"/>
        <v>0</v>
      </c>
      <c r="CG20" s="81"/>
      <c r="CH20" s="65">
        <f t="shared" si="32"/>
        <v>805000</v>
      </c>
      <c r="CI20" s="74"/>
      <c r="CJ20" s="74"/>
      <c r="CK20" s="54">
        <v>715000</v>
      </c>
      <c r="CL20" s="74"/>
      <c r="CM20" s="54">
        <v>90000</v>
      </c>
      <c r="CN20" s="74"/>
      <c r="CO20" s="74"/>
      <c r="CP20" s="90"/>
      <c r="CQ20" s="68">
        <v>0</v>
      </c>
      <c r="CR20" s="69">
        <f t="shared" si="33"/>
        <v>190.76067999999998</v>
      </c>
      <c r="CS20" s="69">
        <f t="shared" si="34"/>
        <v>137.77905999999999</v>
      </c>
      <c r="CT20" s="70">
        <f t="shared" si="0"/>
        <v>805078.93622399983</v>
      </c>
      <c r="CU20" s="70">
        <f t="shared" si="1"/>
        <v>536719.29081599996</v>
      </c>
      <c r="CV20" s="70">
        <f t="shared" si="35"/>
        <v>78.936223999829963</v>
      </c>
      <c r="CW20" s="55"/>
      <c r="CX20" s="118"/>
    </row>
    <row r="21" spans="1:102">
      <c r="A21" s="18" t="s">
        <v>182</v>
      </c>
      <c r="B21" s="94" t="s">
        <v>183</v>
      </c>
      <c r="C21" s="92" t="s">
        <v>184</v>
      </c>
      <c r="D21" s="102">
        <v>0</v>
      </c>
      <c r="E21" s="102">
        <v>0</v>
      </c>
      <c r="F21" s="98">
        <f t="shared" ref="F21" si="36">SUM((D21*2)*0.3)</f>
        <v>0</v>
      </c>
      <c r="G21" s="98">
        <f t="shared" ref="G21:G25" si="37">SUM((E21*2)*0.3)</f>
        <v>0</v>
      </c>
      <c r="H21" s="110"/>
      <c r="I21" s="110"/>
      <c r="J21" s="98">
        <f t="shared" si="3"/>
        <v>0</v>
      </c>
      <c r="K21" s="98">
        <f t="shared" si="4"/>
        <v>0</v>
      </c>
      <c r="L21" s="103"/>
      <c r="M21" s="98">
        <f t="shared" si="5"/>
        <v>0</v>
      </c>
      <c r="N21" s="98"/>
      <c r="O21" s="98"/>
      <c r="P21" s="98">
        <f t="shared" si="6"/>
        <v>0</v>
      </c>
      <c r="Q21" s="98">
        <f t="shared" si="7"/>
        <v>0</v>
      </c>
      <c r="R21" s="103">
        <v>0</v>
      </c>
      <c r="S21" s="98">
        <f t="shared" si="8"/>
        <v>0</v>
      </c>
      <c r="T21" s="108">
        <v>0</v>
      </c>
      <c r="U21" s="99">
        <v>0</v>
      </c>
      <c r="V21" s="98">
        <f t="shared" si="9"/>
        <v>0</v>
      </c>
      <c r="W21" s="98">
        <f t="shared" si="10"/>
        <v>0</v>
      </c>
      <c r="X21" s="120">
        <v>0</v>
      </c>
      <c r="Y21" s="120">
        <v>0</v>
      </c>
      <c r="Z21" s="110"/>
      <c r="AA21" s="121">
        <f t="shared" si="11"/>
        <v>0</v>
      </c>
      <c r="AB21" s="121">
        <f t="shared" si="12"/>
        <v>0</v>
      </c>
      <c r="AC21" s="110"/>
      <c r="AD21" s="110"/>
      <c r="AE21" s="121">
        <f t="shared" si="13"/>
        <v>0</v>
      </c>
      <c r="AF21" s="121">
        <f t="shared" si="13"/>
        <v>0</v>
      </c>
      <c r="AG21" s="98">
        <v>0</v>
      </c>
      <c r="AH21" s="98">
        <v>0</v>
      </c>
      <c r="AI21" s="98">
        <f t="shared" si="14"/>
        <v>0</v>
      </c>
      <c r="AJ21" s="98">
        <f t="shared" si="14"/>
        <v>0</v>
      </c>
      <c r="AK21" s="103">
        <v>0.43</v>
      </c>
      <c r="AL21" s="98"/>
      <c r="AM21" s="98">
        <f t="shared" si="15"/>
        <v>0.47558000000000006</v>
      </c>
      <c r="AN21" s="98">
        <f t="shared" si="16"/>
        <v>0</v>
      </c>
      <c r="AO21" s="98"/>
      <c r="AP21" s="98"/>
      <c r="AQ21" s="131">
        <v>0</v>
      </c>
      <c r="AR21" s="131">
        <v>0</v>
      </c>
      <c r="AS21" s="99"/>
      <c r="AT21" s="98">
        <f t="shared" si="17"/>
        <v>0</v>
      </c>
      <c r="AU21" s="99"/>
      <c r="AV21" s="149">
        <f t="shared" si="18"/>
        <v>0</v>
      </c>
      <c r="AW21" s="99">
        <v>0</v>
      </c>
      <c r="AX21" s="99">
        <v>0</v>
      </c>
      <c r="AY21" s="101"/>
      <c r="AZ21" s="98">
        <f t="shared" si="19"/>
        <v>0</v>
      </c>
      <c r="BA21" s="98"/>
      <c r="BB21" s="98"/>
      <c r="BC21" s="99"/>
      <c r="BD21" s="99"/>
      <c r="BE21" s="98">
        <f t="shared" si="20"/>
        <v>0</v>
      </c>
      <c r="BF21" s="98">
        <f t="shared" si="21"/>
        <v>0</v>
      </c>
      <c r="BG21" s="99"/>
      <c r="BH21" s="99"/>
      <c r="BI21" s="98">
        <f t="shared" si="22"/>
        <v>0</v>
      </c>
      <c r="BJ21" s="98">
        <f t="shared" si="23"/>
        <v>0</v>
      </c>
      <c r="BK21" s="100"/>
      <c r="BL21" s="100"/>
      <c r="BM21" s="98"/>
      <c r="BN21" s="98">
        <f t="shared" si="24"/>
        <v>0</v>
      </c>
      <c r="BO21" s="105">
        <v>0</v>
      </c>
      <c r="BP21" s="149">
        <f t="shared" si="25"/>
        <v>0</v>
      </c>
      <c r="BQ21" s="112"/>
      <c r="BR21" s="112"/>
      <c r="BS21" s="104">
        <f t="shared" si="26"/>
        <v>0</v>
      </c>
      <c r="BT21" s="104">
        <f t="shared" si="27"/>
        <v>0</v>
      </c>
      <c r="BU21" s="105">
        <v>0</v>
      </c>
      <c r="BV21" s="105">
        <v>0</v>
      </c>
      <c r="BW21" s="142">
        <f t="shared" si="28"/>
        <v>0</v>
      </c>
      <c r="BX21" s="142">
        <f t="shared" si="29"/>
        <v>0</v>
      </c>
      <c r="BY21" s="110"/>
      <c r="BZ21" s="110"/>
      <c r="CA21" s="142">
        <f t="shared" si="30"/>
        <v>0</v>
      </c>
      <c r="CB21" s="142">
        <f t="shared" si="30"/>
        <v>0</v>
      </c>
      <c r="CC21" s="106"/>
      <c r="CD21" s="106"/>
      <c r="CE21" s="98">
        <f t="shared" si="31"/>
        <v>0</v>
      </c>
      <c r="CF21" s="107">
        <f t="shared" si="31"/>
        <v>0</v>
      </c>
      <c r="CG21" s="81"/>
      <c r="CH21" s="65">
        <f t="shared" si="32"/>
        <v>0</v>
      </c>
      <c r="CI21" s="74"/>
      <c r="CJ21" s="74"/>
      <c r="CK21" s="54"/>
      <c r="CL21" s="74"/>
      <c r="CM21" s="54"/>
      <c r="CN21" s="74"/>
      <c r="CO21" s="74"/>
      <c r="CP21" s="90"/>
      <c r="CQ21" s="68">
        <v>0</v>
      </c>
      <c r="CR21" s="69">
        <f t="shared" si="33"/>
        <v>0.47558000000000006</v>
      </c>
      <c r="CS21" s="69">
        <f t="shared" si="34"/>
        <v>0</v>
      </c>
      <c r="CT21" s="70">
        <f t="shared" si="0"/>
        <v>1178.201892</v>
      </c>
      <c r="CU21" s="70">
        <f t="shared" si="1"/>
        <v>785.46792800000014</v>
      </c>
      <c r="CV21" s="70">
        <f t="shared" si="35"/>
        <v>1178.201892</v>
      </c>
      <c r="CW21" s="55"/>
      <c r="CX21" s="118"/>
    </row>
    <row r="22" spans="1:102">
      <c r="A22" s="18" t="s">
        <v>182</v>
      </c>
      <c r="B22" s="94" t="s">
        <v>186</v>
      </c>
      <c r="C22" s="92" t="s">
        <v>187</v>
      </c>
      <c r="D22" s="102">
        <v>0</v>
      </c>
      <c r="E22" s="102">
        <v>0</v>
      </c>
      <c r="F22" s="98">
        <f t="shared" ref="F22:F25" si="38">SUM((D22*2)*0.3)</f>
        <v>0</v>
      </c>
      <c r="G22" s="98">
        <f t="shared" si="37"/>
        <v>0</v>
      </c>
      <c r="H22" s="110"/>
      <c r="I22" s="110"/>
      <c r="J22" s="98">
        <f t="shared" si="3"/>
        <v>0</v>
      </c>
      <c r="K22" s="98">
        <f t="shared" si="4"/>
        <v>0</v>
      </c>
      <c r="L22" s="103">
        <v>0</v>
      </c>
      <c r="M22" s="98">
        <f t="shared" si="5"/>
        <v>0</v>
      </c>
      <c r="N22" s="98"/>
      <c r="O22" s="98"/>
      <c r="P22" s="98">
        <f t="shared" si="6"/>
        <v>0</v>
      </c>
      <c r="Q22" s="98">
        <f t="shared" si="7"/>
        <v>0</v>
      </c>
      <c r="R22" s="103">
        <v>59.3</v>
      </c>
      <c r="S22" s="98">
        <f t="shared" si="8"/>
        <v>65.585800000000006</v>
      </c>
      <c r="T22" s="108">
        <v>0</v>
      </c>
      <c r="U22" s="99">
        <v>0</v>
      </c>
      <c r="V22" s="98">
        <f t="shared" si="9"/>
        <v>0</v>
      </c>
      <c r="W22" s="98">
        <f t="shared" si="10"/>
        <v>0</v>
      </c>
      <c r="X22" s="120">
        <v>0</v>
      </c>
      <c r="Y22" s="120">
        <v>0</v>
      </c>
      <c r="Z22" s="110"/>
      <c r="AA22" s="121">
        <f t="shared" si="11"/>
        <v>0</v>
      </c>
      <c r="AB22" s="121">
        <f t="shared" si="12"/>
        <v>0</v>
      </c>
      <c r="AC22" s="110"/>
      <c r="AD22" s="110"/>
      <c r="AE22" s="121">
        <f t="shared" si="13"/>
        <v>0</v>
      </c>
      <c r="AF22" s="121">
        <f t="shared" si="13"/>
        <v>0</v>
      </c>
      <c r="AG22" s="98">
        <v>0</v>
      </c>
      <c r="AH22" s="98">
        <v>0</v>
      </c>
      <c r="AI22" s="98">
        <f t="shared" si="14"/>
        <v>0</v>
      </c>
      <c r="AJ22" s="98">
        <f t="shared" si="14"/>
        <v>0</v>
      </c>
      <c r="AK22" s="103">
        <v>77.58</v>
      </c>
      <c r="AL22" s="98">
        <v>98.31</v>
      </c>
      <c r="AM22" s="98">
        <f t="shared" si="15"/>
        <v>85.803480000000008</v>
      </c>
      <c r="AN22" s="98">
        <f t="shared" si="16"/>
        <v>108.73086000000001</v>
      </c>
      <c r="AO22" s="98"/>
      <c r="AP22" s="98"/>
      <c r="AQ22" s="131">
        <v>114.9</v>
      </c>
      <c r="AR22" s="131">
        <v>31.04</v>
      </c>
      <c r="AS22" s="99"/>
      <c r="AT22" s="98">
        <f t="shared" si="17"/>
        <v>0</v>
      </c>
      <c r="AU22" s="99"/>
      <c r="AV22" s="149">
        <f t="shared" si="18"/>
        <v>0</v>
      </c>
      <c r="AW22" s="99">
        <v>46.92</v>
      </c>
      <c r="AX22" s="99">
        <v>44.9</v>
      </c>
      <c r="AY22" s="101"/>
      <c r="AZ22" s="98">
        <f t="shared" si="19"/>
        <v>0</v>
      </c>
      <c r="BA22" s="98"/>
      <c r="BB22" s="98"/>
      <c r="BC22" s="99"/>
      <c r="BD22" s="99"/>
      <c r="BE22" s="98">
        <f t="shared" si="20"/>
        <v>0</v>
      </c>
      <c r="BF22" s="98">
        <f t="shared" si="21"/>
        <v>0</v>
      </c>
      <c r="BG22" s="99"/>
      <c r="BH22" s="99"/>
      <c r="BI22" s="98">
        <f t="shared" si="22"/>
        <v>0</v>
      </c>
      <c r="BJ22" s="98">
        <f t="shared" si="23"/>
        <v>0</v>
      </c>
      <c r="BK22" s="100"/>
      <c r="BL22" s="100"/>
      <c r="BM22" s="98"/>
      <c r="BN22" s="98">
        <f t="shared" si="24"/>
        <v>0</v>
      </c>
      <c r="BO22" s="105">
        <v>19.91</v>
      </c>
      <c r="BP22" s="149">
        <f t="shared" si="25"/>
        <v>22.020460000000003</v>
      </c>
      <c r="BQ22" s="112"/>
      <c r="BR22" s="112"/>
      <c r="BS22" s="104">
        <f t="shared" si="26"/>
        <v>0</v>
      </c>
      <c r="BT22" s="104">
        <f t="shared" si="27"/>
        <v>0</v>
      </c>
      <c r="BU22" s="105">
        <v>0</v>
      </c>
      <c r="BV22" s="105">
        <v>0</v>
      </c>
      <c r="BW22" s="142">
        <f t="shared" si="28"/>
        <v>0</v>
      </c>
      <c r="BX22" s="142">
        <f t="shared" si="29"/>
        <v>0</v>
      </c>
      <c r="BY22" s="110"/>
      <c r="BZ22" s="110"/>
      <c r="CA22" s="142">
        <f t="shared" si="30"/>
        <v>0</v>
      </c>
      <c r="CB22" s="142">
        <f t="shared" si="30"/>
        <v>0</v>
      </c>
      <c r="CC22" s="106"/>
      <c r="CD22" s="106"/>
      <c r="CE22" s="98">
        <f t="shared" si="31"/>
        <v>0</v>
      </c>
      <c r="CF22" s="107">
        <f t="shared" si="31"/>
        <v>0</v>
      </c>
      <c r="CG22" s="81"/>
      <c r="CH22" s="65">
        <f t="shared" si="32"/>
        <v>1270000</v>
      </c>
      <c r="CI22" s="74"/>
      <c r="CJ22" s="74">
        <v>300000</v>
      </c>
      <c r="CK22" s="54">
        <v>415000</v>
      </c>
      <c r="CL22" s="74">
        <v>300000</v>
      </c>
      <c r="CM22" s="54">
        <v>220000</v>
      </c>
      <c r="CN22" s="74"/>
      <c r="CO22" s="74">
        <v>35000</v>
      </c>
      <c r="CP22" s="90"/>
      <c r="CQ22" s="68">
        <v>0</v>
      </c>
      <c r="CR22" s="69">
        <f t="shared" si="33"/>
        <v>247.62348000000003</v>
      </c>
      <c r="CS22" s="69">
        <f t="shared" si="34"/>
        <v>272.27712000000002</v>
      </c>
      <c r="CT22" s="70">
        <f t="shared" si="0"/>
        <v>1270521.5553360002</v>
      </c>
      <c r="CU22" s="70">
        <f t="shared" si="1"/>
        <v>847014.37022400019</v>
      </c>
      <c r="CV22" s="70">
        <f t="shared" si="35"/>
        <v>521.55533600016497</v>
      </c>
      <c r="CW22" s="55"/>
      <c r="CX22" s="118"/>
    </row>
    <row r="23" spans="1:102">
      <c r="A23" s="18" t="s">
        <v>182</v>
      </c>
      <c r="B23" s="94" t="s">
        <v>188</v>
      </c>
      <c r="C23" s="92" t="s">
        <v>189</v>
      </c>
      <c r="D23" s="102">
        <v>0</v>
      </c>
      <c r="E23" s="102">
        <v>0</v>
      </c>
      <c r="F23" s="98">
        <f t="shared" ref="F23:G23" si="39">SUM((D23*2)*0.3)</f>
        <v>0</v>
      </c>
      <c r="G23" s="98">
        <f t="shared" si="39"/>
        <v>0</v>
      </c>
      <c r="H23" s="110"/>
      <c r="I23" s="110"/>
      <c r="J23" s="98">
        <f t="shared" si="3"/>
        <v>0</v>
      </c>
      <c r="K23" s="98">
        <f t="shared" si="4"/>
        <v>0</v>
      </c>
      <c r="L23" s="103">
        <v>0</v>
      </c>
      <c r="M23" s="98">
        <f t="shared" si="5"/>
        <v>0</v>
      </c>
      <c r="N23" s="98"/>
      <c r="O23" s="98"/>
      <c r="P23" s="98">
        <f t="shared" si="6"/>
        <v>0</v>
      </c>
      <c r="Q23" s="98">
        <f t="shared" si="7"/>
        <v>0</v>
      </c>
      <c r="R23" s="103">
        <v>0</v>
      </c>
      <c r="S23" s="98">
        <f t="shared" si="8"/>
        <v>0</v>
      </c>
      <c r="T23" s="108">
        <v>11.51</v>
      </c>
      <c r="U23" s="99">
        <v>2.67</v>
      </c>
      <c r="V23" s="98">
        <f t="shared" si="9"/>
        <v>12.730060000000002</v>
      </c>
      <c r="W23" s="98">
        <f t="shared" si="10"/>
        <v>2.95302</v>
      </c>
      <c r="X23" s="120">
        <v>0</v>
      </c>
      <c r="Y23" s="120">
        <v>0</v>
      </c>
      <c r="Z23" s="110"/>
      <c r="AA23" s="121">
        <f t="shared" si="11"/>
        <v>0</v>
      </c>
      <c r="AB23" s="121">
        <f t="shared" si="12"/>
        <v>0</v>
      </c>
      <c r="AC23" s="110"/>
      <c r="AD23" s="110"/>
      <c r="AE23" s="121">
        <f t="shared" si="13"/>
        <v>0</v>
      </c>
      <c r="AF23" s="121">
        <f t="shared" si="13"/>
        <v>0</v>
      </c>
      <c r="AG23" s="98">
        <v>0</v>
      </c>
      <c r="AH23" s="98">
        <v>0</v>
      </c>
      <c r="AI23" s="98">
        <f t="shared" si="14"/>
        <v>0</v>
      </c>
      <c r="AJ23" s="98">
        <f t="shared" si="14"/>
        <v>0</v>
      </c>
      <c r="AK23" s="103">
        <v>75.17</v>
      </c>
      <c r="AL23" s="98">
        <v>16.86</v>
      </c>
      <c r="AM23" s="98">
        <f t="shared" si="15"/>
        <v>83.138020000000012</v>
      </c>
      <c r="AN23" s="98">
        <f t="shared" si="16"/>
        <v>18.64716</v>
      </c>
      <c r="AO23" s="98"/>
      <c r="AP23" s="98"/>
      <c r="AQ23" s="131"/>
      <c r="AR23" s="131"/>
      <c r="AS23" s="99"/>
      <c r="AT23" s="98">
        <f t="shared" si="17"/>
        <v>0</v>
      </c>
      <c r="AU23" s="99"/>
      <c r="AV23" s="149">
        <f t="shared" si="18"/>
        <v>0</v>
      </c>
      <c r="AW23" s="99">
        <v>56.23</v>
      </c>
      <c r="AX23" s="99">
        <v>29.06</v>
      </c>
      <c r="AY23" s="101"/>
      <c r="AZ23" s="98">
        <f t="shared" si="19"/>
        <v>0</v>
      </c>
      <c r="BA23" s="98"/>
      <c r="BB23" s="98"/>
      <c r="BC23" s="99">
        <f>41.65+1</f>
        <v>42.65</v>
      </c>
      <c r="BD23" s="99">
        <f>48+1-0.03</f>
        <v>48.97</v>
      </c>
      <c r="BE23" s="98">
        <f t="shared" si="20"/>
        <v>34.640329999999999</v>
      </c>
      <c r="BF23" s="98">
        <f t="shared" si="21"/>
        <v>39.773434000000002</v>
      </c>
      <c r="BG23" s="99"/>
      <c r="BH23" s="99"/>
      <c r="BI23" s="98">
        <f t="shared" si="22"/>
        <v>0</v>
      </c>
      <c r="BJ23" s="98">
        <f t="shared" si="23"/>
        <v>0</v>
      </c>
      <c r="BK23" s="100"/>
      <c r="BL23" s="100"/>
      <c r="BM23" s="98"/>
      <c r="BN23" s="98">
        <f t="shared" si="24"/>
        <v>0</v>
      </c>
      <c r="BO23" s="105">
        <v>0</v>
      </c>
      <c r="BP23" s="149">
        <f t="shared" si="25"/>
        <v>0</v>
      </c>
      <c r="BQ23" s="112"/>
      <c r="BR23" s="112"/>
      <c r="BS23" s="104">
        <f t="shared" si="26"/>
        <v>0</v>
      </c>
      <c r="BT23" s="104">
        <f t="shared" si="27"/>
        <v>0</v>
      </c>
      <c r="BU23" s="105">
        <v>0</v>
      </c>
      <c r="BV23" s="105">
        <v>0</v>
      </c>
      <c r="BW23" s="142">
        <f t="shared" si="28"/>
        <v>0</v>
      </c>
      <c r="BX23" s="142">
        <f t="shared" si="29"/>
        <v>0</v>
      </c>
      <c r="BY23" s="110"/>
      <c r="BZ23" s="110"/>
      <c r="CA23" s="142">
        <f t="shared" si="30"/>
        <v>0</v>
      </c>
      <c r="CB23" s="142">
        <f t="shared" si="30"/>
        <v>0</v>
      </c>
      <c r="CC23" s="106"/>
      <c r="CD23" s="106"/>
      <c r="CE23" s="98">
        <f t="shared" si="31"/>
        <v>0</v>
      </c>
      <c r="CF23" s="107">
        <f t="shared" si="31"/>
        <v>0</v>
      </c>
      <c r="CG23" s="81"/>
      <c r="CH23" s="65">
        <f t="shared" si="32"/>
        <v>680000</v>
      </c>
      <c r="CI23" s="74"/>
      <c r="CJ23" s="74"/>
      <c r="CK23" s="54">
        <v>465000</v>
      </c>
      <c r="CL23" s="74"/>
      <c r="CM23" s="54">
        <v>215000</v>
      </c>
      <c r="CN23" s="74"/>
      <c r="CO23" s="74"/>
      <c r="CP23" s="90"/>
      <c r="CQ23" s="68">
        <v>0</v>
      </c>
      <c r="CR23" s="69">
        <f t="shared" si="33"/>
        <v>186.73841000000002</v>
      </c>
      <c r="CS23" s="69">
        <f t="shared" si="34"/>
        <v>90.433614000000006</v>
      </c>
      <c r="CT23" s="70">
        <f t="shared" si="0"/>
        <v>680860.13423880003</v>
      </c>
      <c r="CU23" s="70">
        <f t="shared" si="1"/>
        <v>453906.7561592001</v>
      </c>
      <c r="CV23" s="70">
        <f t="shared" si="35"/>
        <v>860.13423880003393</v>
      </c>
      <c r="CW23" s="55"/>
      <c r="CX23" s="118"/>
    </row>
    <row r="24" spans="1:102">
      <c r="A24" s="18"/>
      <c r="B24" s="94" t="s">
        <v>190</v>
      </c>
      <c r="C24" s="92" t="s">
        <v>191</v>
      </c>
      <c r="D24" s="102">
        <v>0</v>
      </c>
      <c r="E24" s="102">
        <v>0</v>
      </c>
      <c r="F24" s="98">
        <f>SUM((D24*2)*0.3)</f>
        <v>0</v>
      </c>
      <c r="G24" s="98">
        <f>SUM((E24*2)*0.3)</f>
        <v>0</v>
      </c>
      <c r="H24" s="110"/>
      <c r="I24" s="110"/>
      <c r="J24" s="98">
        <f>SUM(H24*0.78)*$C$2</f>
        <v>0</v>
      </c>
      <c r="K24" s="98">
        <f>SUM(I24*0.78)*$C$3</f>
        <v>0</v>
      </c>
      <c r="L24" s="103"/>
      <c r="M24" s="98">
        <f>L24</f>
        <v>0</v>
      </c>
      <c r="N24" s="98">
        <v>177.84</v>
      </c>
      <c r="O24" s="98">
        <v>117.6</v>
      </c>
      <c r="P24" s="98">
        <f>N24*$C$2</f>
        <v>196.69104000000002</v>
      </c>
      <c r="Q24" s="98">
        <f>O24*$C$3</f>
        <v>130.06560000000002</v>
      </c>
      <c r="R24" s="103">
        <v>55.9</v>
      </c>
      <c r="S24" s="98">
        <f>R24*$C$3</f>
        <v>61.825400000000002</v>
      </c>
      <c r="T24" s="108">
        <v>46.32</v>
      </c>
      <c r="U24" s="99">
        <v>44.45</v>
      </c>
      <c r="V24" s="98">
        <f>SUM(T24*($C$2))</f>
        <v>51.229920000000007</v>
      </c>
      <c r="W24" s="98">
        <f>SUM(U24*($C$3))</f>
        <v>49.16170000000001</v>
      </c>
      <c r="X24" s="120">
        <v>0</v>
      </c>
      <c r="Y24" s="120">
        <v>0</v>
      </c>
      <c r="Z24" s="110"/>
      <c r="AA24" s="121">
        <f>SUM(X24*0.75)+(Z24*0.75)</f>
        <v>0</v>
      </c>
      <c r="AB24" s="121">
        <f>(Y24*0.75)+(Z24*0.75)</f>
        <v>0</v>
      </c>
      <c r="AC24" s="110"/>
      <c r="AD24" s="110"/>
      <c r="AE24" s="121">
        <f>AC24*0.75</f>
        <v>0</v>
      </c>
      <c r="AF24" s="121">
        <f>AD24*0.75</f>
        <v>0</v>
      </c>
      <c r="AG24" s="98">
        <v>0</v>
      </c>
      <c r="AH24" s="98">
        <v>0</v>
      </c>
      <c r="AI24" s="98">
        <f>AG24*0.75</f>
        <v>0</v>
      </c>
      <c r="AJ24" s="98">
        <f>AH24*0.75</f>
        <v>0</v>
      </c>
      <c r="AK24" s="103"/>
      <c r="AL24" s="98"/>
      <c r="AM24" s="98">
        <f>AK24*$C$2</f>
        <v>0</v>
      </c>
      <c r="AN24" s="98">
        <f>AL24*$C$3</f>
        <v>0</v>
      </c>
      <c r="AO24" s="98"/>
      <c r="AP24" s="98"/>
      <c r="AQ24" s="131">
        <v>18.23</v>
      </c>
      <c r="AR24" s="131">
        <v>8.07</v>
      </c>
      <c r="AS24" s="99"/>
      <c r="AT24" s="98">
        <f>AS24*$C$3</f>
        <v>0</v>
      </c>
      <c r="AU24" s="99"/>
      <c r="AV24" s="149">
        <f>AU24*$C$3</f>
        <v>0</v>
      </c>
      <c r="AW24" s="99">
        <v>61.59</v>
      </c>
      <c r="AX24" s="99">
        <v>37.409999999999997</v>
      </c>
      <c r="AY24" s="101"/>
      <c r="AZ24" s="98">
        <f>AY24*$D$2</f>
        <v>0</v>
      </c>
      <c r="BA24" s="98"/>
      <c r="BB24" s="98"/>
      <c r="BC24" s="99">
        <f>22.59+6</f>
        <v>28.59</v>
      </c>
      <c r="BD24" s="99">
        <v>12</v>
      </c>
      <c r="BE24" s="98">
        <f>SUM(BC24*0.62)*$B$2</f>
        <v>23.220798000000002</v>
      </c>
      <c r="BF24" s="98">
        <f>SUM(BD24*0.62)*$B$3</f>
        <v>9.7463999999999995</v>
      </c>
      <c r="BG24" s="99">
        <v>6.92</v>
      </c>
      <c r="BH24" s="99">
        <v>0</v>
      </c>
      <c r="BI24" s="98">
        <f>(BG24*$C$3)</f>
        <v>7.6535200000000003</v>
      </c>
      <c r="BJ24" s="98">
        <f>BH24*$C$3</f>
        <v>0</v>
      </c>
      <c r="BK24" s="100"/>
      <c r="BL24" s="100"/>
      <c r="BM24" s="98"/>
      <c r="BN24" s="98">
        <f>BM24*$C$3</f>
        <v>0</v>
      </c>
      <c r="BO24" s="105">
        <v>89.66</v>
      </c>
      <c r="BP24" s="149">
        <f>BO24*$C$3</f>
        <v>99.163960000000003</v>
      </c>
      <c r="BQ24" s="112"/>
      <c r="BR24" s="112"/>
      <c r="BS24" s="104">
        <f>(BQ24/$D$2)*$C$2</f>
        <v>0</v>
      </c>
      <c r="BT24" s="104">
        <f>(BR24/$D$3)*$C$3</f>
        <v>0</v>
      </c>
      <c r="BU24" s="105">
        <v>2.65</v>
      </c>
      <c r="BV24" s="105">
        <v>0</v>
      </c>
      <c r="BW24" s="142">
        <f>BU24*$E$2</f>
        <v>3.4803332450000002</v>
      </c>
      <c r="BX24" s="142">
        <f>BV24*$E$3</f>
        <v>0</v>
      </c>
      <c r="BY24" s="110"/>
      <c r="BZ24" s="110"/>
      <c r="CA24" s="142">
        <f>BY24/2</f>
        <v>0</v>
      </c>
      <c r="CB24" s="142">
        <f>BZ24/2</f>
        <v>0</v>
      </c>
      <c r="CC24" s="106"/>
      <c r="CD24" s="106"/>
      <c r="CE24" s="98">
        <f>CC24*0.05</f>
        <v>0</v>
      </c>
      <c r="CF24" s="107">
        <f>CD24*0.05</f>
        <v>0</v>
      </c>
      <c r="CG24" s="81"/>
      <c r="CH24" s="65">
        <f>SUM(CI24:CO24)</f>
        <v>1850000</v>
      </c>
      <c r="CI24" s="133"/>
      <c r="CJ24" s="133"/>
      <c r="CK24" s="54">
        <v>1125000</v>
      </c>
      <c r="CL24" s="133"/>
      <c r="CM24" s="54">
        <v>690000</v>
      </c>
      <c r="CN24" s="133"/>
      <c r="CO24" s="133">
        <v>35000</v>
      </c>
      <c r="CP24" s="69"/>
      <c r="CQ24" s="68">
        <v>0</v>
      </c>
      <c r="CR24" s="69">
        <f>SUM(AO24,AQ24,F24,P24,BS24,AM24,AA24,AE24,J24,AI24,V24,BA24,BE24,CE24,AW24,CA24,BW24)</f>
        <v>354.44209124500003</v>
      </c>
      <c r="CS24" s="69">
        <f>SUM(AP24,AR24,G24,Q24,BN24,AZ24,M24,BT24,AN24,S24,AB24,AF24,K24,AJ24,BI24,W24,BB24,BF24,CF24,BP24,BL24,CG24,AT24,AV24,AX24,CB24,BX24)</f>
        <v>403.09658000000002</v>
      </c>
      <c r="CT24" s="70">
        <f>(((CR24*$A$2)+(CS24*$A$3))*0.6)+((BJ24*$A$3)*0.75)</f>
        <v>1850847.503706363</v>
      </c>
      <c r="CU24" s="70">
        <f>((CR24*$A$2)+(CS24*$A$3))*0.4+((BJ24*$A$3)*0.25)</f>
        <v>1233898.3358042422</v>
      </c>
      <c r="CV24" s="70">
        <f>CT24-CH24</f>
        <v>847.50370636302978</v>
      </c>
      <c r="CW24" s="55"/>
      <c r="CX24" s="118"/>
    </row>
    <row r="25" spans="1:102">
      <c r="A25" s="18"/>
      <c r="B25" s="94"/>
      <c r="C25" s="92"/>
      <c r="D25" s="102">
        <v>0</v>
      </c>
      <c r="E25" s="102">
        <v>0</v>
      </c>
      <c r="F25" s="98">
        <f t="shared" si="38"/>
        <v>0</v>
      </c>
      <c r="G25" s="98">
        <f t="shared" si="37"/>
        <v>0</v>
      </c>
      <c r="H25" s="110"/>
      <c r="I25" s="110"/>
      <c r="J25" s="98">
        <f t="shared" si="3"/>
        <v>0</v>
      </c>
      <c r="K25" s="98">
        <f t="shared" si="4"/>
        <v>0</v>
      </c>
      <c r="L25" s="103">
        <v>0</v>
      </c>
      <c r="M25" s="98">
        <f t="shared" si="5"/>
        <v>0</v>
      </c>
      <c r="N25" s="98"/>
      <c r="O25" s="98"/>
      <c r="P25" s="98">
        <f t="shared" si="6"/>
        <v>0</v>
      </c>
      <c r="Q25" s="98">
        <f t="shared" si="7"/>
        <v>0</v>
      </c>
      <c r="R25" s="103">
        <v>0</v>
      </c>
      <c r="S25" s="98">
        <f t="shared" si="8"/>
        <v>0</v>
      </c>
      <c r="T25" s="108">
        <v>0</v>
      </c>
      <c r="U25" s="99">
        <v>0</v>
      </c>
      <c r="V25" s="98">
        <f t="shared" si="9"/>
        <v>0</v>
      </c>
      <c r="W25" s="98">
        <f t="shared" si="10"/>
        <v>0</v>
      </c>
      <c r="X25" s="120">
        <v>0</v>
      </c>
      <c r="Y25" s="120">
        <v>0</v>
      </c>
      <c r="Z25" s="110"/>
      <c r="AA25" s="121">
        <f t="shared" si="11"/>
        <v>0</v>
      </c>
      <c r="AB25" s="121">
        <f t="shared" si="12"/>
        <v>0</v>
      </c>
      <c r="AC25" s="110"/>
      <c r="AD25" s="110"/>
      <c r="AE25" s="121">
        <f t="shared" si="13"/>
        <v>0</v>
      </c>
      <c r="AF25" s="121">
        <f t="shared" si="13"/>
        <v>0</v>
      </c>
      <c r="AG25" s="98">
        <v>0</v>
      </c>
      <c r="AH25" s="98">
        <v>0</v>
      </c>
      <c r="AI25" s="98">
        <f t="shared" si="14"/>
        <v>0</v>
      </c>
      <c r="AJ25" s="98">
        <f t="shared" si="14"/>
        <v>0</v>
      </c>
      <c r="AK25" s="103"/>
      <c r="AL25" s="98"/>
      <c r="AM25" s="98">
        <f t="shared" si="15"/>
        <v>0</v>
      </c>
      <c r="AN25" s="98">
        <f t="shared" si="16"/>
        <v>0</v>
      </c>
      <c r="AO25" s="98"/>
      <c r="AP25" s="98"/>
      <c r="AQ25" s="131"/>
      <c r="AR25" s="131"/>
      <c r="AS25" s="99"/>
      <c r="AT25" s="98">
        <f t="shared" si="17"/>
        <v>0</v>
      </c>
      <c r="AU25" s="99"/>
      <c r="AV25" s="149">
        <f t="shared" si="18"/>
        <v>0</v>
      </c>
      <c r="AW25" s="99">
        <v>0</v>
      </c>
      <c r="AX25" s="99">
        <v>0</v>
      </c>
      <c r="AY25" s="101"/>
      <c r="AZ25" s="98">
        <f t="shared" si="19"/>
        <v>0</v>
      </c>
      <c r="BA25" s="98"/>
      <c r="BB25" s="98"/>
      <c r="BC25" s="99"/>
      <c r="BD25" s="99"/>
      <c r="BE25" s="98">
        <f t="shared" si="20"/>
        <v>0</v>
      </c>
      <c r="BF25" s="98">
        <f t="shared" si="21"/>
        <v>0</v>
      </c>
      <c r="BG25" s="99"/>
      <c r="BH25" s="99"/>
      <c r="BI25" s="98">
        <f t="shared" si="22"/>
        <v>0</v>
      </c>
      <c r="BJ25" s="98">
        <f t="shared" si="23"/>
        <v>0</v>
      </c>
      <c r="BK25" s="100"/>
      <c r="BL25" s="100"/>
      <c r="BM25" s="98"/>
      <c r="BN25" s="98">
        <f t="shared" si="24"/>
        <v>0</v>
      </c>
      <c r="BO25" s="105">
        <v>0</v>
      </c>
      <c r="BP25" s="149">
        <f t="shared" si="25"/>
        <v>0</v>
      </c>
      <c r="BQ25" s="112"/>
      <c r="BR25" s="112"/>
      <c r="BS25" s="104">
        <f t="shared" si="26"/>
        <v>0</v>
      </c>
      <c r="BT25" s="104">
        <f t="shared" si="27"/>
        <v>0</v>
      </c>
      <c r="BU25" s="105">
        <v>0</v>
      </c>
      <c r="BV25" s="105">
        <v>0</v>
      </c>
      <c r="BW25" s="142">
        <f t="shared" si="28"/>
        <v>0</v>
      </c>
      <c r="BX25" s="142">
        <f t="shared" si="29"/>
        <v>0</v>
      </c>
      <c r="BY25" s="110"/>
      <c r="BZ25" s="110"/>
      <c r="CA25" s="142">
        <f t="shared" si="30"/>
        <v>0</v>
      </c>
      <c r="CB25" s="142">
        <f t="shared" si="30"/>
        <v>0</v>
      </c>
      <c r="CC25" s="106"/>
      <c r="CD25" s="106"/>
      <c r="CE25" s="98">
        <f t="shared" si="31"/>
        <v>0</v>
      </c>
      <c r="CF25" s="107">
        <f t="shared" si="31"/>
        <v>0</v>
      </c>
      <c r="CG25" s="81"/>
      <c r="CH25" s="65">
        <f t="shared" si="32"/>
        <v>0</v>
      </c>
      <c r="CI25" s="74"/>
      <c r="CJ25" s="74"/>
      <c r="CK25" s="54"/>
      <c r="CL25" s="74"/>
      <c r="CM25" s="54"/>
      <c r="CN25" s="74"/>
      <c r="CO25" s="74"/>
      <c r="CP25" s="90"/>
      <c r="CQ25" s="68">
        <v>0</v>
      </c>
      <c r="CR25" s="69">
        <f t="shared" si="33"/>
        <v>0</v>
      </c>
      <c r="CS25" s="69">
        <f t="shared" si="34"/>
        <v>0</v>
      </c>
      <c r="CT25" s="70">
        <f t="shared" si="0"/>
        <v>0</v>
      </c>
      <c r="CU25" s="70">
        <f t="shared" si="1"/>
        <v>0</v>
      </c>
      <c r="CV25" s="70">
        <f t="shared" si="35"/>
        <v>0</v>
      </c>
      <c r="CW25" s="55"/>
      <c r="CX25" s="118"/>
    </row>
    <row r="26" spans="1:102" ht="21.75" thickBot="1">
      <c r="A26" s="18"/>
      <c r="B26" s="94"/>
      <c r="C26" s="92"/>
      <c r="D26" s="102">
        <v>0</v>
      </c>
      <c r="E26" s="102">
        <v>0</v>
      </c>
      <c r="F26" s="98">
        <f t="shared" ref="F26:G26" si="40">SUM((D26*2)*0.3)</f>
        <v>0</v>
      </c>
      <c r="G26" s="98">
        <f t="shared" si="40"/>
        <v>0</v>
      </c>
      <c r="H26" s="110"/>
      <c r="I26" s="110"/>
      <c r="J26" s="98">
        <f t="shared" si="3"/>
        <v>0</v>
      </c>
      <c r="K26" s="98">
        <f t="shared" si="4"/>
        <v>0</v>
      </c>
      <c r="L26" s="103">
        <v>0</v>
      </c>
      <c r="M26" s="98">
        <f t="shared" si="5"/>
        <v>0</v>
      </c>
      <c r="N26" s="98"/>
      <c r="O26" s="98"/>
      <c r="P26" s="98">
        <f t="shared" si="6"/>
        <v>0</v>
      </c>
      <c r="Q26" s="98">
        <f t="shared" si="7"/>
        <v>0</v>
      </c>
      <c r="R26" s="103">
        <v>0</v>
      </c>
      <c r="S26" s="98">
        <f t="shared" si="8"/>
        <v>0</v>
      </c>
      <c r="T26" s="108">
        <v>0</v>
      </c>
      <c r="U26" s="99">
        <v>0</v>
      </c>
      <c r="V26" s="98">
        <f t="shared" si="9"/>
        <v>0</v>
      </c>
      <c r="W26" s="98">
        <f t="shared" si="10"/>
        <v>0</v>
      </c>
      <c r="X26" s="120">
        <v>0</v>
      </c>
      <c r="Y26" s="120">
        <v>0</v>
      </c>
      <c r="Z26" s="110"/>
      <c r="AA26" s="121">
        <f t="shared" si="11"/>
        <v>0</v>
      </c>
      <c r="AB26" s="121">
        <f t="shared" si="12"/>
        <v>0</v>
      </c>
      <c r="AC26" s="110"/>
      <c r="AD26" s="110"/>
      <c r="AE26" s="121">
        <f t="shared" si="13"/>
        <v>0</v>
      </c>
      <c r="AF26" s="121">
        <f t="shared" si="13"/>
        <v>0</v>
      </c>
      <c r="AG26" s="98">
        <v>0</v>
      </c>
      <c r="AH26" s="98">
        <v>0</v>
      </c>
      <c r="AI26" s="98">
        <f t="shared" si="14"/>
        <v>0</v>
      </c>
      <c r="AJ26" s="98">
        <f t="shared" si="14"/>
        <v>0</v>
      </c>
      <c r="AK26" s="103"/>
      <c r="AL26" s="98"/>
      <c r="AM26" s="98">
        <f t="shared" si="15"/>
        <v>0</v>
      </c>
      <c r="AN26" s="98">
        <f t="shared" si="16"/>
        <v>0</v>
      </c>
      <c r="AO26" s="98"/>
      <c r="AP26" s="98"/>
      <c r="AQ26" s="131"/>
      <c r="AR26" s="131"/>
      <c r="AS26" s="99"/>
      <c r="AT26" s="98">
        <f t="shared" si="17"/>
        <v>0</v>
      </c>
      <c r="AU26" s="99"/>
      <c r="AV26" s="149">
        <f t="shared" si="18"/>
        <v>0</v>
      </c>
      <c r="AW26" s="99">
        <v>0</v>
      </c>
      <c r="AX26" s="99">
        <v>0</v>
      </c>
      <c r="AY26" s="101"/>
      <c r="AZ26" s="98">
        <f t="shared" si="19"/>
        <v>0</v>
      </c>
      <c r="BA26" s="98"/>
      <c r="BB26" s="98"/>
      <c r="BC26" s="99"/>
      <c r="BD26" s="99"/>
      <c r="BE26" s="98">
        <f t="shared" si="20"/>
        <v>0</v>
      </c>
      <c r="BF26" s="98">
        <f t="shared" si="21"/>
        <v>0</v>
      </c>
      <c r="BG26" s="99"/>
      <c r="BH26" s="99"/>
      <c r="BI26" s="98">
        <f t="shared" si="22"/>
        <v>0</v>
      </c>
      <c r="BJ26" s="98">
        <f t="shared" si="23"/>
        <v>0</v>
      </c>
      <c r="BK26" s="100"/>
      <c r="BL26" s="100"/>
      <c r="BM26" s="98"/>
      <c r="BN26" s="98">
        <f t="shared" si="24"/>
        <v>0</v>
      </c>
      <c r="BO26" s="105">
        <v>0</v>
      </c>
      <c r="BP26" s="149">
        <f t="shared" si="25"/>
        <v>0</v>
      </c>
      <c r="BQ26" s="112"/>
      <c r="BR26" s="112"/>
      <c r="BS26" s="104">
        <f t="shared" si="26"/>
        <v>0</v>
      </c>
      <c r="BT26" s="104">
        <f t="shared" si="27"/>
        <v>0</v>
      </c>
      <c r="BU26" s="105">
        <v>0</v>
      </c>
      <c r="BV26" s="105">
        <v>0</v>
      </c>
      <c r="BW26" s="142">
        <f t="shared" si="28"/>
        <v>0</v>
      </c>
      <c r="BX26" s="142">
        <f t="shared" si="29"/>
        <v>0</v>
      </c>
      <c r="BY26" s="110"/>
      <c r="BZ26" s="110"/>
      <c r="CA26" s="142">
        <f t="shared" si="30"/>
        <v>0</v>
      </c>
      <c r="CB26" s="142">
        <f t="shared" si="30"/>
        <v>0</v>
      </c>
      <c r="CC26" s="106"/>
      <c r="CD26" s="106"/>
      <c r="CE26" s="98">
        <f t="shared" si="31"/>
        <v>0</v>
      </c>
      <c r="CF26" s="107">
        <f t="shared" si="31"/>
        <v>0</v>
      </c>
      <c r="CG26" s="81"/>
      <c r="CH26" s="65">
        <f t="shared" si="32"/>
        <v>0</v>
      </c>
      <c r="CI26" s="74"/>
      <c r="CJ26" s="74"/>
      <c r="CK26" s="54"/>
      <c r="CL26" s="74"/>
      <c r="CM26" s="54"/>
      <c r="CN26" s="74"/>
      <c r="CO26" s="74"/>
      <c r="CP26" s="90"/>
      <c r="CQ26" s="68">
        <v>0</v>
      </c>
      <c r="CR26" s="69">
        <f t="shared" si="33"/>
        <v>0</v>
      </c>
      <c r="CS26" s="69">
        <f t="shared" si="34"/>
        <v>0</v>
      </c>
      <c r="CT26" s="70">
        <f t="shared" si="0"/>
        <v>0</v>
      </c>
      <c r="CU26" s="70">
        <f t="shared" si="1"/>
        <v>0</v>
      </c>
      <c r="CV26" s="70">
        <f t="shared" si="35"/>
        <v>0</v>
      </c>
      <c r="CW26" s="55"/>
      <c r="CX26" s="118"/>
    </row>
    <row r="27" spans="1:102" s="5" customFormat="1" ht="44.25" customHeight="1" thickBot="1">
      <c r="A27" s="19"/>
      <c r="B27" s="38"/>
      <c r="C27" s="20" t="s">
        <v>172</v>
      </c>
      <c r="D27" s="77">
        <f t="shared" ref="D27:AI27" si="41">SUM(D7:D26)</f>
        <v>33.700000000000003</v>
      </c>
      <c r="E27" s="77">
        <f t="shared" si="41"/>
        <v>68.8</v>
      </c>
      <c r="F27" s="77">
        <f t="shared" si="41"/>
        <v>20.22</v>
      </c>
      <c r="G27" s="77">
        <f t="shared" si="41"/>
        <v>41.28</v>
      </c>
      <c r="H27" s="77">
        <f t="shared" si="41"/>
        <v>133</v>
      </c>
      <c r="I27" s="77">
        <f t="shared" si="41"/>
        <v>19.670000000000002</v>
      </c>
      <c r="J27" s="77">
        <f t="shared" si="41"/>
        <v>114.73644000000002</v>
      </c>
      <c r="K27" s="77">
        <f t="shared" si="41"/>
        <v>16.968915600000003</v>
      </c>
      <c r="L27" s="77">
        <f t="shared" si="41"/>
        <v>534.65</v>
      </c>
      <c r="M27" s="77">
        <f t="shared" si="41"/>
        <v>534.65</v>
      </c>
      <c r="N27" s="77">
        <f t="shared" si="41"/>
        <v>318.84000000000003</v>
      </c>
      <c r="O27" s="77">
        <f t="shared" si="41"/>
        <v>222.57</v>
      </c>
      <c r="P27" s="77">
        <f t="shared" si="41"/>
        <v>352.63704000000001</v>
      </c>
      <c r="Q27" s="77">
        <f t="shared" si="41"/>
        <v>246.16242000000003</v>
      </c>
      <c r="R27" s="77">
        <f t="shared" si="41"/>
        <v>925.93999999999983</v>
      </c>
      <c r="S27" s="77">
        <f t="shared" si="41"/>
        <v>1024.0896400000001</v>
      </c>
      <c r="T27" s="77">
        <f t="shared" si="41"/>
        <v>380.39</v>
      </c>
      <c r="U27" s="77">
        <f t="shared" si="41"/>
        <v>320.58999999999997</v>
      </c>
      <c r="V27" s="77">
        <f t="shared" si="41"/>
        <v>420.71134000000001</v>
      </c>
      <c r="W27" s="77">
        <f t="shared" si="41"/>
        <v>354.57254000000006</v>
      </c>
      <c r="X27" s="77">
        <f t="shared" si="41"/>
        <v>1090</v>
      </c>
      <c r="Y27" s="77">
        <f t="shared" si="41"/>
        <v>902.5</v>
      </c>
      <c r="Z27" s="77">
        <f t="shared" si="41"/>
        <v>0</v>
      </c>
      <c r="AA27" s="77">
        <f t="shared" si="41"/>
        <v>817.5</v>
      </c>
      <c r="AB27" s="77">
        <f t="shared" si="41"/>
        <v>676.875</v>
      </c>
      <c r="AC27" s="77">
        <f t="shared" si="41"/>
        <v>0</v>
      </c>
      <c r="AD27" s="77">
        <f t="shared" si="41"/>
        <v>0</v>
      </c>
      <c r="AE27" s="77">
        <f t="shared" si="41"/>
        <v>0</v>
      </c>
      <c r="AF27" s="77">
        <f t="shared" si="41"/>
        <v>0</v>
      </c>
      <c r="AG27" s="77">
        <f t="shared" si="41"/>
        <v>0</v>
      </c>
      <c r="AH27" s="77">
        <f t="shared" si="41"/>
        <v>0</v>
      </c>
      <c r="AI27" s="77">
        <f t="shared" si="41"/>
        <v>0</v>
      </c>
      <c r="AJ27" s="77">
        <f t="shared" ref="AJ27:BO27" si="42">SUM(AJ7:AJ26)</f>
        <v>0</v>
      </c>
      <c r="AK27" s="77">
        <f t="shared" si="42"/>
        <v>1024.42</v>
      </c>
      <c r="AL27" s="77">
        <f t="shared" si="42"/>
        <v>973.60000000000025</v>
      </c>
      <c r="AM27" s="77">
        <f t="shared" si="42"/>
        <v>1133.0085200000001</v>
      </c>
      <c r="AN27" s="77">
        <f t="shared" si="42"/>
        <v>1076.8016000000002</v>
      </c>
      <c r="AO27" s="77">
        <f t="shared" si="42"/>
        <v>50.59</v>
      </c>
      <c r="AP27" s="77">
        <f t="shared" si="42"/>
        <v>116.74</v>
      </c>
      <c r="AQ27" s="77">
        <f t="shared" si="42"/>
        <v>420.95000000000005</v>
      </c>
      <c r="AR27" s="77">
        <f t="shared" si="42"/>
        <v>313.95000000000005</v>
      </c>
      <c r="AS27" s="77">
        <f t="shared" si="42"/>
        <v>0</v>
      </c>
      <c r="AT27" s="77">
        <f t="shared" si="42"/>
        <v>0</v>
      </c>
      <c r="AU27" s="77">
        <f t="shared" si="42"/>
        <v>73.900000000000006</v>
      </c>
      <c r="AV27" s="77">
        <f t="shared" si="42"/>
        <v>81.733400000000017</v>
      </c>
      <c r="AW27" s="77">
        <f t="shared" si="42"/>
        <v>866.91</v>
      </c>
      <c r="AX27" s="77">
        <f t="shared" si="42"/>
        <v>502.12</v>
      </c>
      <c r="AY27" s="77">
        <f t="shared" si="42"/>
        <v>0</v>
      </c>
      <c r="AZ27" s="77">
        <f t="shared" si="42"/>
        <v>0</v>
      </c>
      <c r="BA27" s="77">
        <f t="shared" si="42"/>
        <v>44.92</v>
      </c>
      <c r="BB27" s="77">
        <f t="shared" si="42"/>
        <v>127.64</v>
      </c>
      <c r="BC27" s="77">
        <f t="shared" si="42"/>
        <v>186.94</v>
      </c>
      <c r="BD27" s="77">
        <f t="shared" si="42"/>
        <v>98.14</v>
      </c>
      <c r="BE27" s="77">
        <f t="shared" si="42"/>
        <v>151.83266800000001</v>
      </c>
      <c r="BF27" s="77">
        <f t="shared" si="42"/>
        <v>79.709307999999993</v>
      </c>
      <c r="BG27" s="77">
        <f t="shared" si="42"/>
        <v>422.33000000000004</v>
      </c>
      <c r="BH27" s="77">
        <f t="shared" si="42"/>
        <v>24.68</v>
      </c>
      <c r="BI27" s="77">
        <f t="shared" si="42"/>
        <v>467.09698000000003</v>
      </c>
      <c r="BJ27" s="77">
        <f t="shared" si="42"/>
        <v>27.296080000000003</v>
      </c>
      <c r="BK27" s="77">
        <f t="shared" si="42"/>
        <v>0</v>
      </c>
      <c r="BL27" s="77">
        <f t="shared" si="42"/>
        <v>0</v>
      </c>
      <c r="BM27" s="77">
        <f t="shared" si="42"/>
        <v>0</v>
      </c>
      <c r="BN27" s="77">
        <f t="shared" si="42"/>
        <v>0</v>
      </c>
      <c r="BO27" s="77">
        <f t="shared" si="42"/>
        <v>1294.3200000000002</v>
      </c>
      <c r="BP27" s="77">
        <f t="shared" ref="BP27:CP27" si="43">SUM(BP7:BP26)</f>
        <v>1431.5179200000005</v>
      </c>
      <c r="BQ27" s="114">
        <f t="shared" si="43"/>
        <v>0</v>
      </c>
      <c r="BR27" s="77">
        <f t="shared" si="43"/>
        <v>0</v>
      </c>
      <c r="BS27" s="77">
        <f t="shared" si="43"/>
        <v>0</v>
      </c>
      <c r="BT27" s="77">
        <f t="shared" si="43"/>
        <v>0</v>
      </c>
      <c r="BU27" s="77">
        <f t="shared" si="43"/>
        <v>69.320000000000007</v>
      </c>
      <c r="BV27" s="77">
        <f t="shared" si="43"/>
        <v>44.92</v>
      </c>
      <c r="BW27" s="77">
        <f t="shared" si="43"/>
        <v>91.040264356000009</v>
      </c>
      <c r="BX27" s="77">
        <f t="shared" si="43"/>
        <v>58.845200000000006</v>
      </c>
      <c r="BY27" s="77">
        <f t="shared" si="43"/>
        <v>275.66999999999996</v>
      </c>
      <c r="BZ27" s="77">
        <f t="shared" si="43"/>
        <v>405.15999999999997</v>
      </c>
      <c r="CA27" s="77">
        <f t="shared" si="43"/>
        <v>137.83499999999998</v>
      </c>
      <c r="CB27" s="77">
        <f t="shared" si="43"/>
        <v>202.57999999999998</v>
      </c>
      <c r="CC27" s="77">
        <f t="shared" si="43"/>
        <v>841</v>
      </c>
      <c r="CD27" s="77">
        <f t="shared" si="43"/>
        <v>99</v>
      </c>
      <c r="CE27" s="77">
        <f t="shared" si="43"/>
        <v>42.050000000000004</v>
      </c>
      <c r="CF27" s="77">
        <f t="shared" si="43"/>
        <v>4.95</v>
      </c>
      <c r="CG27" s="77">
        <f t="shared" si="43"/>
        <v>0</v>
      </c>
      <c r="CH27" s="77">
        <f t="shared" si="43"/>
        <v>29396000</v>
      </c>
      <c r="CI27" s="77">
        <f t="shared" si="43"/>
        <v>0</v>
      </c>
      <c r="CJ27" s="77">
        <f t="shared" si="43"/>
        <v>1300000</v>
      </c>
      <c r="CK27" s="77">
        <f t="shared" si="43"/>
        <v>15425000</v>
      </c>
      <c r="CL27" s="77">
        <f t="shared" si="43"/>
        <v>600000</v>
      </c>
      <c r="CM27" s="77">
        <f t="shared" si="43"/>
        <v>12001000</v>
      </c>
      <c r="CN27" s="77">
        <f t="shared" si="43"/>
        <v>0</v>
      </c>
      <c r="CO27" s="77">
        <f t="shared" si="43"/>
        <v>70000</v>
      </c>
      <c r="CP27" s="77">
        <f t="shared" si="43"/>
        <v>0</v>
      </c>
      <c r="CR27" s="5">
        <f>SUM(CR7:CR26)</f>
        <v>4664.9412723559999</v>
      </c>
      <c r="CS27" s="5">
        <f>SUM(CS7:CS26)</f>
        <v>7358.2829236000007</v>
      </c>
      <c r="CT27" s="6">
        <f>SUM(CT7:CT26)</f>
        <v>29396272.484686274</v>
      </c>
      <c r="CU27" s="6">
        <f>SUM(CU7:CU26)</f>
        <v>19570068.781350855</v>
      </c>
      <c r="CV27" s="5">
        <f>SUM(CV7:CV26)</f>
        <v>272.48468627613602</v>
      </c>
      <c r="CW27" s="56" t="s">
        <v>173</v>
      </c>
      <c r="CX27" s="57">
        <f>SUM(CX6:CX26)</f>
        <v>10596662</v>
      </c>
    </row>
    <row r="28" spans="1:102" ht="26.25">
      <c r="B28" s="39"/>
      <c r="CW28" s="58" t="s">
        <v>174</v>
      </c>
      <c r="CX28" s="47">
        <f>CU27</f>
        <v>19570068.781350855</v>
      </c>
    </row>
    <row r="29" spans="1:102" ht="28.5">
      <c r="CW29" s="59" t="s">
        <v>175</v>
      </c>
      <c r="CX29" s="76">
        <f>CX28-CX27</f>
        <v>8973406.7813508548</v>
      </c>
    </row>
    <row r="30" spans="1:102">
      <c r="B30" s="1"/>
      <c r="H30" s="10"/>
      <c r="I30" s="10"/>
      <c r="J30" s="10"/>
      <c r="K30" s="10"/>
      <c r="L30" s="88"/>
      <c r="M30" s="10"/>
      <c r="N30" s="10"/>
      <c r="O30" s="10"/>
      <c r="BT30" s="7"/>
      <c r="BX30" s="7"/>
      <c r="CB30" s="7"/>
      <c r="CC30" s="8"/>
      <c r="CD30" s="5"/>
      <c r="CE30" s="5"/>
    </row>
    <row r="31" spans="1:102">
      <c r="A31" s="12"/>
      <c r="B31" s="1"/>
      <c r="C31" s="40"/>
      <c r="D31" s="40"/>
      <c r="E31" s="40"/>
      <c r="F31" s="40"/>
      <c r="G31" s="40"/>
      <c r="H31" s="40"/>
    </row>
    <row r="32" spans="1:102" ht="52.5" customHeight="1">
      <c r="A32" s="12"/>
      <c r="B32" s="1"/>
      <c r="C32" s="40"/>
      <c r="D32" s="13"/>
      <c r="E32" s="40"/>
      <c r="F32" s="41"/>
      <c r="G32" s="42"/>
      <c r="H32" s="40"/>
      <c r="V32" s="10"/>
      <c r="W32" s="10"/>
      <c r="X32" s="10"/>
      <c r="Y32" s="10"/>
      <c r="Z32" s="10"/>
      <c r="AA32" s="10"/>
      <c r="AB32" s="10"/>
      <c r="AC32" s="10"/>
      <c r="AD32" s="10"/>
    </row>
    <row r="33" spans="1:90">
      <c r="A33" s="12"/>
      <c r="B33" s="1"/>
      <c r="C33" s="40"/>
      <c r="D33" s="13"/>
      <c r="E33" s="40"/>
      <c r="F33" s="42"/>
      <c r="G33" s="42"/>
      <c r="H33" s="40"/>
      <c r="Q33" s="40"/>
      <c r="R33" s="40"/>
      <c r="S33" s="40"/>
      <c r="T33" s="40"/>
      <c r="U33" s="40"/>
      <c r="V33" s="40"/>
      <c r="CL33" s="1">
        <v>2</v>
      </c>
    </row>
    <row r="34" spans="1:90">
      <c r="A34" s="12"/>
      <c r="B34" s="1"/>
      <c r="C34" s="40"/>
      <c r="D34" s="13"/>
      <c r="E34" s="40"/>
      <c r="F34" s="42"/>
      <c r="G34" s="42"/>
      <c r="H34" s="40"/>
      <c r="Q34" s="40"/>
      <c r="R34" s="13"/>
      <c r="S34" s="40"/>
      <c r="T34" s="41"/>
      <c r="U34" s="42"/>
      <c r="V34" s="40"/>
    </row>
    <row r="35" spans="1:90">
      <c r="A35" s="12"/>
      <c r="B35" s="1"/>
      <c r="C35" s="40"/>
      <c r="D35" s="40"/>
      <c r="E35" s="40"/>
      <c r="F35" s="40"/>
      <c r="G35" s="40"/>
      <c r="H35" s="40"/>
      <c r="Q35" s="40"/>
      <c r="R35" s="13"/>
      <c r="S35" s="40"/>
      <c r="T35" s="42"/>
      <c r="U35" s="42"/>
      <c r="V35" s="40"/>
    </row>
    <row r="36" spans="1:90" ht="20.25" customHeight="1">
      <c r="A36" s="12"/>
      <c r="B36" s="1"/>
      <c r="C36" s="40"/>
      <c r="D36" s="14"/>
      <c r="E36" s="40"/>
      <c r="F36" s="42"/>
      <c r="G36" s="42"/>
      <c r="H36" s="40"/>
      <c r="Q36" s="40"/>
      <c r="R36" s="13"/>
      <c r="S36" s="40"/>
      <c r="T36" s="42"/>
      <c r="U36" s="42"/>
      <c r="V36" s="40"/>
    </row>
    <row r="37" spans="1:90" ht="18" customHeight="1">
      <c r="A37" s="12"/>
      <c r="B37" s="1"/>
      <c r="C37" s="40"/>
      <c r="D37" s="40"/>
      <c r="E37" s="40"/>
      <c r="F37" s="40"/>
      <c r="G37" s="40"/>
      <c r="H37" s="40"/>
      <c r="Q37" s="40"/>
      <c r="R37" s="40"/>
      <c r="S37" s="40"/>
      <c r="T37" s="40"/>
      <c r="U37" s="40"/>
      <c r="V37" s="40"/>
    </row>
    <row r="38" spans="1:90">
      <c r="A38" s="12"/>
      <c r="B38" s="1"/>
      <c r="C38" s="40"/>
      <c r="D38" s="40"/>
      <c r="E38" s="40"/>
      <c r="F38" s="40"/>
      <c r="G38" s="40"/>
      <c r="H38" s="40"/>
      <c r="Q38" s="40"/>
      <c r="R38" s="14"/>
      <c r="S38" s="40"/>
      <c r="T38" s="42"/>
      <c r="U38" s="42"/>
      <c r="V38" s="40"/>
    </row>
    <row r="39" spans="1:90">
      <c r="A39" s="12"/>
      <c r="B39" s="1"/>
      <c r="Q39" s="40"/>
      <c r="R39" s="40"/>
      <c r="S39" s="40"/>
      <c r="T39" s="40"/>
      <c r="U39" s="40"/>
      <c r="V39" s="40"/>
    </row>
    <row r="40" spans="1:90">
      <c r="A40" s="12"/>
      <c r="B40" s="1"/>
      <c r="Q40" s="40"/>
      <c r="R40" s="40"/>
      <c r="S40" s="40"/>
      <c r="T40" s="40"/>
      <c r="U40" s="40"/>
      <c r="V40" s="40"/>
    </row>
    <row r="41" spans="1:90">
      <c r="A41" s="12"/>
      <c r="B41" s="1"/>
    </row>
    <row r="42" spans="1:90">
      <c r="A42" s="12"/>
      <c r="B42" s="1"/>
    </row>
    <row r="43" spans="1:90" ht="21" customHeight="1">
      <c r="A43" s="12"/>
      <c r="B43" s="1"/>
    </row>
    <row r="44" spans="1:90">
      <c r="A44" s="12"/>
      <c r="B44" s="1"/>
    </row>
    <row r="45" spans="1:90" ht="20.25" customHeight="1">
      <c r="A45" s="12"/>
      <c r="B45" s="1"/>
    </row>
    <row r="46" spans="1:90">
      <c r="B46" s="1"/>
      <c r="H46" s="10"/>
      <c r="I46" s="10"/>
      <c r="J46" s="10"/>
      <c r="K46" s="10"/>
      <c r="L46" s="10"/>
      <c r="M46" s="10"/>
      <c r="N46" s="10"/>
      <c r="O46" s="10"/>
    </row>
    <row r="47" spans="1:90">
      <c r="B47" s="1"/>
      <c r="C47" s="40"/>
      <c r="D47" s="40"/>
      <c r="E47" s="40"/>
      <c r="F47" s="40"/>
      <c r="G47" s="40"/>
      <c r="H47" s="40"/>
    </row>
    <row r="48" spans="1:90">
      <c r="B48" s="1"/>
      <c r="C48" s="40"/>
      <c r="D48" s="13"/>
      <c r="E48" s="40"/>
      <c r="F48" s="41"/>
      <c r="G48" s="42"/>
      <c r="H48" s="40"/>
    </row>
    <row r="49" spans="1:11">
      <c r="B49" s="1"/>
      <c r="C49" s="40"/>
      <c r="D49" s="13"/>
      <c r="E49" s="40"/>
      <c r="F49" s="42"/>
      <c r="G49" s="42"/>
      <c r="H49" s="40"/>
    </row>
    <row r="50" spans="1:11">
      <c r="B50" s="1"/>
      <c r="C50" s="40"/>
      <c r="D50" s="13"/>
      <c r="E50" s="40"/>
      <c r="F50" s="42"/>
      <c r="G50" s="42"/>
      <c r="H50" s="40"/>
    </row>
    <row r="51" spans="1:11" ht="21.75" customHeight="1">
      <c r="B51" s="1"/>
      <c r="C51" s="40"/>
      <c r="D51" s="40"/>
      <c r="E51" s="40"/>
      <c r="F51" s="40"/>
      <c r="G51" s="40"/>
      <c r="H51" s="40"/>
    </row>
    <row r="52" spans="1:11" ht="21.75" customHeight="1">
      <c r="B52" s="1"/>
      <c r="C52" s="40"/>
      <c r="D52" s="14"/>
      <c r="E52" s="40"/>
      <c r="F52" s="42"/>
      <c r="G52" s="42"/>
      <c r="H52" s="40"/>
    </row>
    <row r="53" spans="1:11" ht="21.75" customHeight="1">
      <c r="B53" s="1"/>
    </row>
    <row r="54" spans="1:11" ht="21.75" customHeight="1">
      <c r="B54" s="1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B58" s="1"/>
    </row>
    <row r="59" spans="1:11" ht="21.75" customHeight="1">
      <c r="B59" s="1"/>
    </row>
    <row r="60" spans="1:11" ht="21.75" customHeight="1">
      <c r="A60" s="12"/>
      <c r="B60" s="1"/>
    </row>
    <row r="61" spans="1:11" ht="21.75" customHeight="1">
      <c r="A61" s="12"/>
      <c r="B61" s="1"/>
    </row>
    <row r="62" spans="1:11" ht="21.75" customHeight="1">
      <c r="B62" s="1"/>
      <c r="K62" s="11"/>
    </row>
    <row r="63" spans="1:11" ht="21.75" customHeight="1">
      <c r="B63" s="1"/>
      <c r="K63" s="11"/>
    </row>
    <row r="64" spans="1:11">
      <c r="B64" s="1"/>
      <c r="K64" s="11"/>
    </row>
    <row r="65" spans="2:35">
      <c r="B65" s="1"/>
      <c r="K65" s="11"/>
    </row>
    <row r="66" spans="2:35">
      <c r="B66" s="1"/>
      <c r="K66" s="11"/>
    </row>
    <row r="67" spans="2:35">
      <c r="B67" s="1"/>
      <c r="K67" s="16"/>
    </row>
    <row r="68" spans="2:35">
      <c r="B68" s="1"/>
      <c r="K68" s="12"/>
    </row>
    <row r="69" spans="2:35">
      <c r="B69" s="1"/>
    </row>
    <row r="70" spans="2:35">
      <c r="B70" s="1"/>
    </row>
    <row r="71" spans="2:35">
      <c r="B71" s="9"/>
      <c r="C71" s="9"/>
      <c r="D71" s="9"/>
      <c r="E71" s="9"/>
      <c r="F71" s="9"/>
      <c r="G71" s="9"/>
      <c r="H71" s="9"/>
      <c r="I71" s="9"/>
      <c r="J71" s="9"/>
    </row>
    <row r="72" spans="2:35">
      <c r="B72" s="1"/>
    </row>
    <row r="73" spans="2:35" ht="46.5" customHeight="1">
      <c r="B73" s="1"/>
      <c r="K73" s="9"/>
      <c r="U73" s="9"/>
      <c r="V73" s="9"/>
      <c r="W73" s="9"/>
      <c r="X73" s="9"/>
      <c r="Y73" s="9"/>
      <c r="Z73" s="9"/>
      <c r="AA73" s="9"/>
      <c r="AB73" s="9"/>
      <c r="AC73" s="9"/>
      <c r="AD73" s="9"/>
      <c r="AI73" s="17"/>
    </row>
    <row r="74" spans="2:35" ht="21.75" customHeight="1">
      <c r="B74" s="1"/>
    </row>
    <row r="75" spans="2:35">
      <c r="B75" s="1"/>
      <c r="M75" s="9"/>
      <c r="N75" s="9"/>
      <c r="O75" s="9"/>
      <c r="P75" s="9"/>
      <c r="Q75" s="9"/>
      <c r="R75" s="9"/>
      <c r="S75" s="9"/>
      <c r="T75" s="9"/>
    </row>
    <row r="76" spans="2:35">
      <c r="B76" s="1"/>
    </row>
    <row r="77" spans="2:35">
      <c r="B77" s="1"/>
    </row>
    <row r="78" spans="2:35">
      <c r="B78" s="1"/>
    </row>
    <row r="79" spans="2:35">
      <c r="B79" s="1"/>
    </row>
    <row r="80" spans="2:35">
      <c r="B80" s="1"/>
    </row>
    <row r="81" spans="1:12">
      <c r="B81" s="1"/>
    </row>
    <row r="82" spans="1:12">
      <c r="B82" s="1"/>
    </row>
    <row r="83" spans="1:12">
      <c r="B83" s="1"/>
    </row>
    <row r="84" spans="1:12">
      <c r="B84" s="1"/>
    </row>
    <row r="85" spans="1:12">
      <c r="B85" s="1"/>
    </row>
    <row r="86" spans="1:12">
      <c r="B86" s="1"/>
    </row>
    <row r="87" spans="1:12">
      <c r="B87" s="1"/>
    </row>
    <row r="88" spans="1:12">
      <c r="B88" s="1"/>
    </row>
    <row r="89" spans="1:12">
      <c r="B89" s="1"/>
    </row>
    <row r="90" spans="1:12">
      <c r="B90" s="1"/>
    </row>
    <row r="91" spans="1:12">
      <c r="B91" s="1"/>
    </row>
    <row r="92" spans="1:12">
      <c r="B92" s="1"/>
    </row>
    <row r="93" spans="1:12">
      <c r="B93" s="1"/>
      <c r="D93" s="9"/>
      <c r="E93" s="9"/>
      <c r="F93" s="9"/>
      <c r="G93" s="9"/>
      <c r="H93" s="9"/>
      <c r="I93" s="9"/>
      <c r="J93" s="9"/>
      <c r="K93" s="9"/>
      <c r="L93" s="9"/>
    </row>
    <row r="94" spans="1:12">
      <c r="B94" s="1"/>
    </row>
    <row r="95" spans="1:12">
      <c r="A95" s="9"/>
      <c r="B95" s="9"/>
      <c r="C95" s="9"/>
    </row>
    <row r="96" spans="1:1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1:12">
      <c r="B113" s="1"/>
    </row>
    <row r="114" spans="1:12">
      <c r="B114" s="1"/>
      <c r="D114" s="9"/>
      <c r="E114" s="9"/>
      <c r="F114" s="9"/>
      <c r="G114" s="9"/>
      <c r="H114" s="9"/>
      <c r="I114" s="9"/>
    </row>
    <row r="115" spans="1:12">
      <c r="B115" s="1"/>
      <c r="J115" s="9"/>
      <c r="K115" s="9"/>
      <c r="L115" s="9"/>
    </row>
    <row r="116" spans="1:12">
      <c r="A116" s="9"/>
      <c r="B116" s="9"/>
      <c r="C116" s="9"/>
    </row>
    <row r="117" spans="1:12">
      <c r="B117" s="1"/>
    </row>
    <row r="118" spans="1:12">
      <c r="B118" s="1"/>
    </row>
  </sheetData>
  <mergeCells count="27"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T5:W5"/>
    <mergeCell ref="D5:G5"/>
    <mergeCell ref="H5:K5"/>
    <mergeCell ref="L5:M5"/>
    <mergeCell ref="N5:Q5"/>
    <mergeCell ref="R5:S5"/>
  </mergeCells>
  <conditionalFormatting sqref="CT7:CV26">
    <cfRule type="cellIs" dxfId="204" priority="33" operator="lessThan">
      <formula>0</formula>
    </cfRule>
    <cfRule type="cellIs" dxfId="203" priority="34" operator="greaterThan">
      <formula>0</formula>
    </cfRule>
  </conditionalFormatting>
  <conditionalFormatting sqref="CR7:CS26">
    <cfRule type="cellIs" dxfId="202" priority="29" operator="greaterThan">
      <formula>1000</formula>
    </cfRule>
    <cfRule type="cellIs" dxfId="201" priority="30" operator="between">
      <formula>500</formula>
      <formula>1000</formula>
    </cfRule>
    <cfRule type="cellIs" dxfId="200" priority="31" operator="between">
      <formula>300</formula>
      <formula>500</formula>
    </cfRule>
    <cfRule type="cellIs" dxfId="199" priority="32" operator="lessThan">
      <formula>300</formula>
    </cfRule>
  </conditionalFormatting>
  <conditionalFormatting sqref="AI73">
    <cfRule type="cellIs" dxfId="198" priority="28" operator="greaterThanOrEqual">
      <formula>10</formula>
    </cfRule>
  </conditionalFormatting>
  <conditionalFormatting sqref="B119:B1048576 B6 C5 B13:B52">
    <cfRule type="duplicateValues" dxfId="197" priority="27"/>
  </conditionalFormatting>
  <conditionalFormatting sqref="C13:C26">
    <cfRule type="containsText" dxfId="196" priority="26" operator="containsText" text="@">
      <formula>NOT(ISERROR(SEARCH("@",C13)))</formula>
    </cfRule>
  </conditionalFormatting>
  <conditionalFormatting sqref="B13:B26">
    <cfRule type="notContainsBlanks" dxfId="195" priority="25">
      <formula>LEN(TRIM(B13))&gt;0</formula>
    </cfRule>
  </conditionalFormatting>
  <conditionalFormatting sqref="Z7:AN7 CH6:CO7 D7:M7 P7:W7 AC8:AD8 C8 AU7:AX7 AZ8:BF8 CA7:CG7 Z8:Z11 AY8:AY11 AA8:AB12 AZ9:BH12 CA8:CV12 A13:K15 AE8:AJ12 AS8:AX12 D8:K12 B16:Q16 AS13:CO15 BI7:BZ12 L8:R8 BG7:BH8 CP7:CV7 AM17:XFD20 Z21:XFD26 A17:E26 F25:W26 F17:Q24 AM8:AP15 AQ7:AR15 L9:Q15 CP13:CX14 CY7:XFD14 AW9:AX15 AM16:CO16 CP15:XFD16 Z13:AJ20 D9:E22 R9:R24 S8:W24 AK8:AL20 BO9:BO18">
    <cfRule type="expression" dxfId="194" priority="24">
      <formula>CELL("row")=ROW()</formula>
    </cfRule>
  </conditionalFormatting>
  <conditionalFormatting sqref="A1">
    <cfRule type="expression" dxfId="193" priority="23">
      <formula>CELL("row")=ROW()</formula>
    </cfRule>
  </conditionalFormatting>
  <conditionalFormatting sqref="P7:S7 AC8:AD8 BK10:BL12 BN10:BN12 J7:M7 AI7:AN7 Z8:Z11 AY8:AY11 BK7:BN9 S8:S12 AI21:AS26 J25:U26 AM8:AP15 AS8:AS15 AQ7:AR15 AM16:AS20 S13:U24 AA7:AB26 AE7:AF26 BA8:BD26 BM10:BM26 BU7:BV26 BG7:BH26 D7:G26 J8:R24 AI8:AL20 AU7:AX26 BO7:BP26">
    <cfRule type="containsText" dxfId="192" priority="22" operator="containsText" text=".">
      <formula>NOT(ISERROR(SEARCH(".",D7)))</formula>
    </cfRule>
  </conditionalFormatting>
  <conditionalFormatting sqref="C7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{5BE40F89-3A3C-4FEC-9060-9A8A3970EAD3}</x14:id>
        </ext>
      </extLst>
    </cfRule>
  </conditionalFormatting>
  <conditionalFormatting sqref="AS7:AT7 AY7:BF7 N7:O7 AO7:AP7">
    <cfRule type="expression" dxfId="191" priority="20">
      <formula>CELL("row")=ROW()</formula>
    </cfRule>
  </conditionalFormatting>
  <conditionalFormatting sqref="AY7:BF7 Z7 AS7:AT7 AO7:AP7 N7:O7 AC7:AD7 H7:I14 AZ8:AZ26 BE8:BF26 BI7:BJ26 AT8:AT26 AG7:AH26 T7:W26">
    <cfRule type="containsText" dxfId="190" priority="19" operator="containsText" text=".">
      <formula>NOT(ISERROR(SEARCH(".",H7)))</formula>
    </cfRule>
  </conditionalFormatting>
  <conditionalFormatting sqref="C33">
    <cfRule type="duplicateValues" dxfId="189" priority="18"/>
  </conditionalFormatting>
  <conditionalFormatting sqref="C33">
    <cfRule type="containsText" dxfId="188" priority="17" operator="containsText" text="@">
      <formula>NOT(ISERROR(SEARCH("@",C33)))</formula>
    </cfRule>
  </conditionalFormatting>
  <conditionalFormatting sqref="C33">
    <cfRule type="expression" dxfId="187" priority="16">
      <formula>CELL("row")=ROW()</formula>
    </cfRule>
  </conditionalFormatting>
  <conditionalFormatting sqref="C34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{E2D494B5-345D-4451-B790-6D2F51A961AF}</x14:id>
        </ext>
      </extLst>
    </cfRule>
  </conditionalFormatting>
  <conditionalFormatting sqref="C3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{7B01A26E-FF4D-472E-8500-626F560BE2D1}</x14:id>
        </ext>
      </extLst>
    </cfRule>
  </conditionalFormatting>
  <conditionalFormatting sqref="C41">
    <cfRule type="containsText" dxfId="186" priority="13" operator="containsText" text="@">
      <formula>NOT(ISERROR(SEARCH("@",C41)))</formula>
    </cfRule>
  </conditionalFormatting>
  <conditionalFormatting sqref="C41">
    <cfRule type="expression" dxfId="185" priority="12">
      <formula>CELL("row")=ROW()</formula>
    </cfRule>
  </conditionalFormatting>
  <conditionalFormatting sqref="C42">
    <cfRule type="duplicateValues" dxfId="184" priority="11"/>
  </conditionalFormatting>
  <conditionalFormatting sqref="C42">
    <cfRule type="containsText" dxfId="183" priority="10" operator="containsText" text="@">
      <formula>NOT(ISERROR(SEARCH("@",C42)))</formula>
    </cfRule>
  </conditionalFormatting>
  <conditionalFormatting sqref="C42">
    <cfRule type="expression" dxfId="182" priority="9">
      <formula>CELL("row")=ROW()</formula>
    </cfRule>
  </conditionalFormatting>
  <conditionalFormatting sqref="C44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{46001A73-CF84-4617-B68F-DC8FF3737019}</x14:id>
        </ext>
      </extLst>
    </cfRule>
  </conditionalFormatting>
  <conditionalFormatting sqref="C48">
    <cfRule type="duplicateValues" dxfId="181" priority="7"/>
  </conditionalFormatting>
  <conditionalFormatting sqref="C48">
    <cfRule type="containsText" dxfId="180" priority="6" operator="containsText" text="@">
      <formula>NOT(ISERROR(SEARCH("@",C48)))</formula>
    </cfRule>
  </conditionalFormatting>
  <conditionalFormatting sqref="C48">
    <cfRule type="expression" dxfId="179" priority="5">
      <formula>CELL("row")=ROW()</formula>
    </cfRule>
  </conditionalFormatting>
  <conditionalFormatting sqref="H8:I8">
    <cfRule type="containsText" dxfId="178" priority="4" operator="containsText" text=".">
      <formula>NOT(ISERROR(SEARCH(".",H8)))</formula>
    </cfRule>
  </conditionalFormatting>
  <conditionalFormatting sqref="AY12 Z12 AC12:AD12">
    <cfRule type="expression" dxfId="177" priority="3">
      <formula>CELL("row")=ROW()</formula>
    </cfRule>
  </conditionalFormatting>
  <conditionalFormatting sqref="Z12 AY12 AC12:AD12">
    <cfRule type="containsText" dxfId="176" priority="2" operator="containsText" text=".">
      <formula>NOT(ISERROR(SEARCH(".",Z12)))</formula>
    </cfRule>
  </conditionalFormatting>
  <conditionalFormatting sqref="H16:I16">
    <cfRule type="containsText" dxfId="175" priority="1" operator="containsText" text=".">
      <formula>NOT(ISERROR(SEARCH(".",H16)))</formula>
    </cfRule>
  </conditionalFormatting>
  <conditionalFormatting sqref="CT7:CT26">
    <cfRule type="colorScale" priority="29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138" scale="13" orientation="landscape" horizontalDpi="1200" verticalDpi="120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E40F89-3A3C-4FEC-9060-9A8A3970EA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E2D494B5-345D-4451-B790-6D2F51A961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C34</xm:sqref>
        </x14:conditionalFormatting>
        <x14:conditionalFormatting xmlns:xm="http://schemas.microsoft.com/office/excel/2006/main">
          <x14:cfRule type="dataBar" id="{7B01A26E-FF4D-472E-8500-626F560BE2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C36</xm:sqref>
        </x14:conditionalFormatting>
        <x14:conditionalFormatting xmlns:xm="http://schemas.microsoft.com/office/excel/2006/main">
          <x14:cfRule type="dataBar" id="{46001A73-CF84-4617-B68F-DC8FF37370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B2FC9-7E5A-4692-AD95-C95D062C8D53}">
  <sheetPr codeName="Hoja38">
    <pageSetUpPr fitToPage="1"/>
  </sheetPr>
  <dimension ref="A1:CX119"/>
  <sheetViews>
    <sheetView zoomScaleNormal="100" zoomScaleSheetLayoutView="70" workbookViewId="0">
      <pane xSplit="3" topLeftCell="CM1" activePane="topRight" state="frozen"/>
      <selection pane="topRight" activeCell="CM6" sqref="CM6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4" width="15" style="1" bestFit="1" customWidth="1"/>
    <col min="25" max="25" width="14.7109375" style="1" customWidth="1"/>
    <col min="26" max="26" width="15" style="1" hidden="1" customWidth="1"/>
    <col min="27" max="27" width="12.85546875" style="1" hidden="1" customWidth="1"/>
    <col min="28" max="28" width="13.140625" style="1" hidden="1" customWidth="1"/>
    <col min="29" max="29" width="12.85546875" style="1" hidden="1" customWidth="1"/>
    <col min="30" max="30" width="9.5703125" style="1" hidden="1" customWidth="1"/>
    <col min="31" max="32" width="8.42578125" style="1" hidden="1" customWidth="1"/>
    <col min="33" max="33" width="15.7109375" style="1" hidden="1" customWidth="1"/>
    <col min="34" max="34" width="13.7109375" style="1" hidden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hidden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2.85546875" style="1" bestFit="1" customWidth="1"/>
    <col min="57" max="57" width="15.7109375" style="1" hidden="1" customWidth="1"/>
    <col min="58" max="58" width="14.140625" style="1" hidden="1" customWidth="1"/>
    <col min="59" max="59" width="13.42578125" style="1" customWidth="1"/>
    <col min="60" max="60" width="13.5703125" style="1" customWidth="1"/>
    <col min="61" max="61" width="14.85546875" style="1" hidden="1" customWidth="1"/>
    <col min="62" max="62" width="11.28515625" style="1" hidden="1" customWidth="1"/>
    <col min="63" max="63" width="10.5703125" style="1" hidden="1" customWidth="1"/>
    <col min="64" max="64" width="12.7109375" style="1" hidden="1" customWidth="1"/>
    <col min="65" max="66" width="18.140625" style="1" hidden="1" customWidth="1"/>
    <col min="67" max="67" width="22.7109375" style="1" customWidth="1"/>
    <col min="68" max="68" width="14.28515625" style="1" hidden="1" customWidth="1"/>
    <col min="69" max="69" width="16.28515625" style="1" hidden="1" customWidth="1"/>
    <col min="70" max="70" width="15.7109375" style="1" hidden="1" customWidth="1"/>
    <col min="71" max="71" width="11.5703125" style="1" hidden="1" customWidth="1"/>
    <col min="72" max="72" width="12.140625" style="1" hidden="1" customWidth="1"/>
    <col min="73" max="73" width="15.140625" style="1" customWidth="1"/>
    <col min="74" max="74" width="15.7109375" style="1" customWidth="1"/>
    <col min="75" max="75" width="13" style="1" hidden="1" customWidth="1"/>
    <col min="76" max="76" width="13.28515625" style="1" hidden="1" customWidth="1"/>
    <col min="77" max="77" width="15.140625" style="1" customWidth="1"/>
    <col min="78" max="78" width="15.7109375" style="1" customWidth="1"/>
    <col min="79" max="79" width="13.85546875" style="1" customWidth="1"/>
    <col min="80" max="80" width="15.85546875" style="1" customWidth="1"/>
    <col min="81" max="82" width="14.28515625" style="1" bestFit="1" customWidth="1"/>
    <col min="83" max="84" width="12.140625" style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62">
        <v>3996</v>
      </c>
      <c r="B2" s="163">
        <v>1.31</v>
      </c>
      <c r="C2" s="164">
        <v>1.08</v>
      </c>
      <c r="D2" s="165">
        <v>395.32</v>
      </c>
      <c r="E2" s="165">
        <v>1.3133333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166">
        <v>3948</v>
      </c>
      <c r="B3" s="167">
        <v>1.32</v>
      </c>
      <c r="C3" s="167">
        <v>1.1000000000000001</v>
      </c>
      <c r="D3" s="168">
        <v>395.32</v>
      </c>
      <c r="E3" s="168">
        <v>1.32</v>
      </c>
      <c r="F3" s="32"/>
      <c r="H3" s="32"/>
      <c r="L3" s="32"/>
      <c r="T3" s="43"/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O4" s="78" t="s">
        <v>10</v>
      </c>
      <c r="CH4" s="80"/>
    </row>
    <row r="5" spans="1:102" s="4" customFormat="1" ht="43.5" customHeigh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19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29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148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141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141" t="s">
        <v>112</v>
      </c>
      <c r="BX6" s="141" t="s">
        <v>112</v>
      </c>
      <c r="BY6" s="82" t="s">
        <v>45</v>
      </c>
      <c r="BZ6" s="82" t="s">
        <v>46</v>
      </c>
      <c r="CA6" s="141" t="s">
        <v>53</v>
      </c>
      <c r="CB6" s="141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/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4835079</v>
      </c>
    </row>
    <row r="7" spans="1:102">
      <c r="A7" s="44"/>
      <c r="B7" s="45" t="s">
        <v>118</v>
      </c>
      <c r="C7" s="46" t="s">
        <v>119</v>
      </c>
      <c r="D7" s="102">
        <v>0</v>
      </c>
      <c r="E7" s="102">
        <v>0</v>
      </c>
      <c r="F7" s="98">
        <f>SUM((D7*2)*0.3)</f>
        <v>0</v>
      </c>
      <c r="G7" s="98">
        <f>SUM((E7*2)*0.3)</f>
        <v>0</v>
      </c>
      <c r="H7" s="98">
        <v>0</v>
      </c>
      <c r="I7" s="98">
        <v>15</v>
      </c>
      <c r="J7" s="98">
        <f>SUM(H7*0.78)*$C$2</f>
        <v>0</v>
      </c>
      <c r="K7" s="98">
        <f>SUM(I7*0.78)*$C$3</f>
        <v>12.870000000000003</v>
      </c>
      <c r="L7" s="103">
        <v>63.74</v>
      </c>
      <c r="M7" s="98">
        <f>L7</f>
        <v>63.74</v>
      </c>
      <c r="N7" s="98">
        <v>43.95</v>
      </c>
      <c r="O7" s="98">
        <v>16.77</v>
      </c>
      <c r="P7" s="98">
        <f>N7*$C$2</f>
        <v>47.466000000000008</v>
      </c>
      <c r="Q7" s="98">
        <f>O7*$C$3</f>
        <v>18.447000000000003</v>
      </c>
      <c r="R7" s="103">
        <v>24.45</v>
      </c>
      <c r="S7" s="98">
        <f>R7*$C$3</f>
        <v>26.895000000000003</v>
      </c>
      <c r="T7" s="103">
        <v>135.22999999999999</v>
      </c>
      <c r="U7" s="98">
        <v>228.84</v>
      </c>
      <c r="V7" s="98">
        <f>SUM(T7*($C$2))</f>
        <v>146.04839999999999</v>
      </c>
      <c r="W7" s="98">
        <f>SUM(U7*($C$3))</f>
        <v>251.72400000000002</v>
      </c>
      <c r="X7" s="120">
        <v>0</v>
      </c>
      <c r="Y7" s="120">
        <v>10</v>
      </c>
      <c r="Z7" s="121"/>
      <c r="AA7" s="121">
        <f>SUM(X7*0.75)+(Z7*0.75)</f>
        <v>0</v>
      </c>
      <c r="AB7" s="121">
        <f>(Y7*0.75)+(Z7*0.75)</f>
        <v>7.5</v>
      </c>
      <c r="AC7" s="121">
        <v>0</v>
      </c>
      <c r="AD7" s="121">
        <v>0</v>
      </c>
      <c r="AE7" s="121">
        <f>AC7*0.75</f>
        <v>0</v>
      </c>
      <c r="AF7" s="121">
        <f>AD7*0.75</f>
        <v>0</v>
      </c>
      <c r="AG7" s="98"/>
      <c r="AH7" s="98"/>
      <c r="AI7" s="98">
        <f>AG7*0.75</f>
        <v>0</v>
      </c>
      <c r="AJ7" s="98">
        <f>AH7*0.75</f>
        <v>0</v>
      </c>
      <c r="AK7" s="103">
        <v>47.71</v>
      </c>
      <c r="AL7" s="98">
        <v>230.27</v>
      </c>
      <c r="AM7" s="98">
        <f>AK7*$C$2</f>
        <v>51.526800000000001</v>
      </c>
      <c r="AN7" s="98">
        <f>AL7*$C$3</f>
        <v>253.29700000000003</v>
      </c>
      <c r="AO7" s="98"/>
      <c r="AP7" s="98"/>
      <c r="AQ7" s="130"/>
      <c r="AR7" s="130"/>
      <c r="AS7" s="98"/>
      <c r="AT7" s="98">
        <f>AS7*$C$3</f>
        <v>0</v>
      </c>
      <c r="AU7" s="98"/>
      <c r="AV7" s="149">
        <f>AU7*$C$3</f>
        <v>0</v>
      </c>
      <c r="AW7" s="98">
        <v>92.09</v>
      </c>
      <c r="AX7" s="98">
        <v>55.1</v>
      </c>
      <c r="AY7" s="98"/>
      <c r="AZ7" s="98">
        <f>AY7*$D$2</f>
        <v>0</v>
      </c>
      <c r="BA7" s="98">
        <v>189.38</v>
      </c>
      <c r="BB7" s="98">
        <v>150.35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>BH7*$C$3</f>
        <v>0</v>
      </c>
      <c r="BK7" s="98"/>
      <c r="BL7" s="98"/>
      <c r="BM7" s="98">
        <v>0</v>
      </c>
      <c r="BN7" s="98">
        <f>BM7*$C$3</f>
        <v>0</v>
      </c>
      <c r="BO7" s="105">
        <v>159.47999999999999</v>
      </c>
      <c r="BP7" s="149">
        <f>BO7*$C$3</f>
        <v>175.428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42">
        <f>BU7*$E$2</f>
        <v>0</v>
      </c>
      <c r="BX7" s="142">
        <f>BV7*$E$3</f>
        <v>0</v>
      </c>
      <c r="BY7" s="110">
        <v>7.94</v>
      </c>
      <c r="BZ7" s="110">
        <v>29.76</v>
      </c>
      <c r="CA7" s="142">
        <f>BY7/2</f>
        <v>3.97</v>
      </c>
      <c r="CB7" s="142">
        <f>BZ7/2</f>
        <v>14.88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3712000</v>
      </c>
      <c r="CI7" s="72"/>
      <c r="CJ7" s="72"/>
      <c r="CK7" s="53">
        <v>1710000</v>
      </c>
      <c r="CL7" s="72"/>
      <c r="CM7" s="53">
        <v>2002000</v>
      </c>
      <c r="CN7" s="72"/>
      <c r="CO7" s="72"/>
      <c r="CP7" s="90"/>
      <c r="CQ7" s="68">
        <v>0</v>
      </c>
      <c r="CR7" s="69">
        <f>SUM(AO7,AQ7,F7,P7,BS7,AM7,AA7,AE7,J7,AI7,V7,BA7,BE7,CE7,AW7,CA7,BW7)</f>
        <v>530.48120000000006</v>
      </c>
      <c r="CS7" s="69">
        <f>SUM(AP7,AR7,G7,Q7,BN7,AZ7,M7,BT7,AN7,S7,AB7,AF7,K7,AJ7,BI7,W7,BB7,BF7,CF7,BP7,BL7,CG7,AT7,AV7,AX7,CB7,BX7)</f>
        <v>1030.2310000000002</v>
      </c>
      <c r="CT7" s="70">
        <f t="shared" ref="CT7:CT27" si="0">(((CR7*$A$2)+(CS7*$A$3))*0.6)+((BJ7*$A$3)*0.75)</f>
        <v>3712292.9179200009</v>
      </c>
      <c r="CU7" s="70">
        <f t="shared" ref="CU7:CU27" si="1">((CR7*$A$2)+(CS7*$A$3))*0.4+((BJ7*$A$3)*0.25)</f>
        <v>2474861.9452800006</v>
      </c>
      <c r="CV7" s="143">
        <f>CT7-CH7</f>
        <v>292.91792000085115</v>
      </c>
      <c r="CW7" s="1" t="s">
        <v>120</v>
      </c>
      <c r="CX7" s="126">
        <v>1248700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ref="F8:G23" si="2">SUM((D8*2)*0.3)</f>
        <v>0</v>
      </c>
      <c r="G8" s="98">
        <f t="shared" si="2"/>
        <v>0</v>
      </c>
      <c r="H8" s="98">
        <v>26</v>
      </c>
      <c r="I8" s="98">
        <v>20</v>
      </c>
      <c r="J8" s="98">
        <f t="shared" ref="J8:J27" si="3">SUM(H8*0.78)*$C$2</f>
        <v>21.902400000000004</v>
      </c>
      <c r="K8" s="98">
        <f t="shared" ref="K8:K27" si="4">SUM(I8*0.78)*$C$3</f>
        <v>17.160000000000004</v>
      </c>
      <c r="L8" s="103">
        <v>53.2</v>
      </c>
      <c r="M8" s="98">
        <f t="shared" ref="M8:M27" si="5">L8</f>
        <v>53.2</v>
      </c>
      <c r="N8" s="99"/>
      <c r="O8" s="99"/>
      <c r="P8" s="98">
        <f t="shared" ref="P8:P27" si="6">N8*$C$2</f>
        <v>0</v>
      </c>
      <c r="Q8" s="98">
        <f t="shared" ref="Q8:Q27" si="7">O8*$C$3</f>
        <v>0</v>
      </c>
      <c r="R8" s="103"/>
      <c r="S8" s="98">
        <f t="shared" ref="S8:S27" si="8">R8*$C$3</f>
        <v>0</v>
      </c>
      <c r="T8" s="103">
        <v>7.41</v>
      </c>
      <c r="U8" s="98">
        <v>19.37</v>
      </c>
      <c r="V8" s="98">
        <f t="shared" ref="V8:V27" si="9">SUM(T8*($C$2))</f>
        <v>8.0028000000000006</v>
      </c>
      <c r="W8" s="98">
        <f t="shared" ref="W8:W27" si="10">SUM(U8*($C$3))</f>
        <v>21.307000000000002</v>
      </c>
      <c r="X8" s="120">
        <v>62.5</v>
      </c>
      <c r="Y8" s="120">
        <v>83.2</v>
      </c>
      <c r="Z8" s="119"/>
      <c r="AA8" s="121">
        <f t="shared" ref="AA8:AA27" si="11">SUM(X8*0.75)+(Z8*0.75)</f>
        <v>46.875</v>
      </c>
      <c r="AB8" s="121">
        <f t="shared" ref="AB8:AB27" si="12">(Y8*0.75)+(Z8*0.75)</f>
        <v>62.400000000000006</v>
      </c>
      <c r="AC8" s="119"/>
      <c r="AD8" s="119"/>
      <c r="AE8" s="121">
        <f t="shared" ref="AE8:AF27" si="13">AC8*0.75</f>
        <v>0</v>
      </c>
      <c r="AF8" s="121">
        <f t="shared" si="13"/>
        <v>0</v>
      </c>
      <c r="AG8" s="98"/>
      <c r="AH8" s="98"/>
      <c r="AI8" s="98">
        <f t="shared" ref="AI8:AJ27" si="14">AG8*0.75</f>
        <v>0</v>
      </c>
      <c r="AJ8" s="98">
        <f t="shared" si="14"/>
        <v>0</v>
      </c>
      <c r="AK8" s="103">
        <v>10.76</v>
      </c>
      <c r="AL8" s="98">
        <v>38.880000000000003</v>
      </c>
      <c r="AM8" s="98">
        <f t="shared" ref="AM8:AM27" si="15">AK8*$C$2</f>
        <v>11.620800000000001</v>
      </c>
      <c r="AN8" s="98">
        <f t="shared" ref="AN8:AN27" si="16">AL8*$C$3</f>
        <v>42.768000000000008</v>
      </c>
      <c r="AO8" s="99">
        <v>42.47</v>
      </c>
      <c r="AP8" s="99">
        <v>10.4</v>
      </c>
      <c r="AQ8" s="131"/>
      <c r="AR8" s="131"/>
      <c r="AS8" s="99"/>
      <c r="AT8" s="98">
        <f t="shared" ref="AT8:AT27" si="17">AS8*$C$3</f>
        <v>0</v>
      </c>
      <c r="AU8" s="99"/>
      <c r="AV8" s="149">
        <f t="shared" ref="AV8:AV27" si="18">AU8*$C$3</f>
        <v>0</v>
      </c>
      <c r="AW8" s="98">
        <v>60.04</v>
      </c>
      <c r="AX8" s="98">
        <v>43.24</v>
      </c>
      <c r="AY8" s="99"/>
      <c r="AZ8" s="98">
        <f t="shared" ref="AZ8:AZ27" si="19">AY8*$D$2</f>
        <v>0</v>
      </c>
      <c r="BA8" s="99"/>
      <c r="BB8" s="99"/>
      <c r="BC8" s="99">
        <f>53.3+2.91</f>
        <v>56.209999999999994</v>
      </c>
      <c r="BD8" s="99">
        <f>55.5+16.49</f>
        <v>71.989999999999995</v>
      </c>
      <c r="BE8" s="98">
        <f t="shared" ref="BE8:BE27" si="20">SUM(BC8*0.62)*$B$2</f>
        <v>45.653761999999993</v>
      </c>
      <c r="BF8" s="98">
        <f t="shared" ref="BF8:BF27" si="21">SUM(BD8*0.62)*$B$3</f>
        <v>58.916615999999998</v>
      </c>
      <c r="BG8" s="98">
        <v>72.41</v>
      </c>
      <c r="BH8" s="98">
        <v>5.01</v>
      </c>
      <c r="BI8" s="98">
        <f t="shared" ref="BI8:BI27" si="22">(BG8*$C$3)</f>
        <v>79.650999999999996</v>
      </c>
      <c r="BJ8" s="98">
        <f t="shared" ref="BJ8:BJ27" si="23">BH8*$C$3</f>
        <v>5.5110000000000001</v>
      </c>
      <c r="BK8" s="99"/>
      <c r="BL8" s="99"/>
      <c r="BM8" s="99"/>
      <c r="BN8" s="98">
        <f t="shared" ref="BN8:BN27" si="24">BM8*$C$3</f>
        <v>0</v>
      </c>
      <c r="BO8" s="105">
        <v>88.38</v>
      </c>
      <c r="BP8" s="149">
        <f t="shared" ref="BP8:BP27" si="25">BO8*$C$3</f>
        <v>97.218000000000004</v>
      </c>
      <c r="BQ8" s="113">
        <v>0</v>
      </c>
      <c r="BR8" s="113">
        <v>0</v>
      </c>
      <c r="BS8" s="104">
        <f t="shared" ref="BS8:BS27" si="26">(BQ8/$D$2)*$C$2</f>
        <v>0</v>
      </c>
      <c r="BT8" s="104">
        <f t="shared" ref="BT8:BT27" si="27">(BR8/$D$3)*$C$3</f>
        <v>0</v>
      </c>
      <c r="BU8" s="105">
        <v>10.75</v>
      </c>
      <c r="BV8" s="105">
        <v>0</v>
      </c>
      <c r="BW8" s="142">
        <f t="shared" ref="BW8:BW27" si="28">BU8*$E$2</f>
        <v>14.118332975000001</v>
      </c>
      <c r="BX8" s="142">
        <f t="shared" ref="BX8:BX27" si="29">BV8*$E$3</f>
        <v>0</v>
      </c>
      <c r="BY8" s="110">
        <v>65.78</v>
      </c>
      <c r="BZ8" s="110">
        <v>11.4</v>
      </c>
      <c r="CA8" s="142">
        <f t="shared" ref="CA8:CB27" si="30">BY8/2</f>
        <v>32.89</v>
      </c>
      <c r="CB8" s="142">
        <f t="shared" si="30"/>
        <v>5.7</v>
      </c>
      <c r="CC8" s="109">
        <v>0</v>
      </c>
      <c r="CD8" s="109">
        <v>0</v>
      </c>
      <c r="CE8" s="98">
        <f t="shared" ref="CE8:CF27" si="31">CC8*0.05</f>
        <v>0</v>
      </c>
      <c r="CF8" s="107">
        <f t="shared" si="31"/>
        <v>0</v>
      </c>
      <c r="CG8" s="81"/>
      <c r="CH8" s="65">
        <f t="shared" ref="CH8:CH27" si="32">SUM(CI8:CO8)</f>
        <v>1862000</v>
      </c>
      <c r="CI8" s="73"/>
      <c r="CJ8" s="125">
        <v>0</v>
      </c>
      <c r="CK8" s="66">
        <v>870000</v>
      </c>
      <c r="CL8" s="73"/>
      <c r="CM8" s="66">
        <v>992000</v>
      </c>
      <c r="CN8" s="73"/>
      <c r="CO8" s="73"/>
      <c r="CP8" s="90"/>
      <c r="CQ8" s="68">
        <v>0</v>
      </c>
      <c r="CR8" s="69">
        <f t="shared" ref="CR8:CR27" si="33">SUM(AO8,AQ8,F8,P8,BS8,AM8,AA8,AE8,J8,AI8,V8,BA8,BE8,CE8,AW8,CA8,BW8)</f>
        <v>283.573094975</v>
      </c>
      <c r="CS8" s="69">
        <f t="shared" ref="CS8:CS27" si="34">SUM(AP8,AR8,G8,Q8,BN8,AZ8,M8,BT8,AN8,S8,AB8,AF8,K8,AJ8,BI8,W8,BB8,BF8,CF8,BP8,BL8,CG8,AT8,AV8,AX8,CB8,BX8)</f>
        <v>491.96061600000002</v>
      </c>
      <c r="CT8" s="70">
        <f t="shared" si="0"/>
        <v>1861569.23069286</v>
      </c>
      <c r="CU8" s="70">
        <f t="shared" si="1"/>
        <v>1235606.7967952401</v>
      </c>
      <c r="CV8" s="70">
        <f t="shared" ref="CV8:CV27" si="35">CT8-CH8</f>
        <v>-430.7693071400281</v>
      </c>
      <c r="CW8" s="15" t="s">
        <v>123</v>
      </c>
      <c r="CX8" s="127">
        <v>228900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2"/>
        <v>0</v>
      </c>
      <c r="G9" s="98">
        <f t="shared" si="2"/>
        <v>0</v>
      </c>
      <c r="H9" s="98"/>
      <c r="I9" s="98"/>
      <c r="J9" s="98">
        <f t="shared" si="3"/>
        <v>0</v>
      </c>
      <c r="K9" s="98">
        <f t="shared" si="4"/>
        <v>0</v>
      </c>
      <c r="L9" s="103">
        <v>31.21</v>
      </c>
      <c r="M9" s="98">
        <f t="shared" si="5"/>
        <v>31.21</v>
      </c>
      <c r="N9" s="98"/>
      <c r="O9" s="98"/>
      <c r="P9" s="98">
        <f t="shared" si="6"/>
        <v>0</v>
      </c>
      <c r="Q9" s="98">
        <f t="shared" si="7"/>
        <v>0</v>
      </c>
      <c r="R9" s="103">
        <v>17.190000000000001</v>
      </c>
      <c r="S9" s="98">
        <f t="shared" si="8"/>
        <v>18.909000000000002</v>
      </c>
      <c r="T9" s="103">
        <v>0.46</v>
      </c>
      <c r="U9" s="98">
        <v>31.28</v>
      </c>
      <c r="V9" s="98">
        <f t="shared" si="9"/>
        <v>0.49680000000000007</v>
      </c>
      <c r="W9" s="98">
        <f t="shared" si="10"/>
        <v>34.408000000000001</v>
      </c>
      <c r="X9" s="120">
        <v>0</v>
      </c>
      <c r="Y9" s="120">
        <v>0</v>
      </c>
      <c r="Z9" s="121"/>
      <c r="AA9" s="121">
        <f t="shared" si="11"/>
        <v>0</v>
      </c>
      <c r="AB9" s="121">
        <f t="shared" si="12"/>
        <v>0</v>
      </c>
      <c r="AC9" s="123">
        <v>0</v>
      </c>
      <c r="AD9" s="123">
        <v>0</v>
      </c>
      <c r="AE9" s="121">
        <f t="shared" si="13"/>
        <v>0</v>
      </c>
      <c r="AF9" s="121">
        <f t="shared" si="13"/>
        <v>0</v>
      </c>
      <c r="AG9" s="98"/>
      <c r="AH9" s="98"/>
      <c r="AI9" s="98">
        <f t="shared" si="14"/>
        <v>0</v>
      </c>
      <c r="AJ9" s="98">
        <f t="shared" si="14"/>
        <v>0</v>
      </c>
      <c r="AK9" s="103">
        <v>37.75</v>
      </c>
      <c r="AL9" s="98">
        <v>16.07</v>
      </c>
      <c r="AM9" s="98">
        <f t="shared" si="15"/>
        <v>40.770000000000003</v>
      </c>
      <c r="AN9" s="98">
        <f t="shared" si="16"/>
        <v>17.677000000000003</v>
      </c>
      <c r="AO9" s="98"/>
      <c r="AP9" s="98"/>
      <c r="AQ9" s="130"/>
      <c r="AR9" s="130"/>
      <c r="AS9" s="99"/>
      <c r="AT9" s="98">
        <f t="shared" si="17"/>
        <v>0</v>
      </c>
      <c r="AU9" s="98"/>
      <c r="AV9" s="149">
        <f t="shared" si="18"/>
        <v>0</v>
      </c>
      <c r="AW9" s="98">
        <v>22.28</v>
      </c>
      <c r="AX9" s="98">
        <v>21.3</v>
      </c>
      <c r="AY9" s="98"/>
      <c r="AZ9" s="98">
        <f t="shared" si="19"/>
        <v>0</v>
      </c>
      <c r="BA9" s="98"/>
      <c r="BB9" s="98"/>
      <c r="BC9" s="98"/>
      <c r="BD9" s="98"/>
      <c r="BE9" s="98">
        <f t="shared" si="20"/>
        <v>0</v>
      </c>
      <c r="BF9" s="98">
        <f t="shared" si="21"/>
        <v>0</v>
      </c>
      <c r="BG9" s="98">
        <v>27.87</v>
      </c>
      <c r="BH9" s="98">
        <v>0</v>
      </c>
      <c r="BI9" s="98">
        <f t="shared" si="22"/>
        <v>30.657000000000004</v>
      </c>
      <c r="BJ9" s="98">
        <f t="shared" si="23"/>
        <v>0</v>
      </c>
      <c r="BK9" s="98"/>
      <c r="BL9" s="98"/>
      <c r="BM9" s="98"/>
      <c r="BN9" s="98">
        <f t="shared" si="24"/>
        <v>0</v>
      </c>
      <c r="BO9" s="105">
        <v>18.79</v>
      </c>
      <c r="BP9" s="149">
        <f t="shared" si="25"/>
        <v>20.669</v>
      </c>
      <c r="BQ9" s="112">
        <v>0</v>
      </c>
      <c r="BR9" s="112">
        <v>0</v>
      </c>
      <c r="BS9" s="104">
        <f>(BQ9/$D$2)*$C$2</f>
        <v>0</v>
      </c>
      <c r="BT9" s="104">
        <f t="shared" si="27"/>
        <v>0</v>
      </c>
      <c r="BU9" s="105">
        <v>0</v>
      </c>
      <c r="BV9" s="105">
        <v>0</v>
      </c>
      <c r="BW9" s="142">
        <f t="shared" si="28"/>
        <v>0</v>
      </c>
      <c r="BX9" s="142">
        <f t="shared" si="29"/>
        <v>0</v>
      </c>
      <c r="BY9" s="110">
        <v>7.95</v>
      </c>
      <c r="BZ9" s="110">
        <v>4.5</v>
      </c>
      <c r="CA9" s="142">
        <f t="shared" si="30"/>
        <v>3.9750000000000001</v>
      </c>
      <c r="CB9" s="142">
        <f t="shared" si="30"/>
        <v>2.25</v>
      </c>
      <c r="CC9" s="106"/>
      <c r="CD9" s="106"/>
      <c r="CE9" s="98">
        <f t="shared" si="31"/>
        <v>0</v>
      </c>
      <c r="CF9" s="107">
        <f t="shared" si="31"/>
        <v>0</v>
      </c>
      <c r="CG9" s="89"/>
      <c r="CH9" s="65">
        <f t="shared" si="32"/>
        <v>582000</v>
      </c>
      <c r="CI9" s="73"/>
      <c r="CJ9" s="73"/>
      <c r="CK9" s="66">
        <v>226000</v>
      </c>
      <c r="CL9" s="73"/>
      <c r="CM9" s="66">
        <v>356000</v>
      </c>
      <c r="CN9" s="73"/>
      <c r="CO9" s="73"/>
      <c r="CP9" s="90"/>
      <c r="CQ9" s="68">
        <v>0</v>
      </c>
      <c r="CR9" s="69">
        <f t="shared" si="33"/>
        <v>67.521799999999999</v>
      </c>
      <c r="CS9" s="69">
        <f t="shared" si="34"/>
        <v>177.08</v>
      </c>
      <c r="CT9" s="70">
        <f t="shared" si="0"/>
        <v>581357.37167999998</v>
      </c>
      <c r="CU9" s="70">
        <f t="shared" si="1"/>
        <v>387571.58112000005</v>
      </c>
      <c r="CV9" s="70">
        <f t="shared" si="35"/>
        <v>-642.62832000001799</v>
      </c>
      <c r="CW9" s="87" t="s">
        <v>126</v>
      </c>
      <c r="CX9" s="87">
        <v>2880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2"/>
        <v>0</v>
      </c>
      <c r="G10" s="98">
        <f t="shared" si="2"/>
        <v>0</v>
      </c>
      <c r="H10" s="98">
        <v>15</v>
      </c>
      <c r="I10" s="98">
        <v>0</v>
      </c>
      <c r="J10" s="98">
        <f t="shared" si="3"/>
        <v>12.636000000000003</v>
      </c>
      <c r="K10" s="98">
        <f t="shared" si="4"/>
        <v>0</v>
      </c>
      <c r="L10" s="103">
        <v>84.48</v>
      </c>
      <c r="M10" s="98">
        <f t="shared" si="5"/>
        <v>84.48</v>
      </c>
      <c r="N10" s="99"/>
      <c r="O10" s="99"/>
      <c r="P10" s="98">
        <f t="shared" si="6"/>
        <v>0</v>
      </c>
      <c r="Q10" s="98">
        <f t="shared" si="7"/>
        <v>0</v>
      </c>
      <c r="R10" s="103">
        <v>101.4</v>
      </c>
      <c r="S10" s="98">
        <f t="shared" si="8"/>
        <v>111.54000000000002</v>
      </c>
      <c r="T10" s="103">
        <v>21.82</v>
      </c>
      <c r="U10" s="98">
        <v>6.97</v>
      </c>
      <c r="V10" s="98">
        <f t="shared" si="9"/>
        <v>23.565600000000003</v>
      </c>
      <c r="W10" s="98">
        <f t="shared" si="10"/>
        <v>7.6670000000000007</v>
      </c>
      <c r="X10" s="120">
        <v>0</v>
      </c>
      <c r="Y10" s="120">
        <v>0</v>
      </c>
      <c r="Z10" s="119"/>
      <c r="AA10" s="121">
        <f t="shared" si="11"/>
        <v>0</v>
      </c>
      <c r="AB10" s="121">
        <f t="shared" si="12"/>
        <v>0</v>
      </c>
      <c r="AC10" s="122">
        <v>0</v>
      </c>
      <c r="AD10" s="122">
        <v>0</v>
      </c>
      <c r="AE10" s="121">
        <f t="shared" si="13"/>
        <v>0</v>
      </c>
      <c r="AF10" s="121">
        <f t="shared" si="13"/>
        <v>0</v>
      </c>
      <c r="AG10" s="98">
        <v>0</v>
      </c>
      <c r="AH10" s="98">
        <v>0</v>
      </c>
      <c r="AI10" s="98">
        <f t="shared" si="14"/>
        <v>0</v>
      </c>
      <c r="AJ10" s="98">
        <f t="shared" si="14"/>
        <v>0</v>
      </c>
      <c r="AK10" s="103">
        <v>84.48</v>
      </c>
      <c r="AL10" s="98">
        <v>78.53</v>
      </c>
      <c r="AM10" s="98">
        <f t="shared" si="15"/>
        <v>91.238400000000013</v>
      </c>
      <c r="AN10" s="98">
        <f t="shared" si="16"/>
        <v>86.38300000000001</v>
      </c>
      <c r="AO10" s="98"/>
      <c r="AP10" s="98"/>
      <c r="AQ10" s="131">
        <v>0</v>
      </c>
      <c r="AR10" s="131">
        <v>0</v>
      </c>
      <c r="AS10" s="99"/>
      <c r="AT10" s="98">
        <f t="shared" si="17"/>
        <v>0</v>
      </c>
      <c r="AU10" s="99"/>
      <c r="AV10" s="149">
        <f t="shared" si="18"/>
        <v>0</v>
      </c>
      <c r="AW10" s="98">
        <v>49.19</v>
      </c>
      <c r="AX10" s="98">
        <v>18.29</v>
      </c>
      <c r="AY10" s="99"/>
      <c r="AZ10" s="98">
        <f t="shared" si="19"/>
        <v>0</v>
      </c>
      <c r="BA10" s="99"/>
      <c r="BB10" s="99"/>
      <c r="BC10" s="99"/>
      <c r="BD10" s="99"/>
      <c r="BE10" s="98">
        <f t="shared" si="20"/>
        <v>0</v>
      </c>
      <c r="BF10" s="98">
        <f t="shared" si="21"/>
        <v>0</v>
      </c>
      <c r="BG10" s="98">
        <v>73.39</v>
      </c>
      <c r="BH10" s="98">
        <v>12.48</v>
      </c>
      <c r="BI10" s="98">
        <f t="shared" si="22"/>
        <v>80.729000000000013</v>
      </c>
      <c r="BJ10" s="98">
        <f t="shared" si="23"/>
        <v>13.728000000000002</v>
      </c>
      <c r="BK10" s="99"/>
      <c r="BL10" s="99"/>
      <c r="BM10" s="98"/>
      <c r="BN10" s="98">
        <f t="shared" si="24"/>
        <v>0</v>
      </c>
      <c r="BO10" s="105">
        <v>81.760000000000005</v>
      </c>
      <c r="BP10" s="149">
        <f t="shared" si="25"/>
        <v>89.936000000000007</v>
      </c>
      <c r="BQ10" s="113"/>
      <c r="BR10" s="113"/>
      <c r="BS10" s="104">
        <f t="shared" si="26"/>
        <v>0</v>
      </c>
      <c r="BT10" s="104">
        <f t="shared" si="27"/>
        <v>0</v>
      </c>
      <c r="BU10" s="105">
        <v>0</v>
      </c>
      <c r="BV10" s="105">
        <v>0</v>
      </c>
      <c r="BW10" s="142">
        <f t="shared" si="28"/>
        <v>0</v>
      </c>
      <c r="BX10" s="142">
        <f t="shared" si="29"/>
        <v>0</v>
      </c>
      <c r="BY10" s="111"/>
      <c r="BZ10" s="111"/>
      <c r="CA10" s="142">
        <f t="shared" si="30"/>
        <v>0</v>
      </c>
      <c r="CB10" s="142">
        <f t="shared" si="30"/>
        <v>0</v>
      </c>
      <c r="CC10" s="109"/>
      <c r="CD10" s="109"/>
      <c r="CE10" s="98">
        <f t="shared" si="31"/>
        <v>0</v>
      </c>
      <c r="CF10" s="107">
        <f t="shared" si="31"/>
        <v>0</v>
      </c>
      <c r="CG10" s="89"/>
      <c r="CH10" s="65">
        <f t="shared" si="32"/>
        <v>1600000</v>
      </c>
      <c r="CI10" s="73"/>
      <c r="CJ10" s="73"/>
      <c r="CK10" s="66">
        <v>870000</v>
      </c>
      <c r="CL10" s="73"/>
      <c r="CM10" s="66">
        <v>730000</v>
      </c>
      <c r="CN10" s="73"/>
      <c r="CO10" s="73"/>
      <c r="CP10" s="90"/>
      <c r="CQ10" s="68">
        <v>0</v>
      </c>
      <c r="CR10" s="69">
        <f t="shared" si="33"/>
        <v>176.63</v>
      </c>
      <c r="CS10" s="69">
        <f>SUM(AP10,AR10,G10,Q10,BN10,AZ10,M10,BT10,AN10,S10,AB10,AF10,K10,AJ10,BI10,W10,BB10,BF10,CF10,BP10,BL10,CG10,AT10,AV10,AX10,CB10,BX10)</f>
        <v>479.02500000000003</v>
      </c>
      <c r="CT10" s="70">
        <f t="shared" si="0"/>
        <v>1598851.1160000002</v>
      </c>
      <c r="CU10" s="70">
        <f t="shared" si="1"/>
        <v>1052351.2080000001</v>
      </c>
      <c r="CV10" s="70">
        <f t="shared" si="35"/>
        <v>-1148.8839999998454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2"/>
        <v>0</v>
      </c>
      <c r="G11" s="98">
        <f t="shared" si="2"/>
        <v>0</v>
      </c>
      <c r="H11" s="98">
        <v>0</v>
      </c>
      <c r="I11" s="98">
        <v>0</v>
      </c>
      <c r="J11" s="98">
        <f t="shared" si="3"/>
        <v>0</v>
      </c>
      <c r="K11" s="98">
        <f t="shared" si="4"/>
        <v>0</v>
      </c>
      <c r="L11" s="103">
        <v>74.41</v>
      </c>
      <c r="M11" s="98">
        <f t="shared" si="5"/>
        <v>74.41</v>
      </c>
      <c r="N11" s="98"/>
      <c r="O11" s="98"/>
      <c r="P11" s="98">
        <f t="shared" si="6"/>
        <v>0</v>
      </c>
      <c r="Q11" s="98">
        <f t="shared" si="7"/>
        <v>0</v>
      </c>
      <c r="R11" s="103">
        <v>102.78</v>
      </c>
      <c r="S11" s="98">
        <f t="shared" si="8"/>
        <v>113.05800000000001</v>
      </c>
      <c r="T11" s="103">
        <v>24.32</v>
      </c>
      <c r="U11" s="98">
        <v>44.68</v>
      </c>
      <c r="V11" s="98">
        <f t="shared" si="9"/>
        <v>26.265600000000003</v>
      </c>
      <c r="W11" s="98">
        <f t="shared" si="10"/>
        <v>49.148000000000003</v>
      </c>
      <c r="X11" s="120">
        <v>10</v>
      </c>
      <c r="Y11" s="120">
        <v>11</v>
      </c>
      <c r="Z11" s="121"/>
      <c r="AA11" s="121">
        <f t="shared" si="11"/>
        <v>7.5</v>
      </c>
      <c r="AB11" s="121">
        <f t="shared" si="12"/>
        <v>8.25</v>
      </c>
      <c r="AC11" s="123">
        <v>0</v>
      </c>
      <c r="AD11" s="123">
        <v>0</v>
      </c>
      <c r="AE11" s="121">
        <f t="shared" si="13"/>
        <v>0</v>
      </c>
      <c r="AF11" s="121">
        <f t="shared" si="13"/>
        <v>0</v>
      </c>
      <c r="AG11" s="98"/>
      <c r="AH11" s="98"/>
      <c r="AI11" s="98">
        <f t="shared" si="14"/>
        <v>0</v>
      </c>
      <c r="AJ11" s="98">
        <f t="shared" si="14"/>
        <v>0</v>
      </c>
      <c r="AK11" s="103">
        <v>81.78</v>
      </c>
      <c r="AL11" s="98">
        <v>108.99</v>
      </c>
      <c r="AM11" s="98">
        <f t="shared" si="15"/>
        <v>88.322400000000002</v>
      </c>
      <c r="AN11" s="98">
        <f t="shared" si="16"/>
        <v>119.88900000000001</v>
      </c>
      <c r="AO11" s="98"/>
      <c r="AP11" s="98"/>
      <c r="AQ11" s="131">
        <v>3.34</v>
      </c>
      <c r="AR11" s="131">
        <v>3.47</v>
      </c>
      <c r="AS11" s="99"/>
      <c r="AT11" s="98">
        <f t="shared" si="17"/>
        <v>0</v>
      </c>
      <c r="AU11" s="98"/>
      <c r="AV11" s="149">
        <f t="shared" si="18"/>
        <v>0</v>
      </c>
      <c r="AW11" s="98">
        <v>115.79</v>
      </c>
      <c r="AX11" s="98">
        <v>210.97</v>
      </c>
      <c r="AY11" s="98"/>
      <c r="AZ11" s="98">
        <f t="shared" si="19"/>
        <v>0</v>
      </c>
      <c r="BA11" s="98"/>
      <c r="BB11" s="98"/>
      <c r="BC11" s="98"/>
      <c r="BD11" s="98"/>
      <c r="BE11" s="98">
        <f t="shared" si="20"/>
        <v>0</v>
      </c>
      <c r="BF11" s="98">
        <f t="shared" si="21"/>
        <v>0</v>
      </c>
      <c r="BG11" s="98">
        <v>57.12</v>
      </c>
      <c r="BH11" s="98">
        <v>26.78</v>
      </c>
      <c r="BI11" s="98">
        <f t="shared" si="22"/>
        <v>62.832000000000001</v>
      </c>
      <c r="BJ11" s="98">
        <f t="shared" si="23"/>
        <v>29.458000000000002</v>
      </c>
      <c r="BK11" s="98"/>
      <c r="BL11" s="98"/>
      <c r="BM11" s="98"/>
      <c r="BN11" s="98">
        <f t="shared" si="24"/>
        <v>0</v>
      </c>
      <c r="BO11" s="105">
        <v>31.13</v>
      </c>
      <c r="BP11" s="149">
        <f t="shared" si="25"/>
        <v>34.243000000000002</v>
      </c>
      <c r="BQ11" s="112">
        <v>0</v>
      </c>
      <c r="BR11" s="112">
        <v>0</v>
      </c>
      <c r="BS11" s="104">
        <f t="shared" si="26"/>
        <v>0</v>
      </c>
      <c r="BT11" s="104">
        <f t="shared" si="27"/>
        <v>0</v>
      </c>
      <c r="BU11" s="105">
        <v>1.35</v>
      </c>
      <c r="BV11" s="105">
        <v>0</v>
      </c>
      <c r="BW11" s="142">
        <f t="shared" si="28"/>
        <v>1.7729999550000002</v>
      </c>
      <c r="BX11" s="142">
        <f t="shared" si="29"/>
        <v>0</v>
      </c>
      <c r="BY11" s="110">
        <v>0</v>
      </c>
      <c r="BZ11" s="110">
        <v>0</v>
      </c>
      <c r="CA11" s="142">
        <f t="shared" si="30"/>
        <v>0</v>
      </c>
      <c r="CB11" s="142">
        <f t="shared" si="30"/>
        <v>0</v>
      </c>
      <c r="CC11" s="106"/>
      <c r="CD11" s="106"/>
      <c r="CE11" s="98">
        <f t="shared" si="31"/>
        <v>0</v>
      </c>
      <c r="CF11" s="107">
        <f t="shared" si="31"/>
        <v>0</v>
      </c>
      <c r="CG11" s="89"/>
      <c r="CH11" s="65">
        <f t="shared" si="32"/>
        <v>2272000</v>
      </c>
      <c r="CI11" s="73"/>
      <c r="CJ11" s="73"/>
      <c r="CK11" s="66">
        <v>920000</v>
      </c>
      <c r="CL11" s="73"/>
      <c r="CM11" s="66">
        <v>1352000</v>
      </c>
      <c r="CN11" s="73"/>
      <c r="CO11" s="73"/>
      <c r="CP11" s="90"/>
      <c r="CQ11" s="68">
        <v>0</v>
      </c>
      <c r="CR11" s="69">
        <f t="shared" si="33"/>
        <v>242.99099995500001</v>
      </c>
      <c r="CS11" s="69">
        <f t="shared" si="34"/>
        <v>676.27</v>
      </c>
      <c r="CT11" s="70">
        <f t="shared" si="0"/>
        <v>2271768.7354921079</v>
      </c>
      <c r="CU11" s="70">
        <f t="shared" si="1"/>
        <v>1485437.4443280722</v>
      </c>
      <c r="CV11" s="70">
        <f t="shared" si="35"/>
        <v>-231.26450789207593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8.5</v>
      </c>
      <c r="E12" s="102">
        <v>5.22</v>
      </c>
      <c r="F12" s="98">
        <f t="shared" si="2"/>
        <v>5.0999999999999996</v>
      </c>
      <c r="G12" s="98">
        <f t="shared" si="2"/>
        <v>3.1319999999999997</v>
      </c>
      <c r="H12" s="98"/>
      <c r="I12" s="98"/>
      <c r="J12" s="98">
        <f t="shared" si="3"/>
        <v>0</v>
      </c>
      <c r="K12" s="98">
        <f t="shared" si="4"/>
        <v>0</v>
      </c>
      <c r="L12" s="103">
        <v>37.14</v>
      </c>
      <c r="M12" s="98">
        <f t="shared" si="5"/>
        <v>37.14</v>
      </c>
      <c r="N12" s="99"/>
      <c r="O12" s="99"/>
      <c r="P12" s="98">
        <f t="shared" si="6"/>
        <v>0</v>
      </c>
      <c r="Q12" s="98">
        <f t="shared" si="7"/>
        <v>0</v>
      </c>
      <c r="R12" s="103">
        <v>26.87</v>
      </c>
      <c r="S12" s="98">
        <f t="shared" si="8"/>
        <v>29.557000000000002</v>
      </c>
      <c r="T12" s="103">
        <v>21.33</v>
      </c>
      <c r="U12" s="98">
        <v>15.28</v>
      </c>
      <c r="V12" s="98">
        <f t="shared" si="9"/>
        <v>23.0364</v>
      </c>
      <c r="W12" s="98">
        <f t="shared" si="10"/>
        <v>16.808</v>
      </c>
      <c r="X12" s="120">
        <v>231</v>
      </c>
      <c r="Y12" s="120">
        <v>104</v>
      </c>
      <c r="Z12" s="119"/>
      <c r="AA12" s="121">
        <f t="shared" si="11"/>
        <v>173.25</v>
      </c>
      <c r="AB12" s="121">
        <f t="shared" si="12"/>
        <v>78</v>
      </c>
      <c r="AC12" s="119"/>
      <c r="AD12" s="119"/>
      <c r="AE12" s="121">
        <f t="shared" si="13"/>
        <v>0</v>
      </c>
      <c r="AF12" s="121">
        <f t="shared" si="13"/>
        <v>0</v>
      </c>
      <c r="AG12" s="98"/>
      <c r="AH12" s="98"/>
      <c r="AI12" s="98">
        <f t="shared" si="14"/>
        <v>0</v>
      </c>
      <c r="AJ12" s="98">
        <f t="shared" si="14"/>
        <v>0</v>
      </c>
      <c r="AK12" s="103">
        <v>14.86</v>
      </c>
      <c r="AL12" s="98">
        <v>27.44</v>
      </c>
      <c r="AM12" s="98">
        <f t="shared" si="15"/>
        <v>16.0488</v>
      </c>
      <c r="AN12" s="98">
        <f t="shared" si="16"/>
        <v>30.184000000000005</v>
      </c>
      <c r="AO12" s="98"/>
      <c r="AP12" s="98"/>
      <c r="AQ12" s="131">
        <v>0</v>
      </c>
      <c r="AR12" s="131">
        <v>0</v>
      </c>
      <c r="AS12" s="99"/>
      <c r="AT12" s="98">
        <f t="shared" si="17"/>
        <v>0</v>
      </c>
      <c r="AU12" s="99">
        <v>2</v>
      </c>
      <c r="AV12" s="149">
        <f>AU12*$C$3</f>
        <v>2.2000000000000002</v>
      </c>
      <c r="AW12" s="98">
        <v>6.85</v>
      </c>
      <c r="AX12" s="98">
        <v>4.76</v>
      </c>
      <c r="AY12" s="99"/>
      <c r="AZ12" s="98">
        <f t="shared" si="19"/>
        <v>0</v>
      </c>
      <c r="BA12" s="99"/>
      <c r="BB12" s="99"/>
      <c r="BC12" s="99"/>
      <c r="BD12" s="99"/>
      <c r="BE12" s="98">
        <f t="shared" si="20"/>
        <v>0</v>
      </c>
      <c r="BF12" s="98">
        <f t="shared" si="21"/>
        <v>0</v>
      </c>
      <c r="BG12" s="98">
        <v>36.840000000000003</v>
      </c>
      <c r="BH12" s="98">
        <v>12.93</v>
      </c>
      <c r="BI12" s="98">
        <f t="shared" si="22"/>
        <v>40.524000000000008</v>
      </c>
      <c r="BJ12" s="98">
        <f t="shared" si="23"/>
        <v>14.223000000000001</v>
      </c>
      <c r="BK12" s="99"/>
      <c r="BL12" s="99"/>
      <c r="BM12" s="98"/>
      <c r="BN12" s="98">
        <f t="shared" si="24"/>
        <v>0</v>
      </c>
      <c r="BO12" s="105">
        <v>56.69</v>
      </c>
      <c r="BP12" s="149">
        <f t="shared" si="25"/>
        <v>62.359000000000002</v>
      </c>
      <c r="BQ12" s="113"/>
      <c r="BR12" s="113"/>
      <c r="BS12" s="104">
        <f t="shared" si="26"/>
        <v>0</v>
      </c>
      <c r="BT12" s="104">
        <f t="shared" si="27"/>
        <v>0</v>
      </c>
      <c r="BU12" s="105">
        <v>0</v>
      </c>
      <c r="BV12" s="105">
        <v>0</v>
      </c>
      <c r="BW12" s="142">
        <f t="shared" si="28"/>
        <v>0</v>
      </c>
      <c r="BX12" s="142">
        <f t="shared" si="29"/>
        <v>0</v>
      </c>
      <c r="BY12" s="111"/>
      <c r="BZ12" s="111"/>
      <c r="CA12" s="142">
        <f t="shared" si="30"/>
        <v>0</v>
      </c>
      <c r="CB12" s="142">
        <f t="shared" si="30"/>
        <v>0</v>
      </c>
      <c r="CC12" s="109"/>
      <c r="CD12" s="109"/>
      <c r="CE12" s="98">
        <f t="shared" si="31"/>
        <v>0</v>
      </c>
      <c r="CF12" s="107">
        <f t="shared" si="31"/>
        <v>0</v>
      </c>
      <c r="CG12" s="89"/>
      <c r="CH12" s="65">
        <f t="shared" si="32"/>
        <v>1302000</v>
      </c>
      <c r="CI12" s="73"/>
      <c r="CJ12" s="73"/>
      <c r="CK12" s="66">
        <v>730000</v>
      </c>
      <c r="CL12" s="73"/>
      <c r="CM12" s="66">
        <v>572000</v>
      </c>
      <c r="CN12" s="73"/>
      <c r="CO12" s="73"/>
      <c r="CP12" s="90"/>
      <c r="CQ12" s="68">
        <v>0</v>
      </c>
      <c r="CR12" s="69">
        <f t="shared" si="33"/>
        <v>224.2852</v>
      </c>
      <c r="CS12" s="69">
        <f t="shared" si="34"/>
        <v>304.66399999999999</v>
      </c>
      <c r="CT12" s="70">
        <f t="shared" si="0"/>
        <v>1301548.5817199999</v>
      </c>
      <c r="CU12" s="70">
        <f t="shared" si="1"/>
        <v>853660.95347999991</v>
      </c>
      <c r="CV12" s="70">
        <f t="shared" si="35"/>
        <v>-451.41828000009991</v>
      </c>
      <c r="CW12" s="67" t="s">
        <v>135</v>
      </c>
      <c r="CX12" s="116">
        <v>250000</v>
      </c>
    </row>
    <row r="13" spans="1:102" ht="31.5">
      <c r="A13" s="161" t="s">
        <v>192</v>
      </c>
      <c r="B13" s="94" t="s">
        <v>139</v>
      </c>
      <c r="C13" s="92" t="s">
        <v>140</v>
      </c>
      <c r="D13" s="102">
        <v>1.2</v>
      </c>
      <c r="E13" s="102">
        <v>7.5</v>
      </c>
      <c r="F13" s="98">
        <f t="shared" si="2"/>
        <v>0.72</v>
      </c>
      <c r="G13" s="98">
        <f t="shared" si="2"/>
        <v>4.5</v>
      </c>
      <c r="H13" s="119">
        <v>12</v>
      </c>
      <c r="I13" s="119">
        <v>77</v>
      </c>
      <c r="J13" s="98">
        <f t="shared" si="3"/>
        <v>10.1088</v>
      </c>
      <c r="K13" s="98">
        <f t="shared" si="4"/>
        <v>66.066000000000003</v>
      </c>
      <c r="L13" s="103">
        <v>21.94</v>
      </c>
      <c r="M13" s="98">
        <f t="shared" si="5"/>
        <v>21.94</v>
      </c>
      <c r="N13" s="98"/>
      <c r="O13" s="98"/>
      <c r="P13" s="98">
        <f t="shared" si="6"/>
        <v>0</v>
      </c>
      <c r="Q13" s="98">
        <f t="shared" si="7"/>
        <v>0</v>
      </c>
      <c r="R13" s="103">
        <v>74.930000000000007</v>
      </c>
      <c r="S13" s="98">
        <f t="shared" si="8"/>
        <v>82.423000000000016</v>
      </c>
      <c r="T13" s="103">
        <v>8.24</v>
      </c>
      <c r="U13" s="98">
        <v>38.619999999999997</v>
      </c>
      <c r="V13" s="98">
        <f t="shared" si="9"/>
        <v>8.8992000000000004</v>
      </c>
      <c r="W13" s="98">
        <f t="shared" si="10"/>
        <v>42.481999999999999</v>
      </c>
      <c r="X13" s="120">
        <v>0</v>
      </c>
      <c r="Y13" s="120">
        <v>0</v>
      </c>
      <c r="Z13" s="110"/>
      <c r="AA13" s="121">
        <f t="shared" si="11"/>
        <v>0</v>
      </c>
      <c r="AB13" s="121">
        <f t="shared" si="12"/>
        <v>0</v>
      </c>
      <c r="AC13" s="110"/>
      <c r="AD13" s="110"/>
      <c r="AE13" s="121">
        <f t="shared" si="13"/>
        <v>0</v>
      </c>
      <c r="AF13" s="121">
        <f t="shared" si="13"/>
        <v>0</v>
      </c>
      <c r="AG13" s="98"/>
      <c r="AH13" s="98"/>
      <c r="AI13" s="98">
        <f t="shared" si="14"/>
        <v>0</v>
      </c>
      <c r="AJ13" s="98">
        <f t="shared" si="14"/>
        <v>0</v>
      </c>
      <c r="AK13" s="103">
        <v>26.22</v>
      </c>
      <c r="AL13" s="98">
        <v>83.16</v>
      </c>
      <c r="AM13" s="98">
        <f t="shared" si="15"/>
        <v>28.317600000000002</v>
      </c>
      <c r="AN13" s="98">
        <f t="shared" si="16"/>
        <v>91.475999999999999</v>
      </c>
      <c r="AO13" s="98"/>
      <c r="AP13" s="98"/>
      <c r="AQ13" s="131">
        <v>35.159999999999997</v>
      </c>
      <c r="AR13" s="131">
        <v>26.64</v>
      </c>
      <c r="AS13" s="99"/>
      <c r="AT13" s="98">
        <f t="shared" si="17"/>
        <v>0</v>
      </c>
      <c r="AU13" s="99">
        <v>54</v>
      </c>
      <c r="AV13" s="149">
        <f t="shared" si="18"/>
        <v>59.400000000000006</v>
      </c>
      <c r="AW13" s="98">
        <v>39.14</v>
      </c>
      <c r="AX13" s="98">
        <v>27.33</v>
      </c>
      <c r="AY13" s="101"/>
      <c r="AZ13" s="98">
        <f t="shared" si="19"/>
        <v>0</v>
      </c>
      <c r="BA13" s="98"/>
      <c r="BB13" s="98"/>
      <c r="BC13" s="99"/>
      <c r="BD13" s="99"/>
      <c r="BE13" s="98">
        <f t="shared" si="20"/>
        <v>0</v>
      </c>
      <c r="BF13" s="98">
        <f t="shared" si="21"/>
        <v>0</v>
      </c>
      <c r="BG13" s="98">
        <v>53.39</v>
      </c>
      <c r="BH13" s="98">
        <v>2.1</v>
      </c>
      <c r="BI13" s="98">
        <f t="shared" si="22"/>
        <v>58.729000000000006</v>
      </c>
      <c r="BJ13" s="98">
        <f t="shared" si="23"/>
        <v>2.3100000000000005</v>
      </c>
      <c r="BK13" s="100"/>
      <c r="BL13" s="100"/>
      <c r="BM13" s="98">
        <v>0</v>
      </c>
      <c r="BN13" s="98">
        <f t="shared" si="24"/>
        <v>0</v>
      </c>
      <c r="BO13" s="105">
        <v>35.369999999999997</v>
      </c>
      <c r="BP13" s="149">
        <f t="shared" si="25"/>
        <v>38.907000000000004</v>
      </c>
      <c r="BQ13" s="112"/>
      <c r="BR13" s="112"/>
      <c r="BS13" s="104">
        <f t="shared" si="26"/>
        <v>0</v>
      </c>
      <c r="BT13" s="104">
        <f t="shared" si="27"/>
        <v>0</v>
      </c>
      <c r="BU13" s="105">
        <v>0</v>
      </c>
      <c r="BV13" s="105">
        <v>0</v>
      </c>
      <c r="BW13" s="142">
        <f t="shared" si="28"/>
        <v>0</v>
      </c>
      <c r="BX13" s="142">
        <f t="shared" si="29"/>
        <v>0</v>
      </c>
      <c r="BY13" s="110"/>
      <c r="BZ13" s="110"/>
      <c r="CA13" s="142">
        <f t="shared" si="30"/>
        <v>0</v>
      </c>
      <c r="CB13" s="142">
        <f t="shared" si="30"/>
        <v>0</v>
      </c>
      <c r="CC13" s="106"/>
      <c r="CD13" s="106"/>
      <c r="CE13" s="98">
        <f t="shared" si="31"/>
        <v>0</v>
      </c>
      <c r="CF13" s="107">
        <f t="shared" si="31"/>
        <v>0</v>
      </c>
      <c r="CG13" s="81"/>
      <c r="CH13" s="65">
        <f t="shared" si="32"/>
        <v>2040000</v>
      </c>
      <c r="CI13" s="74"/>
      <c r="CJ13" s="74"/>
      <c r="CK13" s="54">
        <v>486000</v>
      </c>
      <c r="CL13" s="74"/>
      <c r="CM13" s="54">
        <v>1554000</v>
      </c>
      <c r="CN13" s="74"/>
      <c r="CO13" s="74"/>
      <c r="CP13" s="90"/>
      <c r="CQ13" s="68">
        <v>0</v>
      </c>
      <c r="CR13" s="69">
        <f t="shared" si="33"/>
        <v>122.3456</v>
      </c>
      <c r="CS13" s="69">
        <f t="shared" si="34"/>
        <v>519.89300000000003</v>
      </c>
      <c r="CT13" s="70">
        <f>(((CR13*$A$2)+(CS13*$A$3))*0.8)+((BJ13*$A$3)*0.75)</f>
        <v>2039984.37528</v>
      </c>
      <c r="CU13" s="70">
        <f>((CR13*$A$2)+(CS13*$A$3))*0.2+((BJ13*$A$3)*0.25)</f>
        <v>510566.08632</v>
      </c>
      <c r="CV13" s="70">
        <f t="shared" si="35"/>
        <v>-15.624719999963418</v>
      </c>
      <c r="CW13" s="55" t="s">
        <v>141</v>
      </c>
      <c r="CX13" s="118">
        <v>140000</v>
      </c>
    </row>
    <row r="14" spans="1:102">
      <c r="A14" s="18"/>
      <c r="B14" s="94" t="s">
        <v>142</v>
      </c>
      <c r="C14" s="92" t="s">
        <v>143</v>
      </c>
      <c r="D14" s="102">
        <v>7</v>
      </c>
      <c r="E14" s="102">
        <v>0.2</v>
      </c>
      <c r="F14" s="98">
        <f t="shared" si="2"/>
        <v>4.2</v>
      </c>
      <c r="G14" s="98">
        <f t="shared" si="2"/>
        <v>0.12</v>
      </c>
      <c r="H14" s="119">
        <v>0</v>
      </c>
      <c r="I14" s="119">
        <v>0</v>
      </c>
      <c r="J14" s="98">
        <f t="shared" si="3"/>
        <v>0</v>
      </c>
      <c r="K14" s="98">
        <f t="shared" si="4"/>
        <v>0</v>
      </c>
      <c r="L14" s="103">
        <v>17.59</v>
      </c>
      <c r="M14" s="98">
        <f t="shared" si="5"/>
        <v>17.59</v>
      </c>
      <c r="N14" s="98">
        <v>20.75</v>
      </c>
      <c r="O14" s="98">
        <v>12.47</v>
      </c>
      <c r="P14" s="98">
        <f t="shared" si="6"/>
        <v>22.41</v>
      </c>
      <c r="Q14" s="98">
        <f t="shared" si="7"/>
        <v>13.717000000000002</v>
      </c>
      <c r="R14" s="103">
        <v>31</v>
      </c>
      <c r="S14" s="98">
        <f t="shared" si="8"/>
        <v>34.1</v>
      </c>
      <c r="T14" s="103">
        <v>0.55000000000000004</v>
      </c>
      <c r="U14" s="98">
        <v>4.26</v>
      </c>
      <c r="V14" s="98">
        <f t="shared" si="9"/>
        <v>0.59400000000000008</v>
      </c>
      <c r="W14" s="98">
        <f t="shared" si="10"/>
        <v>4.6859999999999999</v>
      </c>
      <c r="X14" s="120">
        <v>0</v>
      </c>
      <c r="Y14" s="120">
        <v>0</v>
      </c>
      <c r="Z14" s="110"/>
      <c r="AA14" s="121">
        <f t="shared" si="11"/>
        <v>0</v>
      </c>
      <c r="AB14" s="121">
        <f t="shared" si="12"/>
        <v>0</v>
      </c>
      <c r="AC14" s="110"/>
      <c r="AD14" s="110"/>
      <c r="AE14" s="121">
        <f t="shared" si="13"/>
        <v>0</v>
      </c>
      <c r="AF14" s="121">
        <f t="shared" si="13"/>
        <v>0</v>
      </c>
      <c r="AG14" s="98"/>
      <c r="AH14" s="98"/>
      <c r="AI14" s="98">
        <f t="shared" si="14"/>
        <v>0</v>
      </c>
      <c r="AJ14" s="98">
        <f t="shared" si="14"/>
        <v>0</v>
      </c>
      <c r="AK14" s="103">
        <v>52.56</v>
      </c>
      <c r="AL14" s="98">
        <v>53.72</v>
      </c>
      <c r="AM14" s="98">
        <f t="shared" si="15"/>
        <v>56.764800000000008</v>
      </c>
      <c r="AN14" s="98">
        <f t="shared" si="16"/>
        <v>59.092000000000006</v>
      </c>
      <c r="AO14" s="98"/>
      <c r="AP14" s="98"/>
      <c r="AQ14" s="131">
        <v>8.82</v>
      </c>
      <c r="AR14" s="131">
        <v>9.9700000000000006</v>
      </c>
      <c r="AS14" s="99"/>
      <c r="AT14" s="98">
        <f t="shared" si="17"/>
        <v>0</v>
      </c>
      <c r="AU14" s="99">
        <v>15.5</v>
      </c>
      <c r="AV14" s="149">
        <f t="shared" si="18"/>
        <v>17.05</v>
      </c>
      <c r="AW14" s="98">
        <v>142</v>
      </c>
      <c r="AX14" s="98">
        <v>200.14</v>
      </c>
      <c r="AY14" s="101"/>
      <c r="AZ14" s="98">
        <f t="shared" si="19"/>
        <v>0</v>
      </c>
      <c r="BA14" s="98"/>
      <c r="BB14" s="98"/>
      <c r="BC14" s="99"/>
      <c r="BD14" s="99"/>
      <c r="BE14" s="98">
        <f t="shared" si="20"/>
        <v>0</v>
      </c>
      <c r="BF14" s="98">
        <f t="shared" si="21"/>
        <v>0</v>
      </c>
      <c r="BG14" s="98">
        <v>49.33</v>
      </c>
      <c r="BH14" s="98">
        <v>1.1200000000000001</v>
      </c>
      <c r="BI14" s="98">
        <f t="shared" si="22"/>
        <v>54.263000000000005</v>
      </c>
      <c r="BJ14" s="98">
        <f t="shared" si="23"/>
        <v>1.2320000000000002</v>
      </c>
      <c r="BK14" s="100"/>
      <c r="BL14" s="100"/>
      <c r="BM14" s="98"/>
      <c r="BN14" s="98">
        <f t="shared" si="24"/>
        <v>0</v>
      </c>
      <c r="BO14" s="105">
        <v>4.83</v>
      </c>
      <c r="BP14" s="149">
        <f t="shared" si="25"/>
        <v>5.3130000000000006</v>
      </c>
      <c r="BQ14" s="112"/>
      <c r="BR14" s="112"/>
      <c r="BS14" s="104">
        <f t="shared" si="26"/>
        <v>0</v>
      </c>
      <c r="BT14" s="104">
        <f t="shared" si="27"/>
        <v>0</v>
      </c>
      <c r="BU14" s="105">
        <v>0</v>
      </c>
      <c r="BV14" s="105">
        <v>0</v>
      </c>
      <c r="BW14" s="142">
        <f t="shared" si="28"/>
        <v>0</v>
      </c>
      <c r="BX14" s="142">
        <f t="shared" si="29"/>
        <v>0</v>
      </c>
      <c r="BY14" s="110"/>
      <c r="BZ14" s="110"/>
      <c r="CA14" s="142">
        <f t="shared" si="30"/>
        <v>0</v>
      </c>
      <c r="CB14" s="142">
        <f t="shared" si="30"/>
        <v>0</v>
      </c>
      <c r="CC14" s="106"/>
      <c r="CD14" s="106"/>
      <c r="CE14" s="98">
        <f t="shared" si="31"/>
        <v>0</v>
      </c>
      <c r="CF14" s="107">
        <f t="shared" si="31"/>
        <v>0</v>
      </c>
      <c r="CG14" s="81"/>
      <c r="CH14" s="65">
        <f t="shared" si="32"/>
        <v>1552000</v>
      </c>
      <c r="CI14" s="74"/>
      <c r="CJ14" s="74"/>
      <c r="CK14" s="54">
        <v>700000</v>
      </c>
      <c r="CL14" s="74"/>
      <c r="CM14" s="54">
        <v>852000</v>
      </c>
      <c r="CN14" s="74"/>
      <c r="CO14" s="74"/>
      <c r="CP14" s="90"/>
      <c r="CQ14" s="68">
        <v>0</v>
      </c>
      <c r="CR14" s="69">
        <f t="shared" si="33"/>
        <v>234.78880000000001</v>
      </c>
      <c r="CS14" s="69">
        <f t="shared" si="34"/>
        <v>416.041</v>
      </c>
      <c r="CT14" s="70">
        <f t="shared" si="0"/>
        <v>1552095.4996800001</v>
      </c>
      <c r="CU14" s="70">
        <f t="shared" si="1"/>
        <v>1033514.3491200001</v>
      </c>
      <c r="CV14" s="70">
        <f t="shared" si="35"/>
        <v>95.499680000124499</v>
      </c>
      <c r="CW14" s="55" t="s">
        <v>144</v>
      </c>
      <c r="CX14" s="118">
        <f>80000+180000+335000</f>
        <v>595000</v>
      </c>
    </row>
    <row r="15" spans="1:102">
      <c r="A15" s="18"/>
      <c r="B15" s="94" t="s">
        <v>145</v>
      </c>
      <c r="C15" s="92" t="s">
        <v>146</v>
      </c>
      <c r="D15" s="102">
        <v>33.1</v>
      </c>
      <c r="E15" s="102">
        <v>2.8</v>
      </c>
      <c r="F15" s="98">
        <f t="shared" si="2"/>
        <v>19.86</v>
      </c>
      <c r="G15" s="98">
        <f t="shared" si="2"/>
        <v>1.68</v>
      </c>
      <c r="H15" s="110"/>
      <c r="I15" s="110"/>
      <c r="J15" s="98">
        <f t="shared" si="3"/>
        <v>0</v>
      </c>
      <c r="K15" s="98">
        <f t="shared" si="4"/>
        <v>0</v>
      </c>
      <c r="L15" s="103">
        <v>43.92</v>
      </c>
      <c r="M15" s="98">
        <f t="shared" si="5"/>
        <v>43.92</v>
      </c>
      <c r="N15" s="98"/>
      <c r="O15" s="98"/>
      <c r="P15" s="98">
        <f t="shared" si="6"/>
        <v>0</v>
      </c>
      <c r="Q15" s="98">
        <f t="shared" si="7"/>
        <v>0</v>
      </c>
      <c r="R15" s="103">
        <v>147.33000000000001</v>
      </c>
      <c r="S15" s="98">
        <f t="shared" si="8"/>
        <v>162.06300000000002</v>
      </c>
      <c r="T15" s="103">
        <v>47.01</v>
      </c>
      <c r="U15" s="98">
        <v>29.83</v>
      </c>
      <c r="V15" s="98">
        <f t="shared" si="9"/>
        <v>50.770800000000001</v>
      </c>
      <c r="W15" s="98">
        <f t="shared" si="10"/>
        <v>32.813000000000002</v>
      </c>
      <c r="X15" s="120">
        <v>0</v>
      </c>
      <c r="Y15" s="120">
        <v>0</v>
      </c>
      <c r="Z15" s="110"/>
      <c r="AA15" s="121">
        <f t="shared" si="11"/>
        <v>0</v>
      </c>
      <c r="AB15" s="121">
        <f t="shared" si="12"/>
        <v>0</v>
      </c>
      <c r="AC15" s="110"/>
      <c r="AD15" s="110"/>
      <c r="AE15" s="121">
        <f t="shared" si="13"/>
        <v>0</v>
      </c>
      <c r="AF15" s="121">
        <f t="shared" si="13"/>
        <v>0</v>
      </c>
      <c r="AG15" s="98"/>
      <c r="AH15" s="98"/>
      <c r="AI15" s="98">
        <f t="shared" si="14"/>
        <v>0</v>
      </c>
      <c r="AJ15" s="98">
        <f t="shared" si="14"/>
        <v>0</v>
      </c>
      <c r="AK15" s="103">
        <v>80.790000000000006</v>
      </c>
      <c r="AL15" s="98">
        <v>46.07</v>
      </c>
      <c r="AM15" s="98">
        <f t="shared" si="15"/>
        <v>87.253200000000007</v>
      </c>
      <c r="AN15" s="98">
        <f t="shared" si="16"/>
        <v>50.677000000000007</v>
      </c>
      <c r="AO15" s="98"/>
      <c r="AP15" s="98"/>
      <c r="AQ15" s="131">
        <v>0.83</v>
      </c>
      <c r="AR15" s="131">
        <v>0</v>
      </c>
      <c r="AS15" s="99"/>
      <c r="AT15" s="98">
        <f t="shared" si="17"/>
        <v>0</v>
      </c>
      <c r="AU15" s="99">
        <v>17.95</v>
      </c>
      <c r="AV15" s="149">
        <f t="shared" si="18"/>
        <v>19.745000000000001</v>
      </c>
      <c r="AW15" s="98">
        <v>10.76</v>
      </c>
      <c r="AX15" s="98">
        <v>11.43</v>
      </c>
      <c r="AY15" s="101"/>
      <c r="AZ15" s="98">
        <f t="shared" si="19"/>
        <v>0</v>
      </c>
      <c r="BA15" s="98"/>
      <c r="BB15" s="98"/>
      <c r="BC15" s="99"/>
      <c r="BD15" s="99"/>
      <c r="BE15" s="98">
        <f t="shared" si="20"/>
        <v>0</v>
      </c>
      <c r="BF15" s="98">
        <f t="shared" si="21"/>
        <v>0</v>
      </c>
      <c r="BG15" s="99">
        <v>140.77000000000001</v>
      </c>
      <c r="BH15" s="99">
        <v>46.45</v>
      </c>
      <c r="BI15" s="98">
        <f t="shared" si="22"/>
        <v>154.84700000000004</v>
      </c>
      <c r="BJ15" s="98">
        <f t="shared" si="23"/>
        <v>51.095000000000006</v>
      </c>
      <c r="BK15" s="100"/>
      <c r="BL15" s="100"/>
      <c r="BM15" s="98"/>
      <c r="BN15" s="98">
        <f t="shared" si="24"/>
        <v>0</v>
      </c>
      <c r="BO15" s="105">
        <v>146.57</v>
      </c>
      <c r="BP15" s="149">
        <f t="shared" si="25"/>
        <v>161.227</v>
      </c>
      <c r="BQ15" s="112"/>
      <c r="BR15" s="112"/>
      <c r="BS15" s="104">
        <f t="shared" si="26"/>
        <v>0</v>
      </c>
      <c r="BT15" s="104">
        <f t="shared" si="27"/>
        <v>0</v>
      </c>
      <c r="BU15" s="105">
        <v>0</v>
      </c>
      <c r="BV15" s="105">
        <v>0</v>
      </c>
      <c r="BW15" s="142">
        <f t="shared" si="28"/>
        <v>0</v>
      </c>
      <c r="BX15" s="142">
        <f t="shared" si="29"/>
        <v>0</v>
      </c>
      <c r="BY15" s="110"/>
      <c r="BZ15" s="110"/>
      <c r="CA15" s="142">
        <f t="shared" si="30"/>
        <v>0</v>
      </c>
      <c r="CB15" s="142">
        <f t="shared" si="30"/>
        <v>0</v>
      </c>
      <c r="CC15" s="106"/>
      <c r="CD15" s="106"/>
      <c r="CE15" s="98">
        <f t="shared" si="31"/>
        <v>0</v>
      </c>
      <c r="CF15" s="107">
        <f t="shared" si="31"/>
        <v>0</v>
      </c>
      <c r="CG15" s="81"/>
      <c r="CH15" s="65">
        <f t="shared" si="32"/>
        <v>2070000</v>
      </c>
      <c r="CI15" s="74"/>
      <c r="CJ15" s="74"/>
      <c r="CK15" s="54">
        <v>954000</v>
      </c>
      <c r="CL15" s="74"/>
      <c r="CM15" s="54">
        <v>1116000</v>
      </c>
      <c r="CN15" s="74"/>
      <c r="CO15" s="74"/>
      <c r="CP15" s="90"/>
      <c r="CQ15" s="68">
        <v>0</v>
      </c>
      <c r="CR15" s="69">
        <f t="shared" si="33"/>
        <v>169.47399999999999</v>
      </c>
      <c r="CS15" s="69">
        <f t="shared" si="34"/>
        <v>638.40200000000004</v>
      </c>
      <c r="CT15" s="70">
        <f t="shared" si="0"/>
        <v>2069869.8149999999</v>
      </c>
      <c r="CU15" s="70">
        <f t="shared" si="1"/>
        <v>1329482.4450000001</v>
      </c>
      <c r="CV15" s="70">
        <f t="shared" si="35"/>
        <v>-130.18500000005588</v>
      </c>
      <c r="CW15" s="55" t="s">
        <v>147</v>
      </c>
      <c r="CX15" s="118">
        <v>320000</v>
      </c>
    </row>
    <row r="16" spans="1:102">
      <c r="A16" s="132"/>
      <c r="B16" s="94" t="s">
        <v>153</v>
      </c>
      <c r="C16" s="92" t="s">
        <v>154</v>
      </c>
      <c r="D16" s="102">
        <v>9.6</v>
      </c>
      <c r="E16" s="102">
        <v>9.4</v>
      </c>
      <c r="F16" s="98">
        <f t="shared" si="2"/>
        <v>5.76</v>
      </c>
      <c r="G16" s="98">
        <f t="shared" si="2"/>
        <v>5.64</v>
      </c>
      <c r="H16" s="119"/>
      <c r="I16" s="119"/>
      <c r="J16" s="98">
        <f t="shared" si="3"/>
        <v>0</v>
      </c>
      <c r="K16" s="98">
        <f t="shared" si="4"/>
        <v>0</v>
      </c>
      <c r="L16" s="103"/>
      <c r="M16" s="98">
        <f t="shared" si="5"/>
        <v>0</v>
      </c>
      <c r="N16" s="98">
        <v>27.09</v>
      </c>
      <c r="O16" s="98">
        <v>43.38</v>
      </c>
      <c r="P16" s="98">
        <f t="shared" si="6"/>
        <v>29.257200000000001</v>
      </c>
      <c r="Q16" s="98">
        <f t="shared" si="7"/>
        <v>47.718000000000004</v>
      </c>
      <c r="R16" s="103">
        <v>181.42</v>
      </c>
      <c r="S16" s="98">
        <f t="shared" si="8"/>
        <v>199.56200000000001</v>
      </c>
      <c r="T16" s="103">
        <v>27.55</v>
      </c>
      <c r="U16" s="98">
        <v>17.489999999999998</v>
      </c>
      <c r="V16" s="98">
        <f t="shared" si="9"/>
        <v>29.754000000000001</v>
      </c>
      <c r="W16" s="98">
        <f t="shared" si="10"/>
        <v>19.239000000000001</v>
      </c>
      <c r="X16" s="120">
        <v>0</v>
      </c>
      <c r="Y16" s="120">
        <v>0</v>
      </c>
      <c r="Z16" s="110"/>
      <c r="AA16" s="121">
        <f t="shared" si="11"/>
        <v>0</v>
      </c>
      <c r="AB16" s="121">
        <f t="shared" si="12"/>
        <v>0</v>
      </c>
      <c r="AC16" s="110"/>
      <c r="AD16" s="110"/>
      <c r="AE16" s="121">
        <f t="shared" si="13"/>
        <v>0</v>
      </c>
      <c r="AF16" s="121">
        <f t="shared" si="13"/>
        <v>0</v>
      </c>
      <c r="AG16" s="98"/>
      <c r="AH16" s="98"/>
      <c r="AI16" s="98">
        <f t="shared" si="14"/>
        <v>0</v>
      </c>
      <c r="AJ16" s="98">
        <f t="shared" si="14"/>
        <v>0</v>
      </c>
      <c r="AK16" s="103">
        <v>66.34</v>
      </c>
      <c r="AL16" s="98">
        <v>120.39</v>
      </c>
      <c r="AM16" s="98">
        <f t="shared" si="15"/>
        <v>71.647200000000012</v>
      </c>
      <c r="AN16" s="98">
        <f t="shared" si="16"/>
        <v>132.429</v>
      </c>
      <c r="AO16" s="98"/>
      <c r="AP16" s="98"/>
      <c r="AQ16" s="131"/>
      <c r="AR16" s="131"/>
      <c r="AS16" s="99"/>
      <c r="AT16" s="98">
        <f t="shared" si="17"/>
        <v>0</v>
      </c>
      <c r="AU16" s="99"/>
      <c r="AV16" s="149">
        <f t="shared" si="18"/>
        <v>0</v>
      </c>
      <c r="AW16" s="98"/>
      <c r="AX16" s="98"/>
      <c r="AY16" s="101"/>
      <c r="AZ16" s="98">
        <f t="shared" si="19"/>
        <v>0</v>
      </c>
      <c r="BA16" s="98"/>
      <c r="BB16" s="98"/>
      <c r="BC16" s="99"/>
      <c r="BD16" s="99"/>
      <c r="BE16" s="98">
        <f t="shared" si="20"/>
        <v>0</v>
      </c>
      <c r="BF16" s="98">
        <f t="shared" si="21"/>
        <v>0</v>
      </c>
      <c r="BG16" s="99">
        <v>129.44</v>
      </c>
      <c r="BH16" s="99">
        <v>13.2</v>
      </c>
      <c r="BI16" s="98">
        <f t="shared" si="22"/>
        <v>142.38400000000001</v>
      </c>
      <c r="BJ16" s="98">
        <f t="shared" si="23"/>
        <v>14.52</v>
      </c>
      <c r="BK16" s="100"/>
      <c r="BL16" s="100"/>
      <c r="BM16" s="98"/>
      <c r="BN16" s="98">
        <f t="shared" si="24"/>
        <v>0</v>
      </c>
      <c r="BO16" s="105">
        <v>91.36</v>
      </c>
      <c r="BP16" s="149">
        <f t="shared" si="25"/>
        <v>100.49600000000001</v>
      </c>
      <c r="BQ16" s="112"/>
      <c r="BR16" s="112"/>
      <c r="BS16" s="104">
        <f t="shared" si="26"/>
        <v>0</v>
      </c>
      <c r="BT16" s="104">
        <f t="shared" si="27"/>
        <v>0</v>
      </c>
      <c r="BU16" s="105">
        <v>20.68</v>
      </c>
      <c r="BV16" s="105">
        <v>0.78</v>
      </c>
      <c r="BW16" s="142">
        <f t="shared" si="28"/>
        <v>27.159732644000002</v>
      </c>
      <c r="BX16" s="142">
        <f t="shared" si="29"/>
        <v>1.0296000000000001</v>
      </c>
      <c r="BY16" s="110">
        <v>199.26</v>
      </c>
      <c r="BZ16" s="110">
        <v>206.95</v>
      </c>
      <c r="CA16" s="142">
        <f t="shared" si="30"/>
        <v>99.63</v>
      </c>
      <c r="CB16" s="142">
        <f t="shared" si="30"/>
        <v>103.47499999999999</v>
      </c>
      <c r="CC16" s="106">
        <v>177</v>
      </c>
      <c r="CD16" s="106">
        <v>234</v>
      </c>
      <c r="CE16" s="98">
        <f t="shared" si="31"/>
        <v>8.85</v>
      </c>
      <c r="CF16" s="107">
        <f t="shared" si="31"/>
        <v>11.700000000000001</v>
      </c>
      <c r="CG16" s="81"/>
      <c r="CH16" s="65">
        <f t="shared" si="32"/>
        <v>2504000</v>
      </c>
      <c r="CI16" s="74"/>
      <c r="CJ16" s="74"/>
      <c r="CK16" s="54">
        <v>1200000</v>
      </c>
      <c r="CL16" s="74"/>
      <c r="CM16" s="54">
        <v>1304000</v>
      </c>
      <c r="CN16" s="74"/>
      <c r="CO16" s="74"/>
      <c r="CP16" s="90"/>
      <c r="CQ16" s="68">
        <v>0</v>
      </c>
      <c r="CR16" s="69">
        <f t="shared" si="33"/>
        <v>272.05813264400001</v>
      </c>
      <c r="CS16" s="69">
        <f t="shared" si="34"/>
        <v>763.6726000000001</v>
      </c>
      <c r="CT16" s="70">
        <f t="shared" si="0"/>
        <v>2504267.953707255</v>
      </c>
      <c r="CU16" s="70">
        <f t="shared" si="1"/>
        <v>1655180.7291381701</v>
      </c>
      <c r="CV16" s="70">
        <f t="shared" si="35"/>
        <v>267.95370725495741</v>
      </c>
      <c r="CW16" s="55"/>
      <c r="CX16" s="118"/>
    </row>
    <row r="17" spans="1:102">
      <c r="A17" s="18"/>
      <c r="B17" s="94" t="s">
        <v>157</v>
      </c>
      <c r="C17" s="92" t="s">
        <v>158</v>
      </c>
      <c r="D17" s="102">
        <v>0</v>
      </c>
      <c r="E17" s="102">
        <v>0</v>
      </c>
      <c r="F17" s="98">
        <f t="shared" si="2"/>
        <v>0</v>
      </c>
      <c r="G17" s="98">
        <f t="shared" si="2"/>
        <v>0</v>
      </c>
      <c r="H17" s="110"/>
      <c r="I17" s="110"/>
      <c r="J17" s="98">
        <f t="shared" si="3"/>
        <v>0</v>
      </c>
      <c r="K17" s="98">
        <f t="shared" si="4"/>
        <v>0</v>
      </c>
      <c r="L17" s="103"/>
      <c r="M17" s="98">
        <f t="shared" si="5"/>
        <v>0</v>
      </c>
      <c r="N17" s="98"/>
      <c r="O17" s="98"/>
      <c r="P17" s="98">
        <f t="shared" si="6"/>
        <v>0</v>
      </c>
      <c r="Q17" s="98">
        <f t="shared" si="7"/>
        <v>0</v>
      </c>
      <c r="R17" s="103">
        <v>43.66</v>
      </c>
      <c r="S17" s="98">
        <f t="shared" si="8"/>
        <v>48.026000000000003</v>
      </c>
      <c r="T17" s="103">
        <v>57.83</v>
      </c>
      <c r="U17" s="98">
        <v>12.14</v>
      </c>
      <c r="V17" s="98">
        <f t="shared" si="9"/>
        <v>62.456400000000002</v>
      </c>
      <c r="W17" s="98">
        <f t="shared" si="10"/>
        <v>13.354000000000001</v>
      </c>
      <c r="X17" s="120">
        <v>0</v>
      </c>
      <c r="Y17" s="120">
        <v>0</v>
      </c>
      <c r="Z17" s="110"/>
      <c r="AA17" s="121">
        <f t="shared" si="11"/>
        <v>0</v>
      </c>
      <c r="AB17" s="121">
        <f t="shared" si="12"/>
        <v>0</v>
      </c>
      <c r="AC17" s="110"/>
      <c r="AD17" s="110"/>
      <c r="AE17" s="121">
        <f t="shared" si="13"/>
        <v>0</v>
      </c>
      <c r="AF17" s="121">
        <f t="shared" si="13"/>
        <v>0</v>
      </c>
      <c r="AG17" s="98">
        <v>0</v>
      </c>
      <c r="AH17" s="98">
        <v>0</v>
      </c>
      <c r="AI17" s="98">
        <f t="shared" si="14"/>
        <v>0</v>
      </c>
      <c r="AJ17" s="98">
        <f t="shared" si="14"/>
        <v>0</v>
      </c>
      <c r="AK17" s="103">
        <v>39.11</v>
      </c>
      <c r="AL17" s="98">
        <v>60.29</v>
      </c>
      <c r="AM17" s="98">
        <f t="shared" si="15"/>
        <v>42.238800000000005</v>
      </c>
      <c r="AN17" s="98">
        <f t="shared" si="16"/>
        <v>66.319000000000003</v>
      </c>
      <c r="AO17" s="98"/>
      <c r="AP17" s="98"/>
      <c r="AQ17" s="131">
        <v>16.48</v>
      </c>
      <c r="AR17" s="131">
        <v>7.23</v>
      </c>
      <c r="AS17" s="99"/>
      <c r="AT17" s="98">
        <f t="shared" si="17"/>
        <v>0</v>
      </c>
      <c r="AU17" s="99"/>
      <c r="AV17" s="149">
        <f t="shared" si="18"/>
        <v>0</v>
      </c>
      <c r="AW17" s="98">
        <v>124.75</v>
      </c>
      <c r="AX17" s="98">
        <v>55.61</v>
      </c>
      <c r="AY17" s="101"/>
      <c r="AZ17" s="98">
        <f t="shared" si="19"/>
        <v>0</v>
      </c>
      <c r="BA17" s="98"/>
      <c r="BB17" s="98"/>
      <c r="BC17" s="99"/>
      <c r="BD17" s="99"/>
      <c r="BE17" s="98">
        <f t="shared" si="20"/>
        <v>0</v>
      </c>
      <c r="BF17" s="98">
        <f t="shared" si="21"/>
        <v>0</v>
      </c>
      <c r="BG17" s="99"/>
      <c r="BH17" s="99"/>
      <c r="BI17" s="98">
        <f t="shared" si="22"/>
        <v>0</v>
      </c>
      <c r="BJ17" s="98">
        <f t="shared" si="23"/>
        <v>0</v>
      </c>
      <c r="BK17" s="100"/>
      <c r="BL17" s="100"/>
      <c r="BM17" s="98"/>
      <c r="BN17" s="98">
        <f t="shared" si="24"/>
        <v>0</v>
      </c>
      <c r="BO17" s="105">
        <v>51.03</v>
      </c>
      <c r="BP17" s="149">
        <f t="shared" si="25"/>
        <v>56.133000000000003</v>
      </c>
      <c r="BQ17" s="112"/>
      <c r="BR17" s="112"/>
      <c r="BS17" s="104">
        <f t="shared" si="26"/>
        <v>0</v>
      </c>
      <c r="BT17" s="104">
        <f t="shared" si="27"/>
        <v>0</v>
      </c>
      <c r="BU17" s="105">
        <v>0</v>
      </c>
      <c r="BV17" s="105">
        <v>0</v>
      </c>
      <c r="BW17" s="142">
        <f t="shared" si="28"/>
        <v>0</v>
      </c>
      <c r="BX17" s="142">
        <f t="shared" si="29"/>
        <v>0</v>
      </c>
      <c r="BY17" s="110">
        <v>0</v>
      </c>
      <c r="BZ17" s="110">
        <v>0</v>
      </c>
      <c r="CA17" s="142">
        <f t="shared" si="30"/>
        <v>0</v>
      </c>
      <c r="CB17" s="142">
        <f t="shared" si="30"/>
        <v>0</v>
      </c>
      <c r="CC17" s="106"/>
      <c r="CD17" s="106"/>
      <c r="CE17" s="98">
        <f t="shared" si="31"/>
        <v>0</v>
      </c>
      <c r="CF17" s="107">
        <f t="shared" si="31"/>
        <v>0</v>
      </c>
      <c r="CG17" s="81"/>
      <c r="CH17" s="65">
        <f t="shared" si="32"/>
        <v>1172000</v>
      </c>
      <c r="CI17" s="74"/>
      <c r="CJ17" s="74">
        <v>100000</v>
      </c>
      <c r="CK17" s="54">
        <v>670000</v>
      </c>
      <c r="CL17" s="74"/>
      <c r="CM17" s="54">
        <v>402000</v>
      </c>
      <c r="CN17" s="74"/>
      <c r="CO17" s="74"/>
      <c r="CP17" s="90"/>
      <c r="CQ17" s="68">
        <v>0</v>
      </c>
      <c r="CR17" s="69">
        <f t="shared" si="33"/>
        <v>245.92520000000002</v>
      </c>
      <c r="CS17" s="69">
        <f t="shared" si="34"/>
        <v>246.67200000000003</v>
      </c>
      <c r="CT17" s="70">
        <f t="shared" si="0"/>
        <v>1173946.8931200001</v>
      </c>
      <c r="CU17" s="70">
        <f t="shared" si="1"/>
        <v>782631.26208000013</v>
      </c>
      <c r="CV17" s="70">
        <f t="shared" si="35"/>
        <v>1946.8931200001389</v>
      </c>
      <c r="CW17" s="55"/>
      <c r="CX17" s="118"/>
    </row>
    <row r="18" spans="1:102">
      <c r="A18" s="18" t="s">
        <v>166</v>
      </c>
      <c r="B18" s="94" t="s">
        <v>167</v>
      </c>
      <c r="C18" s="92" t="s">
        <v>168</v>
      </c>
      <c r="D18" s="102">
        <v>0</v>
      </c>
      <c r="E18" s="102">
        <v>0</v>
      </c>
      <c r="F18" s="98">
        <f t="shared" si="2"/>
        <v>0</v>
      </c>
      <c r="G18" s="98">
        <f t="shared" si="2"/>
        <v>0</v>
      </c>
      <c r="H18" s="110"/>
      <c r="I18" s="110"/>
      <c r="J18" s="98">
        <f t="shared" si="3"/>
        <v>0</v>
      </c>
      <c r="K18" s="98">
        <f t="shared" si="4"/>
        <v>0</v>
      </c>
      <c r="L18" s="103">
        <v>18.850000000000001</v>
      </c>
      <c r="M18" s="98">
        <f t="shared" si="5"/>
        <v>18.850000000000001</v>
      </c>
      <c r="N18" s="98"/>
      <c r="O18" s="98"/>
      <c r="P18" s="98">
        <f t="shared" si="6"/>
        <v>0</v>
      </c>
      <c r="Q18" s="98">
        <f t="shared" si="7"/>
        <v>0</v>
      </c>
      <c r="R18" s="103">
        <v>53.61</v>
      </c>
      <c r="S18" s="98">
        <f t="shared" si="8"/>
        <v>58.971000000000004</v>
      </c>
      <c r="T18" s="103">
        <v>0</v>
      </c>
      <c r="U18" s="98">
        <v>0.51</v>
      </c>
      <c r="V18" s="98">
        <f t="shared" si="9"/>
        <v>0</v>
      </c>
      <c r="W18" s="98">
        <f t="shared" si="10"/>
        <v>0.56100000000000005</v>
      </c>
      <c r="X18" s="120">
        <v>0</v>
      </c>
      <c r="Y18" s="120">
        <v>0</v>
      </c>
      <c r="Z18" s="110"/>
      <c r="AA18" s="121">
        <f t="shared" si="11"/>
        <v>0</v>
      </c>
      <c r="AB18" s="121">
        <f t="shared" si="12"/>
        <v>0</v>
      </c>
      <c r="AC18" s="110"/>
      <c r="AD18" s="110"/>
      <c r="AE18" s="121">
        <f t="shared" si="13"/>
        <v>0</v>
      </c>
      <c r="AF18" s="121">
        <f t="shared" si="13"/>
        <v>0</v>
      </c>
      <c r="AG18" s="98">
        <v>0</v>
      </c>
      <c r="AH18" s="98">
        <v>0</v>
      </c>
      <c r="AI18" s="98">
        <f t="shared" si="14"/>
        <v>0</v>
      </c>
      <c r="AJ18" s="98">
        <f t="shared" si="14"/>
        <v>0</v>
      </c>
      <c r="AK18" s="103">
        <v>76.92</v>
      </c>
      <c r="AL18" s="98">
        <v>53.47</v>
      </c>
      <c r="AM18" s="98">
        <f t="shared" si="15"/>
        <v>83.073600000000013</v>
      </c>
      <c r="AN18" s="98">
        <f t="shared" si="16"/>
        <v>58.817</v>
      </c>
      <c r="AO18" s="98"/>
      <c r="AP18" s="98"/>
      <c r="AQ18" s="131"/>
      <c r="AR18" s="131"/>
      <c r="AS18" s="99"/>
      <c r="AT18" s="98">
        <f t="shared" si="17"/>
        <v>0</v>
      </c>
      <c r="AU18" s="99"/>
      <c r="AV18" s="149">
        <f t="shared" si="18"/>
        <v>0</v>
      </c>
      <c r="AW18" s="98">
        <v>3.98</v>
      </c>
      <c r="AX18" s="98">
        <v>6.82</v>
      </c>
      <c r="AY18" s="101"/>
      <c r="AZ18" s="98">
        <f t="shared" si="19"/>
        <v>0</v>
      </c>
      <c r="BA18" s="98"/>
      <c r="BB18" s="98"/>
      <c r="BC18" s="99">
        <v>0</v>
      </c>
      <c r="BD18" s="99">
        <v>0</v>
      </c>
      <c r="BE18" s="98">
        <f t="shared" si="20"/>
        <v>0</v>
      </c>
      <c r="BF18" s="98">
        <f t="shared" si="21"/>
        <v>0</v>
      </c>
      <c r="BG18" s="99">
        <v>184.15</v>
      </c>
      <c r="BH18" s="99">
        <v>0</v>
      </c>
      <c r="BI18" s="98">
        <f t="shared" si="22"/>
        <v>202.56500000000003</v>
      </c>
      <c r="BJ18" s="98">
        <f t="shared" si="23"/>
        <v>0</v>
      </c>
      <c r="BK18" s="100"/>
      <c r="BL18" s="100"/>
      <c r="BM18" s="98"/>
      <c r="BN18" s="98">
        <f t="shared" si="24"/>
        <v>0</v>
      </c>
      <c r="BO18" s="105">
        <v>11.86</v>
      </c>
      <c r="BP18" s="149">
        <f t="shared" si="25"/>
        <v>13.046000000000001</v>
      </c>
      <c r="BQ18" s="112"/>
      <c r="BR18" s="112"/>
      <c r="BS18" s="104">
        <f t="shared" si="26"/>
        <v>0</v>
      </c>
      <c r="BT18" s="104">
        <f t="shared" si="27"/>
        <v>0</v>
      </c>
      <c r="BU18" s="105">
        <v>0</v>
      </c>
      <c r="BV18" s="105">
        <v>0</v>
      </c>
      <c r="BW18" s="142">
        <f t="shared" si="28"/>
        <v>0</v>
      </c>
      <c r="BX18" s="142">
        <f t="shared" si="29"/>
        <v>0</v>
      </c>
      <c r="BY18" s="110"/>
      <c r="BZ18" s="110"/>
      <c r="CA18" s="142">
        <f t="shared" si="30"/>
        <v>0</v>
      </c>
      <c r="CB18" s="142">
        <f t="shared" si="30"/>
        <v>0</v>
      </c>
      <c r="CC18" s="106"/>
      <c r="CD18" s="106"/>
      <c r="CE18" s="98">
        <f t="shared" si="31"/>
        <v>0</v>
      </c>
      <c r="CF18" s="107">
        <f t="shared" si="31"/>
        <v>0</v>
      </c>
      <c r="CG18" s="81"/>
      <c r="CH18" s="65">
        <f t="shared" si="32"/>
        <v>1060000</v>
      </c>
      <c r="CI18" s="74"/>
      <c r="CJ18" s="74">
        <v>100000</v>
      </c>
      <c r="CK18" s="54">
        <v>570000</v>
      </c>
      <c r="CL18" s="74">
        <v>340000</v>
      </c>
      <c r="CM18" s="54">
        <v>50000</v>
      </c>
      <c r="CN18" s="74"/>
      <c r="CO18" s="74"/>
      <c r="CP18" s="90"/>
      <c r="CQ18" s="68">
        <v>0</v>
      </c>
      <c r="CR18" s="69">
        <f t="shared" si="33"/>
        <v>87.053600000000017</v>
      </c>
      <c r="CS18" s="69">
        <f t="shared" si="34"/>
        <v>359.63</v>
      </c>
      <c r="CT18" s="70">
        <f t="shared" si="0"/>
        <v>1060611.2553600001</v>
      </c>
      <c r="CU18" s="70">
        <f t="shared" si="1"/>
        <v>707074.17024000012</v>
      </c>
      <c r="CV18" s="70">
        <f t="shared" si="35"/>
        <v>611.25536000006832</v>
      </c>
      <c r="CW18" s="55"/>
      <c r="CX18" s="118"/>
    </row>
    <row r="19" spans="1:102">
      <c r="A19" s="18"/>
      <c r="B19" s="94" t="s">
        <v>178</v>
      </c>
      <c r="C19" s="92" t="s">
        <v>179</v>
      </c>
      <c r="D19" s="102">
        <v>0</v>
      </c>
      <c r="E19" s="102">
        <v>0</v>
      </c>
      <c r="F19" s="98">
        <f t="shared" si="2"/>
        <v>0</v>
      </c>
      <c r="G19" s="98">
        <f t="shared" si="2"/>
        <v>0</v>
      </c>
      <c r="H19" s="110"/>
      <c r="I19" s="110"/>
      <c r="J19" s="98">
        <f t="shared" si="3"/>
        <v>0</v>
      </c>
      <c r="K19" s="98">
        <f t="shared" si="4"/>
        <v>0</v>
      </c>
      <c r="L19" s="103">
        <v>43</v>
      </c>
      <c r="M19" s="98">
        <f t="shared" si="5"/>
        <v>43</v>
      </c>
      <c r="N19" s="98"/>
      <c r="O19" s="98"/>
      <c r="P19" s="98">
        <f t="shared" si="6"/>
        <v>0</v>
      </c>
      <c r="Q19" s="98">
        <f t="shared" si="7"/>
        <v>0</v>
      </c>
      <c r="R19" s="103">
        <v>0</v>
      </c>
      <c r="S19" s="98">
        <f t="shared" si="8"/>
        <v>0</v>
      </c>
      <c r="T19" s="108">
        <v>0</v>
      </c>
      <c r="U19" s="99">
        <v>0</v>
      </c>
      <c r="V19" s="98">
        <f t="shared" si="9"/>
        <v>0</v>
      </c>
      <c r="W19" s="98">
        <f t="shared" si="10"/>
        <v>0</v>
      </c>
      <c r="X19" s="120">
        <v>0</v>
      </c>
      <c r="Y19" s="120">
        <v>0</v>
      </c>
      <c r="Z19" s="110"/>
      <c r="AA19" s="121">
        <f t="shared" si="11"/>
        <v>0</v>
      </c>
      <c r="AB19" s="121">
        <f t="shared" si="12"/>
        <v>0</v>
      </c>
      <c r="AC19" s="110"/>
      <c r="AD19" s="110"/>
      <c r="AE19" s="121">
        <f t="shared" si="13"/>
        <v>0</v>
      </c>
      <c r="AF19" s="121">
        <f t="shared" si="13"/>
        <v>0</v>
      </c>
      <c r="AG19" s="98">
        <v>0</v>
      </c>
      <c r="AH19" s="98">
        <v>0</v>
      </c>
      <c r="AI19" s="98">
        <f t="shared" si="14"/>
        <v>0</v>
      </c>
      <c r="AJ19" s="98">
        <f t="shared" si="14"/>
        <v>0</v>
      </c>
      <c r="AK19" s="103">
        <v>16.670000000000002</v>
      </c>
      <c r="AL19" s="98">
        <v>5.66</v>
      </c>
      <c r="AM19" s="98">
        <f t="shared" si="15"/>
        <v>18.003600000000002</v>
      </c>
      <c r="AN19" s="98">
        <f t="shared" si="16"/>
        <v>6.2260000000000009</v>
      </c>
      <c r="AO19" s="98"/>
      <c r="AP19" s="98"/>
      <c r="AQ19" s="131">
        <v>188.42</v>
      </c>
      <c r="AR19" s="131">
        <v>253.87</v>
      </c>
      <c r="AS19" s="99"/>
      <c r="AT19" s="98">
        <f t="shared" si="17"/>
        <v>0</v>
      </c>
      <c r="AU19" s="99"/>
      <c r="AV19" s="149">
        <f t="shared" si="18"/>
        <v>0</v>
      </c>
      <c r="AW19" s="98">
        <v>0</v>
      </c>
      <c r="AX19" s="98">
        <v>0.48</v>
      </c>
      <c r="AY19" s="101"/>
      <c r="AZ19" s="98">
        <f t="shared" si="19"/>
        <v>0</v>
      </c>
      <c r="BA19" s="98"/>
      <c r="BB19" s="98"/>
      <c r="BC19" s="99"/>
      <c r="BD19" s="99"/>
      <c r="BE19" s="98">
        <f t="shared" si="20"/>
        <v>0</v>
      </c>
      <c r="BF19" s="98">
        <f t="shared" si="21"/>
        <v>0</v>
      </c>
      <c r="BG19" s="99"/>
      <c r="BH19" s="99"/>
      <c r="BI19" s="98">
        <f t="shared" si="22"/>
        <v>0</v>
      </c>
      <c r="BJ19" s="98">
        <f t="shared" si="23"/>
        <v>0</v>
      </c>
      <c r="BK19" s="100"/>
      <c r="BL19" s="100"/>
      <c r="BM19" s="98"/>
      <c r="BN19" s="98">
        <f t="shared" si="24"/>
        <v>0</v>
      </c>
      <c r="BO19" s="105"/>
      <c r="BP19" s="149">
        <f t="shared" si="25"/>
        <v>0</v>
      </c>
      <c r="BQ19" s="112"/>
      <c r="BR19" s="112"/>
      <c r="BS19" s="104">
        <f t="shared" si="26"/>
        <v>0</v>
      </c>
      <c r="BT19" s="104">
        <f t="shared" si="27"/>
        <v>0</v>
      </c>
      <c r="BU19" s="105">
        <v>0</v>
      </c>
      <c r="BV19" s="105">
        <v>0</v>
      </c>
      <c r="BW19" s="142">
        <f t="shared" si="28"/>
        <v>0</v>
      </c>
      <c r="BX19" s="142">
        <f t="shared" si="29"/>
        <v>0</v>
      </c>
      <c r="BY19" s="110"/>
      <c r="BZ19" s="110"/>
      <c r="CA19" s="142">
        <f t="shared" si="30"/>
        <v>0</v>
      </c>
      <c r="CB19" s="142">
        <f t="shared" si="30"/>
        <v>0</v>
      </c>
      <c r="CC19" s="106"/>
      <c r="CD19" s="106"/>
      <c r="CE19" s="98">
        <f t="shared" si="31"/>
        <v>0</v>
      </c>
      <c r="CF19" s="107">
        <f t="shared" si="31"/>
        <v>0</v>
      </c>
      <c r="CG19" s="81"/>
      <c r="CH19" s="65">
        <f t="shared" si="32"/>
        <v>1214000</v>
      </c>
      <c r="CI19" s="74"/>
      <c r="CJ19" s="74">
        <f>200000+150000</f>
        <v>350000</v>
      </c>
      <c r="CK19" s="54">
        <v>154000</v>
      </c>
      <c r="CL19" s="74">
        <v>600000</v>
      </c>
      <c r="CM19" s="54">
        <v>110000</v>
      </c>
      <c r="CN19" s="74"/>
      <c r="CO19" s="74"/>
      <c r="CP19" s="90"/>
      <c r="CQ19" s="68">
        <v>0</v>
      </c>
      <c r="CR19" s="69">
        <f t="shared" si="33"/>
        <v>206.42359999999999</v>
      </c>
      <c r="CS19" s="69">
        <f t="shared" si="34"/>
        <v>303.57600000000002</v>
      </c>
      <c r="CT19" s="70">
        <f t="shared" si="0"/>
        <v>1214032.05216</v>
      </c>
      <c r="CU19" s="70">
        <f t="shared" si="1"/>
        <v>809354.70144000009</v>
      </c>
      <c r="CV19" s="70">
        <f t="shared" si="35"/>
        <v>32.052159999962896</v>
      </c>
      <c r="CW19" s="55"/>
      <c r="CX19" s="118"/>
    </row>
    <row r="20" spans="1:102">
      <c r="A20" s="18"/>
      <c r="B20" s="94" t="s">
        <v>180</v>
      </c>
      <c r="C20" s="92" t="s">
        <v>181</v>
      </c>
      <c r="D20" s="102">
        <v>0</v>
      </c>
      <c r="E20" s="102">
        <v>0</v>
      </c>
      <c r="F20" s="98">
        <f t="shared" si="2"/>
        <v>0</v>
      </c>
      <c r="G20" s="98">
        <f t="shared" si="2"/>
        <v>0</v>
      </c>
      <c r="H20" s="110"/>
      <c r="I20" s="110"/>
      <c r="J20" s="98">
        <f t="shared" si="3"/>
        <v>0</v>
      </c>
      <c r="K20" s="98">
        <f t="shared" si="4"/>
        <v>0</v>
      </c>
      <c r="L20" s="103">
        <v>47.9</v>
      </c>
      <c r="M20" s="98">
        <f t="shared" si="5"/>
        <v>47.9</v>
      </c>
      <c r="N20" s="98"/>
      <c r="O20" s="98"/>
      <c r="P20" s="98">
        <f t="shared" si="6"/>
        <v>0</v>
      </c>
      <c r="Q20" s="98">
        <f t="shared" si="7"/>
        <v>0</v>
      </c>
      <c r="R20" s="103">
        <v>27.55</v>
      </c>
      <c r="S20" s="98">
        <f t="shared" si="8"/>
        <v>30.305000000000003</v>
      </c>
      <c r="T20" s="108">
        <v>24.02</v>
      </c>
      <c r="U20" s="99">
        <v>14.35</v>
      </c>
      <c r="V20" s="98">
        <f t="shared" si="9"/>
        <v>25.941600000000001</v>
      </c>
      <c r="W20" s="98">
        <f t="shared" si="10"/>
        <v>15.785</v>
      </c>
      <c r="X20" s="120">
        <v>0</v>
      </c>
      <c r="Y20" s="120">
        <v>0</v>
      </c>
      <c r="Z20" s="110"/>
      <c r="AA20" s="121">
        <f t="shared" si="11"/>
        <v>0</v>
      </c>
      <c r="AB20" s="121">
        <f t="shared" si="12"/>
        <v>0</v>
      </c>
      <c r="AC20" s="110"/>
      <c r="AD20" s="110"/>
      <c r="AE20" s="121">
        <f t="shared" si="13"/>
        <v>0</v>
      </c>
      <c r="AF20" s="121">
        <f t="shared" si="13"/>
        <v>0</v>
      </c>
      <c r="AG20" s="98">
        <v>0</v>
      </c>
      <c r="AH20" s="98">
        <v>0</v>
      </c>
      <c r="AI20" s="98">
        <f t="shared" si="14"/>
        <v>0</v>
      </c>
      <c r="AJ20" s="98">
        <f t="shared" si="14"/>
        <v>0</v>
      </c>
      <c r="AK20" s="103">
        <v>41.32</v>
      </c>
      <c r="AL20" s="98">
        <v>50.37</v>
      </c>
      <c r="AM20" s="98">
        <f t="shared" si="15"/>
        <v>44.625600000000006</v>
      </c>
      <c r="AN20" s="98">
        <f t="shared" si="16"/>
        <v>55.407000000000004</v>
      </c>
      <c r="AO20" s="98"/>
      <c r="AP20" s="98"/>
      <c r="AQ20" s="131">
        <v>11.9</v>
      </c>
      <c r="AR20" s="131">
        <v>21.87</v>
      </c>
      <c r="AS20" s="99"/>
      <c r="AT20" s="98">
        <f t="shared" si="17"/>
        <v>0</v>
      </c>
      <c r="AU20" s="99"/>
      <c r="AV20" s="149">
        <f t="shared" si="18"/>
        <v>0</v>
      </c>
      <c r="AW20" s="98">
        <v>15.45</v>
      </c>
      <c r="AX20" s="98">
        <v>28.82</v>
      </c>
      <c r="AY20" s="101"/>
      <c r="AZ20" s="98">
        <f t="shared" si="19"/>
        <v>0</v>
      </c>
      <c r="BA20" s="98"/>
      <c r="BB20" s="98"/>
      <c r="BC20" s="99"/>
      <c r="BD20" s="99"/>
      <c r="BE20" s="98">
        <f t="shared" si="20"/>
        <v>0</v>
      </c>
      <c r="BF20" s="98">
        <f t="shared" si="21"/>
        <v>0</v>
      </c>
      <c r="BG20" s="99">
        <v>140.93</v>
      </c>
      <c r="BH20" s="99">
        <v>10.92</v>
      </c>
      <c r="BI20" s="98">
        <f t="shared" si="22"/>
        <v>155.02300000000002</v>
      </c>
      <c r="BJ20" s="98">
        <f t="shared" si="23"/>
        <v>12.012</v>
      </c>
      <c r="BK20" s="100"/>
      <c r="BL20" s="100"/>
      <c r="BM20" s="98"/>
      <c r="BN20" s="98">
        <f t="shared" si="24"/>
        <v>0</v>
      </c>
      <c r="BO20" s="105">
        <v>57.76</v>
      </c>
      <c r="BP20" s="149">
        <f t="shared" si="25"/>
        <v>63.536000000000001</v>
      </c>
      <c r="BQ20" s="112"/>
      <c r="BR20" s="112"/>
      <c r="BS20" s="104">
        <f t="shared" si="26"/>
        <v>0</v>
      </c>
      <c r="BT20" s="104">
        <f t="shared" si="27"/>
        <v>0</v>
      </c>
      <c r="BU20" s="105">
        <v>0</v>
      </c>
      <c r="BV20" s="105">
        <v>0</v>
      </c>
      <c r="BW20" s="142">
        <f t="shared" si="28"/>
        <v>0</v>
      </c>
      <c r="BX20" s="142">
        <f t="shared" si="29"/>
        <v>0</v>
      </c>
      <c r="BY20" s="110"/>
      <c r="BZ20" s="110"/>
      <c r="CA20" s="142">
        <f t="shared" si="30"/>
        <v>0</v>
      </c>
      <c r="CB20" s="142">
        <f t="shared" si="30"/>
        <v>0</v>
      </c>
      <c r="CC20" s="106"/>
      <c r="CD20" s="106"/>
      <c r="CE20" s="98">
        <f t="shared" si="31"/>
        <v>0</v>
      </c>
      <c r="CF20" s="107">
        <f t="shared" si="31"/>
        <v>0</v>
      </c>
      <c r="CG20" s="81"/>
      <c r="CH20" s="65">
        <f t="shared" si="32"/>
        <v>1262000</v>
      </c>
      <c r="CI20" s="74"/>
      <c r="CJ20" s="74">
        <v>0</v>
      </c>
      <c r="CK20" s="54">
        <v>660000</v>
      </c>
      <c r="CL20" s="74"/>
      <c r="CM20" s="54">
        <v>602000</v>
      </c>
      <c r="CN20" s="74"/>
      <c r="CO20" s="74"/>
      <c r="CP20" s="90"/>
      <c r="CQ20" s="68">
        <v>0</v>
      </c>
      <c r="CR20" s="69">
        <f t="shared" si="33"/>
        <v>97.917200000000008</v>
      </c>
      <c r="CS20" s="69">
        <f t="shared" si="34"/>
        <v>418.64600000000002</v>
      </c>
      <c r="CT20" s="70">
        <f t="shared" si="0"/>
        <v>1262022.4555199998</v>
      </c>
      <c r="CU20" s="70">
        <f t="shared" si="1"/>
        <v>829492.45968000009</v>
      </c>
      <c r="CV20" s="70">
        <f t="shared" si="35"/>
        <v>22.455519999843091</v>
      </c>
      <c r="CW20" s="55"/>
      <c r="CX20" s="118"/>
    </row>
    <row r="21" spans="1:102">
      <c r="A21" s="18"/>
      <c r="B21" s="94" t="s">
        <v>183</v>
      </c>
      <c r="C21" s="92" t="s">
        <v>184</v>
      </c>
      <c r="D21" s="102">
        <v>0</v>
      </c>
      <c r="E21" s="102">
        <v>0</v>
      </c>
      <c r="F21" s="98">
        <f t="shared" si="2"/>
        <v>0</v>
      </c>
      <c r="G21" s="98">
        <f t="shared" si="2"/>
        <v>0</v>
      </c>
      <c r="H21" s="110"/>
      <c r="I21" s="110"/>
      <c r="J21" s="98">
        <f t="shared" si="3"/>
        <v>0</v>
      </c>
      <c r="K21" s="98">
        <f t="shared" si="4"/>
        <v>0</v>
      </c>
      <c r="L21" s="103"/>
      <c r="M21" s="98">
        <f t="shared" si="5"/>
        <v>0</v>
      </c>
      <c r="N21" s="98"/>
      <c r="O21" s="98"/>
      <c r="P21" s="98">
        <f t="shared" si="6"/>
        <v>0</v>
      </c>
      <c r="Q21" s="98">
        <f t="shared" si="7"/>
        <v>0</v>
      </c>
      <c r="R21" s="103">
        <v>0</v>
      </c>
      <c r="S21" s="98">
        <f t="shared" si="8"/>
        <v>0</v>
      </c>
      <c r="T21" s="108">
        <v>0</v>
      </c>
      <c r="U21" s="99">
        <v>0</v>
      </c>
      <c r="V21" s="98">
        <f t="shared" si="9"/>
        <v>0</v>
      </c>
      <c r="W21" s="98">
        <f t="shared" si="10"/>
        <v>0</v>
      </c>
      <c r="X21" s="120">
        <v>0</v>
      </c>
      <c r="Y21" s="120">
        <v>0</v>
      </c>
      <c r="Z21" s="110"/>
      <c r="AA21" s="121">
        <f t="shared" si="11"/>
        <v>0</v>
      </c>
      <c r="AB21" s="121">
        <f t="shared" si="12"/>
        <v>0</v>
      </c>
      <c r="AC21" s="110"/>
      <c r="AD21" s="110"/>
      <c r="AE21" s="121">
        <f t="shared" si="13"/>
        <v>0</v>
      </c>
      <c r="AF21" s="121">
        <f t="shared" si="13"/>
        <v>0</v>
      </c>
      <c r="AG21" s="98">
        <v>0</v>
      </c>
      <c r="AH21" s="98">
        <v>0</v>
      </c>
      <c r="AI21" s="98">
        <f t="shared" si="14"/>
        <v>0</v>
      </c>
      <c r="AJ21" s="98">
        <f t="shared" si="14"/>
        <v>0</v>
      </c>
      <c r="AK21" s="103"/>
      <c r="AL21" s="98"/>
      <c r="AM21" s="98">
        <f t="shared" si="15"/>
        <v>0</v>
      </c>
      <c r="AN21" s="98">
        <f t="shared" si="16"/>
        <v>0</v>
      </c>
      <c r="AO21" s="98"/>
      <c r="AP21" s="98"/>
      <c r="AQ21" s="131">
        <v>0</v>
      </c>
      <c r="AR21" s="131">
        <v>0</v>
      </c>
      <c r="AS21" s="99"/>
      <c r="AT21" s="98">
        <f t="shared" si="17"/>
        <v>0</v>
      </c>
      <c r="AU21" s="99"/>
      <c r="AV21" s="149">
        <f t="shared" si="18"/>
        <v>0</v>
      </c>
      <c r="AW21" s="98">
        <v>0</v>
      </c>
      <c r="AX21" s="98">
        <v>0</v>
      </c>
      <c r="AY21" s="101"/>
      <c r="AZ21" s="98">
        <f t="shared" si="19"/>
        <v>0</v>
      </c>
      <c r="BA21" s="98"/>
      <c r="BB21" s="98"/>
      <c r="BC21" s="99"/>
      <c r="BD21" s="99"/>
      <c r="BE21" s="98">
        <f t="shared" si="20"/>
        <v>0</v>
      </c>
      <c r="BF21" s="98">
        <f t="shared" si="21"/>
        <v>0</v>
      </c>
      <c r="BG21" s="99"/>
      <c r="BH21" s="99"/>
      <c r="BI21" s="98">
        <f t="shared" si="22"/>
        <v>0</v>
      </c>
      <c r="BJ21" s="98">
        <f t="shared" si="23"/>
        <v>0</v>
      </c>
      <c r="BK21" s="100"/>
      <c r="BL21" s="100"/>
      <c r="BM21" s="98"/>
      <c r="BN21" s="98">
        <f t="shared" si="24"/>
        <v>0</v>
      </c>
      <c r="BO21" s="105">
        <v>0</v>
      </c>
      <c r="BP21" s="149">
        <f t="shared" si="25"/>
        <v>0</v>
      </c>
      <c r="BQ21" s="112"/>
      <c r="BR21" s="112"/>
      <c r="BS21" s="104">
        <f t="shared" si="26"/>
        <v>0</v>
      </c>
      <c r="BT21" s="104">
        <f t="shared" si="27"/>
        <v>0</v>
      </c>
      <c r="BU21" s="105">
        <v>0</v>
      </c>
      <c r="BV21" s="105">
        <v>0</v>
      </c>
      <c r="BW21" s="142">
        <f t="shared" si="28"/>
        <v>0</v>
      </c>
      <c r="BX21" s="142">
        <f t="shared" si="29"/>
        <v>0</v>
      </c>
      <c r="BY21" s="110"/>
      <c r="BZ21" s="110"/>
      <c r="CA21" s="142">
        <f t="shared" si="30"/>
        <v>0</v>
      </c>
      <c r="CB21" s="142">
        <f t="shared" si="30"/>
        <v>0</v>
      </c>
      <c r="CC21" s="106"/>
      <c r="CD21" s="106"/>
      <c r="CE21" s="98">
        <f t="shared" si="31"/>
        <v>0</v>
      </c>
      <c r="CF21" s="107">
        <f t="shared" si="31"/>
        <v>0</v>
      </c>
      <c r="CG21" s="81"/>
      <c r="CH21" s="65">
        <f t="shared" si="32"/>
        <v>0</v>
      </c>
      <c r="CI21" s="74"/>
      <c r="CJ21" s="74"/>
      <c r="CK21" s="54">
        <v>0</v>
      </c>
      <c r="CL21" s="74"/>
      <c r="CM21" s="54">
        <v>0</v>
      </c>
      <c r="CN21" s="74"/>
      <c r="CO21" s="74"/>
      <c r="CP21" s="90"/>
      <c r="CQ21" s="68">
        <v>0</v>
      </c>
      <c r="CR21" s="69">
        <f t="shared" si="33"/>
        <v>0</v>
      </c>
      <c r="CS21" s="69">
        <f t="shared" si="34"/>
        <v>0</v>
      </c>
      <c r="CT21" s="70">
        <f t="shared" si="0"/>
        <v>0</v>
      </c>
      <c r="CU21" s="70">
        <f t="shared" si="1"/>
        <v>0</v>
      </c>
      <c r="CV21" s="70">
        <f t="shared" si="35"/>
        <v>0</v>
      </c>
      <c r="CW21" s="55"/>
      <c r="CX21" s="118"/>
    </row>
    <row r="22" spans="1:102">
      <c r="A22" s="18"/>
      <c r="B22" s="94" t="s">
        <v>186</v>
      </c>
      <c r="C22" s="92" t="s">
        <v>187</v>
      </c>
      <c r="D22" s="102">
        <v>0</v>
      </c>
      <c r="E22" s="102">
        <v>0</v>
      </c>
      <c r="F22" s="98">
        <f t="shared" si="2"/>
        <v>0</v>
      </c>
      <c r="G22" s="98">
        <f t="shared" si="2"/>
        <v>0</v>
      </c>
      <c r="H22" s="110"/>
      <c r="I22" s="110"/>
      <c r="J22" s="98">
        <f t="shared" si="3"/>
        <v>0</v>
      </c>
      <c r="K22" s="98">
        <f t="shared" si="4"/>
        <v>0</v>
      </c>
      <c r="L22" s="103"/>
      <c r="M22" s="98">
        <f t="shared" si="5"/>
        <v>0</v>
      </c>
      <c r="N22" s="98"/>
      <c r="O22" s="98"/>
      <c r="P22" s="98">
        <f t="shared" si="6"/>
        <v>0</v>
      </c>
      <c r="Q22" s="98">
        <f t="shared" si="7"/>
        <v>0</v>
      </c>
      <c r="R22" s="103">
        <v>48.44</v>
      </c>
      <c r="S22" s="98">
        <f t="shared" si="8"/>
        <v>53.283999999999999</v>
      </c>
      <c r="T22" s="108">
        <v>18.22</v>
      </c>
      <c r="U22" s="99">
        <v>32.72</v>
      </c>
      <c r="V22" s="98">
        <f t="shared" si="9"/>
        <v>19.677600000000002</v>
      </c>
      <c r="W22" s="98">
        <f t="shared" si="10"/>
        <v>35.992000000000004</v>
      </c>
      <c r="X22" s="120">
        <v>0</v>
      </c>
      <c r="Y22" s="120">
        <v>0</v>
      </c>
      <c r="Z22" s="110"/>
      <c r="AA22" s="121">
        <f t="shared" si="11"/>
        <v>0</v>
      </c>
      <c r="AB22" s="121">
        <f t="shared" si="12"/>
        <v>0</v>
      </c>
      <c r="AC22" s="110"/>
      <c r="AD22" s="110"/>
      <c r="AE22" s="121">
        <f t="shared" si="13"/>
        <v>0</v>
      </c>
      <c r="AF22" s="121">
        <f t="shared" si="13"/>
        <v>0</v>
      </c>
      <c r="AG22" s="98">
        <v>0</v>
      </c>
      <c r="AH22" s="98">
        <v>0</v>
      </c>
      <c r="AI22" s="98">
        <f t="shared" si="14"/>
        <v>0</v>
      </c>
      <c r="AJ22" s="98">
        <f t="shared" si="14"/>
        <v>0</v>
      </c>
      <c r="AK22" s="103">
        <v>103.62</v>
      </c>
      <c r="AL22" s="98">
        <v>69.98</v>
      </c>
      <c r="AM22" s="98">
        <f t="shared" si="15"/>
        <v>111.90960000000001</v>
      </c>
      <c r="AN22" s="98">
        <f t="shared" si="16"/>
        <v>76.978000000000009</v>
      </c>
      <c r="AO22" s="98"/>
      <c r="AP22" s="98"/>
      <c r="AQ22" s="131">
        <v>20.09</v>
      </c>
      <c r="AR22" s="131">
        <v>24.43</v>
      </c>
      <c r="AS22" s="99"/>
      <c r="AT22" s="98">
        <f t="shared" si="17"/>
        <v>0</v>
      </c>
      <c r="AU22" s="99"/>
      <c r="AV22" s="149">
        <f t="shared" si="18"/>
        <v>0</v>
      </c>
      <c r="AW22" s="98">
        <v>23.29</v>
      </c>
      <c r="AX22" s="98">
        <v>4.4400000000000004</v>
      </c>
      <c r="AY22" s="101"/>
      <c r="AZ22" s="98">
        <f t="shared" si="19"/>
        <v>0</v>
      </c>
      <c r="BA22" s="98"/>
      <c r="BB22" s="98"/>
      <c r="BC22" s="99"/>
      <c r="BD22" s="99"/>
      <c r="BE22" s="98">
        <f t="shared" si="20"/>
        <v>0</v>
      </c>
      <c r="BF22" s="98">
        <f t="shared" si="21"/>
        <v>0</v>
      </c>
      <c r="BG22" s="99">
        <v>102.87</v>
      </c>
      <c r="BH22" s="99">
        <v>0</v>
      </c>
      <c r="BI22" s="98">
        <f t="shared" si="22"/>
        <v>113.15700000000001</v>
      </c>
      <c r="BJ22" s="98">
        <f t="shared" si="23"/>
        <v>0</v>
      </c>
      <c r="BK22" s="100"/>
      <c r="BL22" s="100"/>
      <c r="BM22" s="98"/>
      <c r="BN22" s="98">
        <f t="shared" si="24"/>
        <v>0</v>
      </c>
      <c r="BO22" s="105">
        <v>16.25</v>
      </c>
      <c r="BP22" s="149">
        <f t="shared" si="25"/>
        <v>17.875</v>
      </c>
      <c r="BQ22" s="112"/>
      <c r="BR22" s="112"/>
      <c r="BS22" s="104">
        <f t="shared" si="26"/>
        <v>0</v>
      </c>
      <c r="BT22" s="104">
        <f t="shared" si="27"/>
        <v>0</v>
      </c>
      <c r="BU22" s="105">
        <v>0</v>
      </c>
      <c r="BV22" s="105">
        <v>0</v>
      </c>
      <c r="BW22" s="142">
        <f t="shared" si="28"/>
        <v>0</v>
      </c>
      <c r="BX22" s="142">
        <f t="shared" si="29"/>
        <v>0</v>
      </c>
      <c r="BY22" s="110"/>
      <c r="BZ22" s="110"/>
      <c r="CA22" s="142">
        <f t="shared" si="30"/>
        <v>0</v>
      </c>
      <c r="CB22" s="142">
        <f t="shared" si="30"/>
        <v>0</v>
      </c>
      <c r="CC22" s="106"/>
      <c r="CD22" s="106"/>
      <c r="CE22" s="98">
        <f t="shared" si="31"/>
        <v>0</v>
      </c>
      <c r="CF22" s="107">
        <f t="shared" si="31"/>
        <v>0</v>
      </c>
      <c r="CG22" s="81"/>
      <c r="CH22" s="65">
        <f t="shared" si="32"/>
        <v>1194000</v>
      </c>
      <c r="CI22" s="74"/>
      <c r="CJ22" s="74">
        <v>370000</v>
      </c>
      <c r="CK22" s="54">
        <v>114000</v>
      </c>
      <c r="CL22" s="74">
        <v>370000</v>
      </c>
      <c r="CM22" s="54">
        <v>340000</v>
      </c>
      <c r="CN22" s="74"/>
      <c r="CO22" s="74">
        <v>0</v>
      </c>
      <c r="CP22" s="90"/>
      <c r="CQ22" s="68">
        <v>0</v>
      </c>
      <c r="CR22" s="69">
        <f t="shared" si="33"/>
        <v>174.96720000000002</v>
      </c>
      <c r="CS22" s="69">
        <f t="shared" si="34"/>
        <v>326.15600000000006</v>
      </c>
      <c r="CT22" s="70">
        <f t="shared" si="0"/>
        <v>1192099.6915200001</v>
      </c>
      <c r="CU22" s="70">
        <f t="shared" si="1"/>
        <v>794733.12768000015</v>
      </c>
      <c r="CV22" s="70">
        <f t="shared" si="35"/>
        <v>-1900.3084799998906</v>
      </c>
      <c r="CW22" s="55"/>
      <c r="CX22" s="118"/>
    </row>
    <row r="23" spans="1:102">
      <c r="A23" s="18"/>
      <c r="B23" s="94" t="s">
        <v>188</v>
      </c>
      <c r="C23" s="92" t="s">
        <v>189</v>
      </c>
      <c r="D23" s="102">
        <v>0</v>
      </c>
      <c r="E23" s="102">
        <v>0</v>
      </c>
      <c r="F23" s="98">
        <f t="shared" si="2"/>
        <v>0</v>
      </c>
      <c r="G23" s="98">
        <f t="shared" si="2"/>
        <v>0</v>
      </c>
      <c r="H23" s="110"/>
      <c r="I23" s="110"/>
      <c r="J23" s="98">
        <f t="shared" si="3"/>
        <v>0</v>
      </c>
      <c r="K23" s="98">
        <f t="shared" si="4"/>
        <v>0</v>
      </c>
      <c r="L23" s="103"/>
      <c r="M23" s="98">
        <f t="shared" si="5"/>
        <v>0</v>
      </c>
      <c r="N23" s="98"/>
      <c r="O23" s="98"/>
      <c r="P23" s="98">
        <f t="shared" si="6"/>
        <v>0</v>
      </c>
      <c r="Q23" s="98">
        <f t="shared" si="7"/>
        <v>0</v>
      </c>
      <c r="R23" s="103">
        <v>0</v>
      </c>
      <c r="S23" s="98">
        <f t="shared" si="8"/>
        <v>0</v>
      </c>
      <c r="T23" s="108">
        <v>0</v>
      </c>
      <c r="U23" s="99">
        <v>0</v>
      </c>
      <c r="V23" s="98">
        <f t="shared" si="9"/>
        <v>0</v>
      </c>
      <c r="W23" s="98">
        <f t="shared" si="10"/>
        <v>0</v>
      </c>
      <c r="X23" s="120">
        <v>0</v>
      </c>
      <c r="Y23" s="120">
        <v>0</v>
      </c>
      <c r="Z23" s="110"/>
      <c r="AA23" s="121">
        <f t="shared" si="11"/>
        <v>0</v>
      </c>
      <c r="AB23" s="121">
        <f t="shared" si="12"/>
        <v>0</v>
      </c>
      <c r="AC23" s="110"/>
      <c r="AD23" s="110"/>
      <c r="AE23" s="121">
        <f t="shared" si="13"/>
        <v>0</v>
      </c>
      <c r="AF23" s="121">
        <f t="shared" si="13"/>
        <v>0</v>
      </c>
      <c r="AG23" s="98">
        <v>0</v>
      </c>
      <c r="AH23" s="98">
        <v>0</v>
      </c>
      <c r="AI23" s="98">
        <f t="shared" si="14"/>
        <v>0</v>
      </c>
      <c r="AJ23" s="98">
        <f t="shared" si="14"/>
        <v>0</v>
      </c>
      <c r="AK23" s="103">
        <v>0</v>
      </c>
      <c r="AL23" s="98">
        <v>0.14000000000000001</v>
      </c>
      <c r="AM23" s="98">
        <f t="shared" si="15"/>
        <v>0</v>
      </c>
      <c r="AN23" s="98">
        <f t="shared" si="16"/>
        <v>0.15400000000000003</v>
      </c>
      <c r="AO23" s="98"/>
      <c r="AP23" s="98"/>
      <c r="AQ23" s="131"/>
      <c r="AR23" s="131"/>
      <c r="AS23" s="99"/>
      <c r="AT23" s="98">
        <f t="shared" si="17"/>
        <v>0</v>
      </c>
      <c r="AU23" s="99"/>
      <c r="AV23" s="149">
        <f t="shared" si="18"/>
        <v>0</v>
      </c>
      <c r="AW23" s="98">
        <v>0</v>
      </c>
      <c r="AX23" s="98">
        <v>0</v>
      </c>
      <c r="AY23" s="101"/>
      <c r="AZ23" s="98">
        <f t="shared" si="19"/>
        <v>0</v>
      </c>
      <c r="BA23" s="98"/>
      <c r="BB23" s="98"/>
      <c r="BC23" s="99">
        <v>0</v>
      </c>
      <c r="BD23" s="99">
        <v>0</v>
      </c>
      <c r="BE23" s="98">
        <f t="shared" si="20"/>
        <v>0</v>
      </c>
      <c r="BF23" s="98">
        <f t="shared" si="21"/>
        <v>0</v>
      </c>
      <c r="BG23" s="99"/>
      <c r="BH23" s="99"/>
      <c r="BI23" s="98">
        <f t="shared" si="22"/>
        <v>0</v>
      </c>
      <c r="BJ23" s="98">
        <f t="shared" si="23"/>
        <v>0</v>
      </c>
      <c r="BK23" s="100"/>
      <c r="BL23" s="100"/>
      <c r="BM23" s="98"/>
      <c r="BN23" s="98">
        <f t="shared" si="24"/>
        <v>0</v>
      </c>
      <c r="BO23" s="105">
        <v>0</v>
      </c>
      <c r="BP23" s="149">
        <f t="shared" si="25"/>
        <v>0</v>
      </c>
      <c r="BQ23" s="112"/>
      <c r="BR23" s="112"/>
      <c r="BS23" s="104">
        <f t="shared" si="26"/>
        <v>0</v>
      </c>
      <c r="BT23" s="104">
        <f t="shared" si="27"/>
        <v>0</v>
      </c>
      <c r="BU23" s="105">
        <v>0</v>
      </c>
      <c r="BV23" s="105">
        <v>0</v>
      </c>
      <c r="BW23" s="142">
        <f t="shared" si="28"/>
        <v>0</v>
      </c>
      <c r="BX23" s="142">
        <f t="shared" si="29"/>
        <v>0</v>
      </c>
      <c r="BY23" s="110"/>
      <c r="BZ23" s="110"/>
      <c r="CA23" s="142">
        <f t="shared" si="30"/>
        <v>0</v>
      </c>
      <c r="CB23" s="142">
        <f t="shared" si="30"/>
        <v>0</v>
      </c>
      <c r="CC23" s="106"/>
      <c r="CD23" s="106"/>
      <c r="CE23" s="98">
        <f t="shared" si="31"/>
        <v>0</v>
      </c>
      <c r="CF23" s="107">
        <f t="shared" si="31"/>
        <v>0</v>
      </c>
      <c r="CG23" s="81"/>
      <c r="CH23" s="65">
        <f t="shared" si="32"/>
        <v>0</v>
      </c>
      <c r="CI23" s="74"/>
      <c r="CJ23" s="74"/>
      <c r="CK23" s="54">
        <v>0</v>
      </c>
      <c r="CL23" s="74"/>
      <c r="CM23" s="54">
        <v>0</v>
      </c>
      <c r="CN23" s="74"/>
      <c r="CO23" s="74"/>
      <c r="CP23" s="90"/>
      <c r="CQ23" s="68">
        <v>0</v>
      </c>
      <c r="CR23" s="69">
        <f t="shared" si="33"/>
        <v>0</v>
      </c>
      <c r="CS23" s="69">
        <f t="shared" si="34"/>
        <v>0.15400000000000003</v>
      </c>
      <c r="CT23" s="70">
        <f t="shared" si="0"/>
        <v>364.79520000000002</v>
      </c>
      <c r="CU23" s="70">
        <f t="shared" si="1"/>
        <v>243.19680000000005</v>
      </c>
      <c r="CV23" s="70">
        <f t="shared" si="35"/>
        <v>364.79520000000002</v>
      </c>
      <c r="CW23" s="55"/>
      <c r="CX23" s="118"/>
    </row>
    <row r="24" spans="1:102">
      <c r="A24" s="18"/>
      <c r="B24" s="94" t="s">
        <v>190</v>
      </c>
      <c r="C24" s="92" t="s">
        <v>191</v>
      </c>
      <c r="D24" s="102">
        <v>0</v>
      </c>
      <c r="E24" s="102">
        <v>0</v>
      </c>
      <c r="F24" s="98">
        <f>SUM((D24*2)*0.3)</f>
        <v>0</v>
      </c>
      <c r="G24" s="98">
        <f>SUM((E24*2)*0.3)</f>
        <v>0</v>
      </c>
      <c r="H24" s="110"/>
      <c r="I24" s="110"/>
      <c r="J24" s="98">
        <f>SUM(H24*0.78)*$C$2</f>
        <v>0</v>
      </c>
      <c r="K24" s="98">
        <f>SUM(I24*0.78)*$C$3</f>
        <v>0</v>
      </c>
      <c r="L24" s="103"/>
      <c r="M24" s="98">
        <f>L24</f>
        <v>0</v>
      </c>
      <c r="N24" s="98">
        <v>118.7</v>
      </c>
      <c r="O24" s="98">
        <v>0.02</v>
      </c>
      <c r="P24" s="98">
        <f>N24*$C$2</f>
        <v>128.196</v>
      </c>
      <c r="Q24" s="98">
        <f>O24*$C$3</f>
        <v>2.2000000000000002E-2</v>
      </c>
      <c r="R24" s="103">
        <v>16.670000000000002</v>
      </c>
      <c r="S24" s="98">
        <f>R24*$C$3</f>
        <v>18.337000000000003</v>
      </c>
      <c r="T24" s="108">
        <v>30.25</v>
      </c>
      <c r="U24" s="99">
        <v>3.22</v>
      </c>
      <c r="V24" s="98">
        <f>SUM(T24*($C$2))</f>
        <v>32.67</v>
      </c>
      <c r="W24" s="98">
        <f>SUM(U24*($C$3))</f>
        <v>3.5420000000000007</v>
      </c>
      <c r="X24" s="120">
        <v>0</v>
      </c>
      <c r="Y24" s="120">
        <v>0</v>
      </c>
      <c r="Z24" s="110"/>
      <c r="AA24" s="121">
        <f>SUM(X24*0.75)+(Z24*0.75)</f>
        <v>0</v>
      </c>
      <c r="AB24" s="121">
        <f>(Y24*0.75)+(Z24*0.75)</f>
        <v>0</v>
      </c>
      <c r="AC24" s="110"/>
      <c r="AD24" s="110"/>
      <c r="AE24" s="121">
        <f>AC24*0.75</f>
        <v>0</v>
      </c>
      <c r="AF24" s="121">
        <f>AD24*0.75</f>
        <v>0</v>
      </c>
      <c r="AG24" s="98">
        <v>0</v>
      </c>
      <c r="AH24" s="98">
        <v>0</v>
      </c>
      <c r="AI24" s="98">
        <f>AG24*0.75</f>
        <v>0</v>
      </c>
      <c r="AJ24" s="98">
        <f>AH24*0.75</f>
        <v>0</v>
      </c>
      <c r="AK24" s="103">
        <v>12.25</v>
      </c>
      <c r="AL24" s="98">
        <v>3.64</v>
      </c>
      <c r="AM24" s="98">
        <f>AK24*$C$2</f>
        <v>13.23</v>
      </c>
      <c r="AN24" s="98">
        <f>AL24*$C$3</f>
        <v>4.0040000000000004</v>
      </c>
      <c r="AO24" s="98"/>
      <c r="AP24" s="98"/>
      <c r="AQ24" s="131">
        <v>3.67</v>
      </c>
      <c r="AR24" s="131">
        <v>0.27</v>
      </c>
      <c r="AS24" s="99"/>
      <c r="AT24" s="98">
        <f>AS24*$C$3</f>
        <v>0</v>
      </c>
      <c r="AU24" s="99"/>
      <c r="AV24" s="149">
        <f>AU24*$C$3</f>
        <v>0</v>
      </c>
      <c r="AW24" s="98">
        <v>26.77</v>
      </c>
      <c r="AX24" s="98">
        <v>0.72</v>
      </c>
      <c r="AY24" s="101"/>
      <c r="AZ24" s="98">
        <f>AY24*$D$2</f>
        <v>0</v>
      </c>
      <c r="BA24" s="98"/>
      <c r="BB24" s="98"/>
      <c r="BC24" s="99">
        <v>5</v>
      </c>
      <c r="BD24" s="99">
        <v>3</v>
      </c>
      <c r="BE24" s="98">
        <f>SUM(BC24*0.62)*$B$2</f>
        <v>4.0609999999999999</v>
      </c>
      <c r="BF24" s="98">
        <f>SUM(BD24*0.62)*$B$3</f>
        <v>2.4552</v>
      </c>
      <c r="BG24" s="99">
        <v>91.78</v>
      </c>
      <c r="BH24" s="99">
        <v>0</v>
      </c>
      <c r="BI24" s="98">
        <f>(BG24*$C$3)</f>
        <v>100.95800000000001</v>
      </c>
      <c r="BJ24" s="98">
        <f>BH24*$C$3</f>
        <v>0</v>
      </c>
      <c r="BK24" s="100"/>
      <c r="BL24" s="100"/>
      <c r="BM24" s="98"/>
      <c r="BN24" s="98">
        <f>BM24*$C$3</f>
        <v>0</v>
      </c>
      <c r="BO24" s="105">
        <v>112.06</v>
      </c>
      <c r="BP24" s="149">
        <f>BO24*$C$3</f>
        <v>123.26600000000002</v>
      </c>
      <c r="BQ24" s="112"/>
      <c r="BR24" s="112"/>
      <c r="BS24" s="104">
        <f>(BQ24/$D$2)*$C$2</f>
        <v>0</v>
      </c>
      <c r="BT24" s="104">
        <f>(BR24/$D$3)*$C$3</f>
        <v>0</v>
      </c>
      <c r="BU24" s="105">
        <v>0</v>
      </c>
      <c r="BV24" s="105">
        <v>0</v>
      </c>
      <c r="BW24" s="142">
        <f>BU24*$E$2</f>
        <v>0</v>
      </c>
      <c r="BX24" s="142">
        <f>BV24*$E$3</f>
        <v>0</v>
      </c>
      <c r="BY24" s="110"/>
      <c r="BZ24" s="110"/>
      <c r="CA24" s="142">
        <f>BY24/2</f>
        <v>0</v>
      </c>
      <c r="CB24" s="142">
        <f>BZ24/2</f>
        <v>0</v>
      </c>
      <c r="CC24" s="106"/>
      <c r="CD24" s="106"/>
      <c r="CE24" s="98">
        <f>CC24*0.05</f>
        <v>0</v>
      </c>
      <c r="CF24" s="107">
        <f>CD24*0.05</f>
        <v>0</v>
      </c>
      <c r="CG24" s="81"/>
      <c r="CH24" s="65">
        <f>SUM(CI24:CO24)</f>
        <v>1100000</v>
      </c>
      <c r="CI24" s="133"/>
      <c r="CJ24" s="133"/>
      <c r="CK24" s="54">
        <v>1034000</v>
      </c>
      <c r="CL24" s="133"/>
      <c r="CM24" s="54">
        <v>66000</v>
      </c>
      <c r="CN24" s="133"/>
      <c r="CO24" s="133">
        <v>0</v>
      </c>
      <c r="CP24" s="69"/>
      <c r="CQ24" s="68">
        <v>0</v>
      </c>
      <c r="CR24" s="69">
        <f>SUM(AO24,AQ24,F24,P24,BS24,AM24,AA24,AE24,J24,AI24,V24,BA24,BE24,CE24,AW24,CA24,BW24)</f>
        <v>208.59699999999998</v>
      </c>
      <c r="CS24" s="69">
        <f>SUM(AP24,AR24,G24,Q24,BN24,AZ24,M24,BT24,AN24,S24,AB24,AF24,K24,AJ24,BI24,W24,BB24,BF24,CF24,BP24,BL24,CG24,AT24,AV24,AX24,CB24,BX24)</f>
        <v>253.57420000000002</v>
      </c>
      <c r="CT24" s="70">
        <f>(((CR24*$A$2)+(CS24*$A$3))*0.6)+((BJ24*$A$3)*0.75)</f>
        <v>1100798.7321599999</v>
      </c>
      <c r="CU24" s="70">
        <f>((CR24*$A$2)+(CS24*$A$3))*0.4+((BJ24*$A$3)*0.25)</f>
        <v>733865.82144000009</v>
      </c>
      <c r="CV24" s="70">
        <f>CT24-CH24</f>
        <v>798.7321599998977</v>
      </c>
      <c r="CW24" s="55"/>
      <c r="CX24" s="118"/>
    </row>
    <row r="25" spans="1:102">
      <c r="A25" s="18"/>
      <c r="B25" s="94" t="s">
        <v>193</v>
      </c>
      <c r="C25" s="92" t="s">
        <v>194</v>
      </c>
      <c r="D25" s="102">
        <v>0</v>
      </c>
      <c r="E25" s="102">
        <v>0</v>
      </c>
      <c r="F25" s="98">
        <f t="shared" ref="F25:G27" si="36">SUM((D25*2)*0.3)</f>
        <v>0</v>
      </c>
      <c r="G25" s="98">
        <f t="shared" si="36"/>
        <v>0</v>
      </c>
      <c r="H25" s="110"/>
      <c r="I25" s="110"/>
      <c r="J25" s="98">
        <f t="shared" si="3"/>
        <v>0</v>
      </c>
      <c r="K25" s="98">
        <f t="shared" si="4"/>
        <v>0</v>
      </c>
      <c r="L25" s="103"/>
      <c r="M25" s="98">
        <f t="shared" si="5"/>
        <v>0</v>
      </c>
      <c r="N25" s="98">
        <v>0</v>
      </c>
      <c r="O25" s="98">
        <v>0</v>
      </c>
      <c r="P25" s="98">
        <f t="shared" si="6"/>
        <v>0</v>
      </c>
      <c r="Q25" s="98">
        <f t="shared" si="7"/>
        <v>0</v>
      </c>
      <c r="R25" s="103"/>
      <c r="S25" s="98">
        <f t="shared" si="8"/>
        <v>0</v>
      </c>
      <c r="T25" s="108">
        <v>0</v>
      </c>
      <c r="U25" s="99">
        <v>0</v>
      </c>
      <c r="V25" s="98">
        <f t="shared" si="9"/>
        <v>0</v>
      </c>
      <c r="W25" s="98">
        <f t="shared" si="10"/>
        <v>0</v>
      </c>
      <c r="X25" s="120">
        <v>0</v>
      </c>
      <c r="Y25" s="120">
        <v>0</v>
      </c>
      <c r="Z25" s="110"/>
      <c r="AA25" s="121">
        <f t="shared" si="11"/>
        <v>0</v>
      </c>
      <c r="AB25" s="121">
        <f t="shared" si="12"/>
        <v>0</v>
      </c>
      <c r="AC25" s="110"/>
      <c r="AD25" s="110"/>
      <c r="AE25" s="121">
        <f t="shared" si="13"/>
        <v>0</v>
      </c>
      <c r="AF25" s="121">
        <f t="shared" si="13"/>
        <v>0</v>
      </c>
      <c r="AG25" s="98">
        <v>0</v>
      </c>
      <c r="AH25" s="98">
        <v>0</v>
      </c>
      <c r="AI25" s="98">
        <f t="shared" si="14"/>
        <v>0</v>
      </c>
      <c r="AJ25" s="98">
        <f t="shared" si="14"/>
        <v>0</v>
      </c>
      <c r="AK25" s="103">
        <v>160.33000000000001</v>
      </c>
      <c r="AL25" s="98">
        <v>515.79999999999995</v>
      </c>
      <c r="AM25" s="98">
        <f t="shared" si="15"/>
        <v>173.15640000000002</v>
      </c>
      <c r="AN25" s="98">
        <f t="shared" si="16"/>
        <v>567.38</v>
      </c>
      <c r="AO25" s="98"/>
      <c r="AP25" s="98"/>
      <c r="AQ25" s="131"/>
      <c r="AR25" s="131"/>
      <c r="AS25" s="99"/>
      <c r="AT25" s="98">
        <f t="shared" si="17"/>
        <v>0</v>
      </c>
      <c r="AU25" s="99"/>
      <c r="AV25" s="149">
        <f t="shared" si="18"/>
        <v>0</v>
      </c>
      <c r="AW25" s="99">
        <v>0</v>
      </c>
      <c r="AX25" s="99">
        <v>439.61</v>
      </c>
      <c r="AY25" s="101"/>
      <c r="AZ25" s="98">
        <f t="shared" si="19"/>
        <v>0</v>
      </c>
      <c r="BA25" s="98"/>
      <c r="BB25" s="98"/>
      <c r="BC25" s="99"/>
      <c r="BD25" s="99"/>
      <c r="BE25" s="98">
        <f t="shared" si="20"/>
        <v>0</v>
      </c>
      <c r="BF25" s="98">
        <f t="shared" si="21"/>
        <v>0</v>
      </c>
      <c r="BG25" s="99"/>
      <c r="BH25" s="99"/>
      <c r="BI25" s="98">
        <f t="shared" si="22"/>
        <v>0</v>
      </c>
      <c r="BJ25" s="98">
        <f t="shared" si="23"/>
        <v>0</v>
      </c>
      <c r="BK25" s="100"/>
      <c r="BL25" s="100"/>
      <c r="BM25" s="98"/>
      <c r="BN25" s="98">
        <f t="shared" si="24"/>
        <v>0</v>
      </c>
      <c r="BO25" s="105">
        <v>96.41</v>
      </c>
      <c r="BP25" s="149">
        <f t="shared" si="25"/>
        <v>106.051</v>
      </c>
      <c r="BQ25" s="112"/>
      <c r="BR25" s="112"/>
      <c r="BS25" s="104">
        <f t="shared" si="26"/>
        <v>0</v>
      </c>
      <c r="BT25" s="104">
        <f t="shared" si="27"/>
        <v>0</v>
      </c>
      <c r="BU25" s="105">
        <v>0</v>
      </c>
      <c r="BV25" s="105">
        <v>0</v>
      </c>
      <c r="BW25" s="142">
        <f t="shared" si="28"/>
        <v>0</v>
      </c>
      <c r="BX25" s="142">
        <f t="shared" si="29"/>
        <v>0</v>
      </c>
      <c r="BY25" s="110"/>
      <c r="BZ25" s="110"/>
      <c r="CA25" s="142">
        <f t="shared" si="30"/>
        <v>0</v>
      </c>
      <c r="CB25" s="142">
        <f t="shared" si="30"/>
        <v>0</v>
      </c>
      <c r="CC25" s="106"/>
      <c r="CD25" s="106"/>
      <c r="CE25" s="98">
        <f t="shared" si="31"/>
        <v>0</v>
      </c>
      <c r="CF25" s="107">
        <f t="shared" si="31"/>
        <v>0</v>
      </c>
      <c r="CG25" s="81"/>
      <c r="CH25" s="65">
        <f t="shared" si="32"/>
        <v>3052000</v>
      </c>
      <c r="CI25" s="74"/>
      <c r="CJ25" s="74"/>
      <c r="CK25" s="54">
        <v>420000</v>
      </c>
      <c r="CL25" s="74"/>
      <c r="CM25" s="54">
        <v>2632000</v>
      </c>
      <c r="CN25" s="74"/>
      <c r="CO25" s="74"/>
      <c r="CP25" s="90"/>
      <c r="CQ25" s="68">
        <v>0</v>
      </c>
      <c r="CR25" s="69">
        <f t="shared" si="33"/>
        <v>173.15640000000002</v>
      </c>
      <c r="CS25" s="69">
        <f t="shared" si="34"/>
        <v>1113.0410000000002</v>
      </c>
      <c r="CT25" s="70">
        <f t="shared" si="0"/>
        <v>3051731.3054400003</v>
      </c>
      <c r="CU25" s="70">
        <f t="shared" si="1"/>
        <v>2034487.5369600002</v>
      </c>
      <c r="CV25" s="70">
        <f t="shared" si="35"/>
        <v>-268.69455999974161</v>
      </c>
      <c r="CW25" s="55"/>
      <c r="CX25" s="118"/>
    </row>
    <row r="26" spans="1:102">
      <c r="A26" s="18"/>
      <c r="B26" s="94" t="s">
        <v>195</v>
      </c>
      <c r="C26" s="92" t="s">
        <v>196</v>
      </c>
      <c r="D26" s="102">
        <v>0</v>
      </c>
      <c r="E26" s="102">
        <v>0</v>
      </c>
      <c r="F26" s="98">
        <f t="shared" ref="F26" si="37">SUM((D26*2)*0.3)</f>
        <v>0</v>
      </c>
      <c r="G26" s="98">
        <f t="shared" ref="G26" si="38">SUM((E26*2)*0.3)</f>
        <v>0</v>
      </c>
      <c r="H26" s="110"/>
      <c r="I26" s="110"/>
      <c r="J26" s="98">
        <f t="shared" ref="J26" si="39">SUM(H26*0.78)*$C$2</f>
        <v>0</v>
      </c>
      <c r="K26" s="98">
        <f t="shared" ref="K26" si="40">SUM(I26*0.78)*$C$3</f>
        <v>0</v>
      </c>
      <c r="L26" s="103">
        <v>0</v>
      </c>
      <c r="M26" s="98">
        <f t="shared" ref="M26" si="41">L26</f>
        <v>0</v>
      </c>
      <c r="N26" s="98"/>
      <c r="O26" s="98"/>
      <c r="P26" s="98">
        <f t="shared" ref="P26" si="42">N26*$C$2</f>
        <v>0</v>
      </c>
      <c r="Q26" s="98">
        <f t="shared" ref="Q26" si="43">O26*$C$3</f>
        <v>0</v>
      </c>
      <c r="R26" s="103">
        <v>0</v>
      </c>
      <c r="S26" s="98">
        <f t="shared" ref="S26" si="44">R26*$C$3</f>
        <v>0</v>
      </c>
      <c r="T26" s="108">
        <v>0</v>
      </c>
      <c r="U26" s="99">
        <v>0</v>
      </c>
      <c r="V26" s="98">
        <f t="shared" ref="V26" si="45">SUM(T26*($C$2))</f>
        <v>0</v>
      </c>
      <c r="W26" s="98">
        <f t="shared" ref="W26" si="46">SUM(U26*($C$3))</f>
        <v>0</v>
      </c>
      <c r="X26" s="120">
        <v>0</v>
      </c>
      <c r="Y26" s="120">
        <v>0</v>
      </c>
      <c r="Z26" s="110"/>
      <c r="AA26" s="121">
        <f t="shared" ref="AA26" si="47">SUM(X26*0.75)+(Z26*0.75)</f>
        <v>0</v>
      </c>
      <c r="AB26" s="121">
        <f t="shared" ref="AB26" si="48">(Y26*0.75)+(Z26*0.75)</f>
        <v>0</v>
      </c>
      <c r="AC26" s="110"/>
      <c r="AD26" s="110"/>
      <c r="AE26" s="121">
        <f t="shared" ref="AE26" si="49">AC26*0.75</f>
        <v>0</v>
      </c>
      <c r="AF26" s="121">
        <f t="shared" ref="AF26" si="50">AD26*0.75</f>
        <v>0</v>
      </c>
      <c r="AG26" s="98">
        <v>0</v>
      </c>
      <c r="AH26" s="98">
        <v>0</v>
      </c>
      <c r="AI26" s="98">
        <f t="shared" ref="AI26" si="51">AG26*0.75</f>
        <v>0</v>
      </c>
      <c r="AJ26" s="98">
        <f t="shared" ref="AJ26" si="52">AH26*0.75</f>
        <v>0</v>
      </c>
      <c r="AK26" s="103"/>
      <c r="AL26" s="98"/>
      <c r="AM26" s="98">
        <f t="shared" ref="AM26" si="53">AK26*$C$2</f>
        <v>0</v>
      </c>
      <c r="AN26" s="98">
        <f t="shared" ref="AN26" si="54">AL26*$C$3</f>
        <v>0</v>
      </c>
      <c r="AO26" s="98"/>
      <c r="AP26" s="98"/>
      <c r="AQ26" s="131"/>
      <c r="AR26" s="131"/>
      <c r="AS26" s="99"/>
      <c r="AT26" s="98">
        <f t="shared" ref="AT26" si="55">AS26*$C$3</f>
        <v>0</v>
      </c>
      <c r="AU26" s="99"/>
      <c r="AV26" s="149">
        <f t="shared" ref="AV26" si="56">AU26*$C$3</f>
        <v>0</v>
      </c>
      <c r="AW26" s="99">
        <v>0</v>
      </c>
      <c r="AX26" s="99">
        <v>0</v>
      </c>
      <c r="AY26" s="101"/>
      <c r="AZ26" s="98">
        <f t="shared" ref="AZ26" si="57">AY26*$D$2</f>
        <v>0</v>
      </c>
      <c r="BA26" s="98"/>
      <c r="BB26" s="98"/>
      <c r="BC26" s="99"/>
      <c r="BD26" s="99"/>
      <c r="BE26" s="98">
        <f t="shared" ref="BE26" si="58">SUM(BC26*0.62)*$B$2</f>
        <v>0</v>
      </c>
      <c r="BF26" s="98">
        <f t="shared" ref="BF26" si="59">SUM(BD26*0.62)*$B$3</f>
        <v>0</v>
      </c>
      <c r="BG26" s="99"/>
      <c r="BH26" s="99"/>
      <c r="BI26" s="98">
        <f t="shared" ref="BI26" si="60">(BG26*$C$3)</f>
        <v>0</v>
      </c>
      <c r="BJ26" s="98">
        <f t="shared" ref="BJ26" si="61">BH26*$C$3</f>
        <v>0</v>
      </c>
      <c r="BK26" s="100"/>
      <c r="BL26" s="100"/>
      <c r="BM26" s="98"/>
      <c r="BN26" s="98">
        <f t="shared" ref="BN26" si="62">BM26*$C$3</f>
        <v>0</v>
      </c>
      <c r="BO26" s="105">
        <v>0</v>
      </c>
      <c r="BP26" s="149">
        <f t="shared" ref="BP26" si="63">BO26*$C$3</f>
        <v>0</v>
      </c>
      <c r="BQ26" s="112"/>
      <c r="BR26" s="112"/>
      <c r="BS26" s="104">
        <f t="shared" ref="BS26" si="64">(BQ26/$D$2)*$C$2</f>
        <v>0</v>
      </c>
      <c r="BT26" s="104">
        <f t="shared" ref="BT26" si="65">(BR26/$D$3)*$C$3</f>
        <v>0</v>
      </c>
      <c r="BU26" s="105">
        <v>0</v>
      </c>
      <c r="BV26" s="105">
        <v>0</v>
      </c>
      <c r="BW26" s="142">
        <f t="shared" ref="BW26" si="66">BU26*$E$2</f>
        <v>0</v>
      </c>
      <c r="BX26" s="142">
        <f t="shared" ref="BX26" si="67">BV26*$E$3</f>
        <v>0</v>
      </c>
      <c r="BY26" s="110"/>
      <c r="BZ26" s="110"/>
      <c r="CA26" s="142">
        <f t="shared" ref="CA26" si="68">BY26/2</f>
        <v>0</v>
      </c>
      <c r="CB26" s="142">
        <f t="shared" ref="CB26" si="69">BZ26/2</f>
        <v>0</v>
      </c>
      <c r="CC26" s="106"/>
      <c r="CD26" s="106"/>
      <c r="CE26" s="98">
        <f t="shared" ref="CE26" si="70">CC26*0.05</f>
        <v>0</v>
      </c>
      <c r="CF26" s="107">
        <f t="shared" ref="CF26" si="71">CD26*0.05</f>
        <v>0</v>
      </c>
      <c r="CG26" s="81"/>
      <c r="CH26" s="65">
        <f t="shared" ref="CH26" si="72">SUM(CI26:CO26)</f>
        <v>0</v>
      </c>
      <c r="CI26" s="74"/>
      <c r="CJ26" s="74"/>
      <c r="CK26" s="54"/>
      <c r="CL26" s="74"/>
      <c r="CM26" s="54"/>
      <c r="CN26" s="74"/>
      <c r="CO26" s="74"/>
      <c r="CP26" s="90"/>
      <c r="CQ26" s="68">
        <v>0</v>
      </c>
      <c r="CR26" s="69">
        <f t="shared" ref="CR26" si="73">SUM(AO26,AQ26,F26,P26,BS26,AM26,AA26,AE26,J26,AI26,V26,BA26,BE26,CE26,AW26,CA26,BW26)</f>
        <v>0</v>
      </c>
      <c r="CS26" s="69">
        <f t="shared" ref="CS26" si="74">SUM(AP26,AR26,G26,Q26,BN26,AZ26,M26,BT26,AN26,S26,AB26,AF26,K26,AJ26,BI26,W26,BB26,BF26,CF26,BP26,BL26,CG26,AT26,AV26,AX26,CB26,BX26)</f>
        <v>0</v>
      </c>
      <c r="CT26" s="70">
        <f t="shared" ref="CT26" si="75">(((CR26*$A$2)+(CS26*$A$3))*0.6)+((BJ26*$A$3)*0.75)</f>
        <v>0</v>
      </c>
      <c r="CU26" s="70">
        <f t="shared" ref="CU26" si="76">((CR26*$A$2)+(CS26*$A$3))*0.4+((BJ26*$A$3)*0.25)</f>
        <v>0</v>
      </c>
      <c r="CV26" s="70">
        <f t="shared" ref="CV26" si="77">CT26-CH26</f>
        <v>0</v>
      </c>
      <c r="CW26" s="55"/>
      <c r="CX26" s="118"/>
    </row>
    <row r="27" spans="1:102">
      <c r="A27" s="18"/>
      <c r="B27" s="94"/>
      <c r="C27" s="92"/>
      <c r="D27" s="102">
        <v>0</v>
      </c>
      <c r="E27" s="102">
        <v>0</v>
      </c>
      <c r="F27" s="98">
        <f t="shared" si="36"/>
        <v>0</v>
      </c>
      <c r="G27" s="98">
        <f t="shared" si="36"/>
        <v>0</v>
      </c>
      <c r="H27" s="110"/>
      <c r="I27" s="110"/>
      <c r="J27" s="98">
        <f t="shared" si="3"/>
        <v>0</v>
      </c>
      <c r="K27" s="98">
        <f t="shared" si="4"/>
        <v>0</v>
      </c>
      <c r="L27" s="103">
        <v>0</v>
      </c>
      <c r="M27" s="98">
        <f t="shared" si="5"/>
        <v>0</v>
      </c>
      <c r="N27" s="98"/>
      <c r="O27" s="98"/>
      <c r="P27" s="98">
        <f t="shared" si="6"/>
        <v>0</v>
      </c>
      <c r="Q27" s="98">
        <f t="shared" si="7"/>
        <v>0</v>
      </c>
      <c r="R27" s="103">
        <v>0</v>
      </c>
      <c r="S27" s="98">
        <f t="shared" si="8"/>
        <v>0</v>
      </c>
      <c r="T27" s="108">
        <v>0</v>
      </c>
      <c r="U27" s="99">
        <v>0</v>
      </c>
      <c r="V27" s="98">
        <f t="shared" si="9"/>
        <v>0</v>
      </c>
      <c r="W27" s="98">
        <f t="shared" si="10"/>
        <v>0</v>
      </c>
      <c r="X27" s="120">
        <v>0</v>
      </c>
      <c r="Y27" s="120">
        <v>0</v>
      </c>
      <c r="Z27" s="110"/>
      <c r="AA27" s="121">
        <f t="shared" si="11"/>
        <v>0</v>
      </c>
      <c r="AB27" s="121">
        <f t="shared" si="12"/>
        <v>0</v>
      </c>
      <c r="AC27" s="110"/>
      <c r="AD27" s="110"/>
      <c r="AE27" s="121">
        <f t="shared" si="13"/>
        <v>0</v>
      </c>
      <c r="AF27" s="121">
        <f t="shared" si="13"/>
        <v>0</v>
      </c>
      <c r="AG27" s="98">
        <v>0</v>
      </c>
      <c r="AH27" s="98">
        <v>0</v>
      </c>
      <c r="AI27" s="98">
        <f t="shared" si="14"/>
        <v>0</v>
      </c>
      <c r="AJ27" s="98">
        <f t="shared" si="14"/>
        <v>0</v>
      </c>
      <c r="AK27" s="103"/>
      <c r="AL27" s="98"/>
      <c r="AM27" s="98">
        <f t="shared" si="15"/>
        <v>0</v>
      </c>
      <c r="AN27" s="98">
        <f t="shared" si="16"/>
        <v>0</v>
      </c>
      <c r="AO27" s="98"/>
      <c r="AP27" s="98"/>
      <c r="AQ27" s="131"/>
      <c r="AR27" s="131"/>
      <c r="AS27" s="99"/>
      <c r="AT27" s="98">
        <f t="shared" si="17"/>
        <v>0</v>
      </c>
      <c r="AU27" s="99"/>
      <c r="AV27" s="149">
        <f t="shared" si="18"/>
        <v>0</v>
      </c>
      <c r="AW27" s="99">
        <v>0</v>
      </c>
      <c r="AX27" s="99">
        <v>0</v>
      </c>
      <c r="AY27" s="101"/>
      <c r="AZ27" s="98">
        <f t="shared" si="19"/>
        <v>0</v>
      </c>
      <c r="BA27" s="98"/>
      <c r="BB27" s="98"/>
      <c r="BC27" s="99"/>
      <c r="BD27" s="99"/>
      <c r="BE27" s="98">
        <f t="shared" si="20"/>
        <v>0</v>
      </c>
      <c r="BF27" s="98">
        <f t="shared" si="21"/>
        <v>0</v>
      </c>
      <c r="BG27" s="99"/>
      <c r="BH27" s="99"/>
      <c r="BI27" s="98">
        <f t="shared" si="22"/>
        <v>0</v>
      </c>
      <c r="BJ27" s="98">
        <f t="shared" si="23"/>
        <v>0</v>
      </c>
      <c r="BK27" s="100"/>
      <c r="BL27" s="100"/>
      <c r="BM27" s="98"/>
      <c r="BN27" s="98">
        <f t="shared" si="24"/>
        <v>0</v>
      </c>
      <c r="BO27" s="105">
        <v>0</v>
      </c>
      <c r="BP27" s="149">
        <f t="shared" si="25"/>
        <v>0</v>
      </c>
      <c r="BQ27" s="112"/>
      <c r="BR27" s="112"/>
      <c r="BS27" s="104">
        <f t="shared" si="26"/>
        <v>0</v>
      </c>
      <c r="BT27" s="104">
        <f t="shared" si="27"/>
        <v>0</v>
      </c>
      <c r="BU27" s="105">
        <v>0</v>
      </c>
      <c r="BV27" s="105">
        <v>0</v>
      </c>
      <c r="BW27" s="142">
        <f t="shared" si="28"/>
        <v>0</v>
      </c>
      <c r="BX27" s="142">
        <f t="shared" si="29"/>
        <v>0</v>
      </c>
      <c r="BY27" s="110"/>
      <c r="BZ27" s="110"/>
      <c r="CA27" s="142">
        <f t="shared" si="30"/>
        <v>0</v>
      </c>
      <c r="CB27" s="142">
        <f t="shared" si="30"/>
        <v>0</v>
      </c>
      <c r="CC27" s="106"/>
      <c r="CD27" s="106"/>
      <c r="CE27" s="98">
        <f t="shared" si="31"/>
        <v>0</v>
      </c>
      <c r="CF27" s="107">
        <f t="shared" si="31"/>
        <v>0</v>
      </c>
      <c r="CG27" s="81"/>
      <c r="CH27" s="65">
        <f t="shared" si="32"/>
        <v>0</v>
      </c>
      <c r="CI27" s="74"/>
      <c r="CJ27" s="74"/>
      <c r="CK27" s="54"/>
      <c r="CL27" s="74"/>
      <c r="CM27" s="54"/>
      <c r="CN27" s="74"/>
      <c r="CO27" s="74"/>
      <c r="CP27" s="90"/>
      <c r="CQ27" s="68">
        <v>0</v>
      </c>
      <c r="CR27" s="69">
        <f t="shared" si="33"/>
        <v>0</v>
      </c>
      <c r="CS27" s="69">
        <f t="shared" si="34"/>
        <v>0</v>
      </c>
      <c r="CT27" s="70">
        <f t="shared" si="0"/>
        <v>0</v>
      </c>
      <c r="CU27" s="70">
        <f t="shared" si="1"/>
        <v>0</v>
      </c>
      <c r="CV27" s="70">
        <f t="shared" si="35"/>
        <v>0</v>
      </c>
      <c r="CW27" s="55"/>
      <c r="CX27" s="118"/>
    </row>
    <row r="28" spans="1:102" s="5" customFormat="1" ht="44.25" customHeight="1">
      <c r="A28" s="19"/>
      <c r="B28" s="38"/>
      <c r="C28" s="20" t="s">
        <v>172</v>
      </c>
      <c r="D28" s="77">
        <f t="shared" ref="D28:BO28" si="78">SUM(D7:D27)</f>
        <v>59.4</v>
      </c>
      <c r="E28" s="77">
        <f t="shared" si="78"/>
        <v>25.119999999999997</v>
      </c>
      <c r="F28" s="77">
        <f t="shared" si="78"/>
        <v>35.64</v>
      </c>
      <c r="G28" s="77">
        <f t="shared" si="78"/>
        <v>15.071999999999999</v>
      </c>
      <c r="H28" s="77">
        <f t="shared" si="78"/>
        <v>53</v>
      </c>
      <c r="I28" s="77">
        <f t="shared" si="78"/>
        <v>112</v>
      </c>
      <c r="J28" s="77">
        <f t="shared" si="78"/>
        <v>44.647200000000012</v>
      </c>
      <c r="K28" s="77">
        <f t="shared" si="78"/>
        <v>96.096000000000004</v>
      </c>
      <c r="L28" s="77">
        <f t="shared" si="78"/>
        <v>537.38</v>
      </c>
      <c r="M28" s="77">
        <f t="shared" si="78"/>
        <v>537.38</v>
      </c>
      <c r="N28" s="77">
        <f t="shared" si="78"/>
        <v>210.49</v>
      </c>
      <c r="O28" s="77">
        <f t="shared" si="78"/>
        <v>72.64</v>
      </c>
      <c r="P28" s="77">
        <f t="shared" si="78"/>
        <v>227.32920000000001</v>
      </c>
      <c r="Q28" s="77">
        <f t="shared" si="78"/>
        <v>79.904000000000011</v>
      </c>
      <c r="R28" s="77">
        <f t="shared" si="78"/>
        <v>897.29999999999984</v>
      </c>
      <c r="S28" s="77">
        <f t="shared" si="78"/>
        <v>987.03</v>
      </c>
      <c r="T28" s="77">
        <f t="shared" si="78"/>
        <v>424.24</v>
      </c>
      <c r="U28" s="77">
        <f t="shared" si="78"/>
        <v>499.56000000000006</v>
      </c>
      <c r="V28" s="77">
        <f t="shared" si="78"/>
        <v>458.17920000000009</v>
      </c>
      <c r="W28" s="77">
        <f t="shared" si="78"/>
        <v>549.51599999999996</v>
      </c>
      <c r="X28" s="77">
        <f t="shared" si="78"/>
        <v>303.5</v>
      </c>
      <c r="Y28" s="77">
        <f t="shared" si="78"/>
        <v>208.2</v>
      </c>
      <c r="Z28" s="77">
        <f t="shared" si="78"/>
        <v>0</v>
      </c>
      <c r="AA28" s="77">
        <f t="shared" si="78"/>
        <v>227.625</v>
      </c>
      <c r="AB28" s="77">
        <f t="shared" si="78"/>
        <v>156.15</v>
      </c>
      <c r="AC28" s="77">
        <f t="shared" si="78"/>
        <v>0</v>
      </c>
      <c r="AD28" s="77">
        <f t="shared" si="78"/>
        <v>0</v>
      </c>
      <c r="AE28" s="77">
        <f t="shared" si="78"/>
        <v>0</v>
      </c>
      <c r="AF28" s="77">
        <f t="shared" si="78"/>
        <v>0</v>
      </c>
      <c r="AG28" s="77">
        <f t="shared" si="78"/>
        <v>0</v>
      </c>
      <c r="AH28" s="77">
        <f t="shared" si="78"/>
        <v>0</v>
      </c>
      <c r="AI28" s="77">
        <f t="shared" si="78"/>
        <v>0</v>
      </c>
      <c r="AJ28" s="77">
        <f t="shared" si="78"/>
        <v>0</v>
      </c>
      <c r="AK28" s="77">
        <f t="shared" si="78"/>
        <v>953.47000000000014</v>
      </c>
      <c r="AL28" s="77">
        <f t="shared" si="78"/>
        <v>1562.8700000000001</v>
      </c>
      <c r="AM28" s="77">
        <f t="shared" si="78"/>
        <v>1029.7476000000001</v>
      </c>
      <c r="AN28" s="77">
        <f t="shared" si="78"/>
        <v>1719.1570000000002</v>
      </c>
      <c r="AO28" s="77">
        <f t="shared" si="78"/>
        <v>42.47</v>
      </c>
      <c r="AP28" s="77">
        <f t="shared" si="78"/>
        <v>10.4</v>
      </c>
      <c r="AQ28" s="77">
        <f t="shared" si="78"/>
        <v>288.70999999999998</v>
      </c>
      <c r="AR28" s="77">
        <f t="shared" si="78"/>
        <v>347.75</v>
      </c>
      <c r="AS28" s="77">
        <f t="shared" si="78"/>
        <v>0</v>
      </c>
      <c r="AT28" s="77">
        <f t="shared" si="78"/>
        <v>0</v>
      </c>
      <c r="AU28" s="77">
        <f t="shared" si="78"/>
        <v>89.45</v>
      </c>
      <c r="AV28" s="77">
        <f t="shared" si="78"/>
        <v>98.39500000000001</v>
      </c>
      <c r="AW28" s="77">
        <f t="shared" si="78"/>
        <v>732.38</v>
      </c>
      <c r="AX28" s="77">
        <f t="shared" si="78"/>
        <v>1129.06</v>
      </c>
      <c r="AY28" s="77">
        <f t="shared" si="78"/>
        <v>0</v>
      </c>
      <c r="AZ28" s="77">
        <f t="shared" si="78"/>
        <v>0</v>
      </c>
      <c r="BA28" s="77">
        <f t="shared" si="78"/>
        <v>189.38</v>
      </c>
      <c r="BB28" s="77">
        <f t="shared" si="78"/>
        <v>150.35</v>
      </c>
      <c r="BC28" s="77">
        <f t="shared" si="78"/>
        <v>61.209999999999994</v>
      </c>
      <c r="BD28" s="77">
        <f t="shared" si="78"/>
        <v>74.989999999999995</v>
      </c>
      <c r="BE28" s="77">
        <f t="shared" si="78"/>
        <v>49.714761999999993</v>
      </c>
      <c r="BF28" s="77">
        <f t="shared" si="78"/>
        <v>61.371815999999995</v>
      </c>
      <c r="BG28" s="77">
        <f t="shared" si="78"/>
        <v>1160.2899999999997</v>
      </c>
      <c r="BH28" s="77">
        <f t="shared" si="78"/>
        <v>130.99</v>
      </c>
      <c r="BI28" s="77">
        <f t="shared" si="78"/>
        <v>1276.3190000000002</v>
      </c>
      <c r="BJ28" s="77">
        <f t="shared" si="78"/>
        <v>144.08900000000003</v>
      </c>
      <c r="BK28" s="77">
        <f t="shared" si="78"/>
        <v>0</v>
      </c>
      <c r="BL28" s="77">
        <f t="shared" si="78"/>
        <v>0</v>
      </c>
      <c r="BM28" s="77">
        <f t="shared" si="78"/>
        <v>0</v>
      </c>
      <c r="BN28" s="77">
        <f t="shared" si="78"/>
        <v>0</v>
      </c>
      <c r="BO28" s="77">
        <f t="shared" si="78"/>
        <v>1059.73</v>
      </c>
      <c r="BP28" s="77">
        <f t="shared" ref="BP28:CP28" si="79">SUM(BP7:BP27)</f>
        <v>1165.703</v>
      </c>
      <c r="BQ28" s="114">
        <f t="shared" si="79"/>
        <v>0</v>
      </c>
      <c r="BR28" s="77">
        <f t="shared" si="79"/>
        <v>0</v>
      </c>
      <c r="BS28" s="77">
        <f t="shared" si="79"/>
        <v>0</v>
      </c>
      <c r="BT28" s="77">
        <f t="shared" si="79"/>
        <v>0</v>
      </c>
      <c r="BU28" s="77">
        <f t="shared" si="79"/>
        <v>32.78</v>
      </c>
      <c r="BV28" s="77">
        <f t="shared" si="79"/>
        <v>0.78</v>
      </c>
      <c r="BW28" s="77">
        <f t="shared" si="79"/>
        <v>43.051065574000006</v>
      </c>
      <c r="BX28" s="77">
        <f t="shared" si="79"/>
        <v>1.0296000000000001</v>
      </c>
      <c r="BY28" s="77">
        <f t="shared" si="79"/>
        <v>280.93</v>
      </c>
      <c r="BZ28" s="77">
        <f t="shared" si="79"/>
        <v>252.60999999999999</v>
      </c>
      <c r="CA28" s="77">
        <f t="shared" si="79"/>
        <v>140.465</v>
      </c>
      <c r="CB28" s="77">
        <f t="shared" si="79"/>
        <v>126.30499999999999</v>
      </c>
      <c r="CC28" s="77">
        <f t="shared" si="79"/>
        <v>177</v>
      </c>
      <c r="CD28" s="77">
        <f t="shared" si="79"/>
        <v>234</v>
      </c>
      <c r="CE28" s="77">
        <f t="shared" si="79"/>
        <v>8.85</v>
      </c>
      <c r="CF28" s="77">
        <f t="shared" si="79"/>
        <v>11.700000000000001</v>
      </c>
      <c r="CG28" s="77">
        <f t="shared" si="79"/>
        <v>0</v>
      </c>
      <c r="CH28" s="77">
        <f t="shared" si="79"/>
        <v>29550000</v>
      </c>
      <c r="CI28" s="77">
        <f t="shared" si="79"/>
        <v>0</v>
      </c>
      <c r="CJ28" s="77">
        <f t="shared" si="79"/>
        <v>920000</v>
      </c>
      <c r="CK28" s="77">
        <f t="shared" si="79"/>
        <v>12288000</v>
      </c>
      <c r="CL28" s="77">
        <f t="shared" si="79"/>
        <v>1310000</v>
      </c>
      <c r="CM28" s="77">
        <f t="shared" si="79"/>
        <v>15032000</v>
      </c>
      <c r="CN28" s="77">
        <f t="shared" si="79"/>
        <v>0</v>
      </c>
      <c r="CO28" s="77">
        <f t="shared" si="79"/>
        <v>0</v>
      </c>
      <c r="CP28" s="77">
        <f t="shared" si="79"/>
        <v>0</v>
      </c>
      <c r="CR28" s="5">
        <f>SUM(CR7:CR27)</f>
        <v>3518.1890275740006</v>
      </c>
      <c r="CS28" s="5">
        <f>SUM(CS7:CS27)</f>
        <v>8518.6884160000009</v>
      </c>
      <c r="CT28" s="6">
        <f>SUM(CT7:CT27)</f>
        <v>29549212.777652223</v>
      </c>
      <c r="CU28" s="6">
        <f>SUM(CU7:CU27)</f>
        <v>18710115.814901486</v>
      </c>
      <c r="CV28" s="5">
        <f>SUM(CV7:CV27)</f>
        <v>-787.22234777587482</v>
      </c>
      <c r="CW28" s="56" t="s">
        <v>173</v>
      </c>
      <c r="CX28" s="57">
        <f>SUM(CX6:CX27)</f>
        <v>10920559</v>
      </c>
    </row>
    <row r="29" spans="1:102" ht="26.25">
      <c r="B29" s="39"/>
      <c r="CW29" s="58" t="s">
        <v>174</v>
      </c>
      <c r="CX29" s="47">
        <f>CU28</f>
        <v>18710115.814901486</v>
      </c>
    </row>
    <row r="30" spans="1:102" ht="28.5">
      <c r="CW30" s="59" t="s">
        <v>175</v>
      </c>
      <c r="CX30" s="76">
        <f>CX29-CX28</f>
        <v>7789556.814901486</v>
      </c>
    </row>
    <row r="31" spans="1:102">
      <c r="B31" s="1"/>
      <c r="H31" s="10"/>
      <c r="I31" s="10"/>
      <c r="J31" s="10"/>
      <c r="K31" s="10"/>
      <c r="L31" s="88"/>
      <c r="M31" s="10"/>
      <c r="N31" s="10"/>
      <c r="O31" s="10"/>
      <c r="BT31" s="7"/>
      <c r="BX31" s="7"/>
      <c r="CB31" s="7"/>
      <c r="CC31" s="8"/>
      <c r="CD31" s="5"/>
      <c r="CE31" s="5"/>
    </row>
    <row r="32" spans="1:102">
      <c r="A32" s="12"/>
      <c r="B32" s="1"/>
      <c r="C32" s="40"/>
      <c r="D32" s="40"/>
      <c r="E32" s="40"/>
      <c r="F32" s="40"/>
      <c r="G32" s="40"/>
      <c r="H32" s="40"/>
    </row>
    <row r="33" spans="1:90" ht="52.5" customHeight="1">
      <c r="A33" s="12"/>
      <c r="B33" s="1"/>
      <c r="C33" s="40"/>
      <c r="D33" s="13"/>
      <c r="E33" s="40"/>
      <c r="F33" s="41"/>
      <c r="G33" s="42"/>
      <c r="H33" s="40"/>
      <c r="V33" s="10"/>
      <c r="W33" s="10"/>
      <c r="X33" s="10"/>
      <c r="Y33" s="10"/>
      <c r="Z33" s="10"/>
      <c r="AA33" s="10"/>
      <c r="AB33" s="10"/>
      <c r="AC33" s="10"/>
      <c r="AD33" s="10"/>
    </row>
    <row r="34" spans="1:90">
      <c r="A34" s="12"/>
      <c r="B34" s="1"/>
      <c r="C34" s="40"/>
      <c r="D34" s="13"/>
      <c r="E34" s="40"/>
      <c r="F34" s="42"/>
      <c r="G34" s="42"/>
      <c r="H34" s="40"/>
      <c r="Q34" s="40"/>
      <c r="R34" s="40"/>
      <c r="S34" s="40"/>
      <c r="T34" s="40"/>
      <c r="U34" s="40"/>
      <c r="V34" s="40"/>
      <c r="CL34" s="1">
        <v>2</v>
      </c>
    </row>
    <row r="35" spans="1:90">
      <c r="A35" s="12"/>
      <c r="B35" s="1"/>
      <c r="C35" s="40"/>
      <c r="D35" s="13"/>
      <c r="E35" s="40"/>
      <c r="F35" s="42"/>
      <c r="G35" s="42"/>
      <c r="H35" s="40"/>
      <c r="Q35" s="40"/>
      <c r="R35" s="13"/>
      <c r="S35" s="40"/>
      <c r="T35" s="41"/>
      <c r="U35" s="42"/>
      <c r="V35" s="40"/>
    </row>
    <row r="36" spans="1:90">
      <c r="A36" s="12"/>
      <c r="B36" s="1"/>
      <c r="C36" s="40"/>
      <c r="D36" s="40"/>
      <c r="E36" s="40"/>
      <c r="F36" s="40"/>
      <c r="G36" s="40"/>
      <c r="H36" s="40"/>
      <c r="Q36" s="40"/>
      <c r="R36" s="13"/>
      <c r="S36" s="40"/>
      <c r="T36" s="42"/>
      <c r="U36" s="42"/>
      <c r="V36" s="40"/>
    </row>
    <row r="37" spans="1:90" ht="20.25" customHeight="1">
      <c r="A37" s="12"/>
      <c r="B37" s="1"/>
      <c r="C37" s="40"/>
      <c r="D37" s="14"/>
      <c r="E37" s="40"/>
      <c r="F37" s="42"/>
      <c r="G37" s="42"/>
      <c r="H37" s="40"/>
      <c r="Q37" s="40"/>
      <c r="R37" s="13"/>
      <c r="S37" s="40"/>
      <c r="T37" s="42"/>
      <c r="U37" s="42"/>
      <c r="V37" s="40"/>
    </row>
    <row r="38" spans="1:90" ht="18" customHeight="1">
      <c r="A38" s="12"/>
      <c r="B38" s="1"/>
      <c r="C38" s="40"/>
      <c r="D38" s="40"/>
      <c r="E38" s="40"/>
      <c r="F38" s="40"/>
      <c r="G38" s="40"/>
      <c r="H38" s="40"/>
      <c r="Q38" s="40"/>
      <c r="R38" s="40"/>
      <c r="S38" s="40"/>
      <c r="T38" s="40"/>
      <c r="U38" s="40"/>
      <c r="V38" s="40"/>
    </row>
    <row r="39" spans="1:90">
      <c r="A39" s="12"/>
      <c r="B39" s="1"/>
      <c r="C39" s="40"/>
      <c r="D39" s="40"/>
      <c r="E39" s="40"/>
      <c r="F39" s="40"/>
      <c r="G39" s="40"/>
      <c r="H39" s="40"/>
      <c r="Q39" s="40"/>
      <c r="R39" s="14"/>
      <c r="S39" s="40"/>
      <c r="T39" s="42"/>
      <c r="U39" s="42"/>
      <c r="V39" s="40"/>
    </row>
    <row r="40" spans="1:90">
      <c r="A40" s="12"/>
      <c r="B40" s="1"/>
      <c r="Q40" s="40"/>
      <c r="R40" s="40"/>
      <c r="S40" s="40"/>
      <c r="T40" s="40"/>
      <c r="U40" s="40"/>
      <c r="V40" s="40"/>
    </row>
    <row r="41" spans="1:90">
      <c r="A41" s="12"/>
      <c r="B41" s="1"/>
      <c r="Q41" s="40"/>
      <c r="R41" s="40"/>
      <c r="S41" s="40"/>
      <c r="T41" s="40"/>
      <c r="U41" s="40"/>
      <c r="V41" s="40"/>
    </row>
    <row r="42" spans="1:90">
      <c r="A42" s="12"/>
      <c r="B42" s="1"/>
    </row>
    <row r="43" spans="1:90">
      <c r="A43" s="12"/>
      <c r="B43" s="1"/>
    </row>
    <row r="44" spans="1:90" ht="21" customHeight="1">
      <c r="A44" s="12"/>
      <c r="B44" s="1"/>
    </row>
    <row r="45" spans="1:90">
      <c r="A45" s="12"/>
      <c r="B45" s="1"/>
    </row>
    <row r="46" spans="1:90" ht="20.25" customHeight="1">
      <c r="A46" s="12"/>
      <c r="B46" s="1"/>
    </row>
    <row r="47" spans="1:90">
      <c r="B47" s="1"/>
      <c r="H47" s="10"/>
      <c r="I47" s="10"/>
      <c r="J47" s="10"/>
      <c r="K47" s="10"/>
      <c r="L47" s="10"/>
      <c r="M47" s="10"/>
      <c r="N47" s="10"/>
      <c r="O47" s="10"/>
    </row>
    <row r="48" spans="1:90">
      <c r="B48" s="1"/>
      <c r="C48" s="40"/>
      <c r="D48" s="40"/>
      <c r="E48" s="40"/>
      <c r="F48" s="40"/>
      <c r="G48" s="40"/>
      <c r="H48" s="40"/>
    </row>
    <row r="49" spans="1:11">
      <c r="B49" s="1"/>
      <c r="C49" s="40"/>
      <c r="D49" s="13"/>
      <c r="E49" s="40"/>
      <c r="F49" s="41"/>
      <c r="G49" s="42"/>
      <c r="H49" s="40"/>
    </row>
    <row r="50" spans="1:11">
      <c r="B50" s="1"/>
      <c r="C50" s="40"/>
      <c r="D50" s="13"/>
      <c r="E50" s="40"/>
      <c r="F50" s="42"/>
      <c r="G50" s="42"/>
      <c r="H50" s="40"/>
    </row>
    <row r="51" spans="1:11">
      <c r="B51" s="1"/>
      <c r="C51" s="40"/>
      <c r="D51" s="13"/>
      <c r="E51" s="40"/>
      <c r="F51" s="42"/>
      <c r="G51" s="42"/>
      <c r="H51" s="40"/>
    </row>
    <row r="52" spans="1:11" ht="21.75" customHeight="1">
      <c r="B52" s="1"/>
      <c r="C52" s="40"/>
      <c r="D52" s="40"/>
      <c r="E52" s="40"/>
      <c r="F52" s="40"/>
      <c r="G52" s="40"/>
      <c r="H52" s="40"/>
    </row>
    <row r="53" spans="1:11" ht="21.75" customHeight="1">
      <c r="B53" s="1"/>
      <c r="C53" s="40"/>
      <c r="D53" s="14"/>
      <c r="E53" s="40"/>
      <c r="F53" s="42"/>
      <c r="G53" s="42"/>
      <c r="H53" s="40"/>
    </row>
    <row r="54" spans="1:11" ht="21.75" customHeight="1">
      <c r="B54" s="1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B58" s="1"/>
    </row>
    <row r="59" spans="1:11" ht="21.75" customHeight="1">
      <c r="B59" s="1"/>
    </row>
    <row r="60" spans="1:11" ht="21.75" customHeight="1">
      <c r="B60" s="1"/>
    </row>
    <row r="61" spans="1:11" ht="21.75" customHeight="1">
      <c r="A61" s="12"/>
      <c r="B61" s="1"/>
    </row>
    <row r="62" spans="1:11" ht="21.75" customHeight="1">
      <c r="A62" s="12"/>
      <c r="B62" s="1"/>
    </row>
    <row r="63" spans="1:11" ht="21.75" customHeight="1">
      <c r="B63" s="1"/>
      <c r="K63" s="11"/>
    </row>
    <row r="64" spans="1:11" ht="21.75" customHeight="1">
      <c r="B64" s="1"/>
      <c r="K64" s="11"/>
    </row>
    <row r="65" spans="2:35">
      <c r="B65" s="1"/>
      <c r="K65" s="11"/>
    </row>
    <row r="66" spans="2:35">
      <c r="B66" s="1"/>
      <c r="K66" s="11"/>
    </row>
    <row r="67" spans="2:35">
      <c r="B67" s="1"/>
      <c r="K67" s="11"/>
    </row>
    <row r="68" spans="2:35">
      <c r="B68" s="1"/>
      <c r="K68" s="16"/>
    </row>
    <row r="69" spans="2:35">
      <c r="B69" s="1"/>
      <c r="K69" s="12"/>
    </row>
    <row r="70" spans="2:35">
      <c r="B70" s="1"/>
    </row>
    <row r="71" spans="2:35">
      <c r="B71" s="1"/>
    </row>
    <row r="72" spans="2:35">
      <c r="B72" s="9"/>
      <c r="C72" s="9"/>
      <c r="D72" s="9"/>
      <c r="E72" s="9"/>
      <c r="F72" s="9"/>
      <c r="G72" s="9"/>
      <c r="H72" s="9"/>
      <c r="I72" s="9"/>
      <c r="J72" s="9"/>
    </row>
    <row r="73" spans="2:35">
      <c r="B73" s="1"/>
    </row>
    <row r="74" spans="2:35" ht="46.5" customHeight="1">
      <c r="B74" s="1"/>
      <c r="K74" s="9"/>
      <c r="U74" s="9"/>
      <c r="V74" s="9"/>
      <c r="W74" s="9"/>
      <c r="X74" s="9"/>
      <c r="Y74" s="9"/>
      <c r="Z74" s="9"/>
      <c r="AA74" s="9"/>
      <c r="AB74" s="9"/>
      <c r="AC74" s="9"/>
      <c r="AD74" s="9"/>
      <c r="AI74" s="17"/>
    </row>
    <row r="75" spans="2:35" ht="21.75" customHeight="1">
      <c r="B75" s="1"/>
    </row>
    <row r="76" spans="2:35">
      <c r="B76" s="1"/>
      <c r="M76" s="9"/>
      <c r="N76" s="9"/>
      <c r="O76" s="9"/>
      <c r="P76" s="9"/>
      <c r="Q76" s="9"/>
      <c r="R76" s="9"/>
      <c r="S76" s="9"/>
      <c r="T76" s="9"/>
    </row>
    <row r="77" spans="2:35">
      <c r="B77" s="1"/>
    </row>
    <row r="78" spans="2:35">
      <c r="B78" s="1"/>
    </row>
    <row r="79" spans="2:35">
      <c r="B79" s="1"/>
    </row>
    <row r="80" spans="2:35">
      <c r="B80" s="1"/>
    </row>
    <row r="81" spans="1:12">
      <c r="B81" s="1"/>
    </row>
    <row r="82" spans="1:12">
      <c r="B82" s="1"/>
    </row>
    <row r="83" spans="1:12">
      <c r="B83" s="1"/>
    </row>
    <row r="84" spans="1:12">
      <c r="B84" s="1"/>
    </row>
    <row r="85" spans="1:12">
      <c r="B85" s="1"/>
    </row>
    <row r="86" spans="1:12">
      <c r="B86" s="1"/>
    </row>
    <row r="87" spans="1:12">
      <c r="B87" s="1"/>
    </row>
    <row r="88" spans="1:12">
      <c r="B88" s="1"/>
    </row>
    <row r="89" spans="1:12">
      <c r="B89" s="1"/>
    </row>
    <row r="90" spans="1:12">
      <c r="B90" s="1"/>
    </row>
    <row r="91" spans="1:12">
      <c r="B91" s="1"/>
    </row>
    <row r="92" spans="1:12">
      <c r="B92" s="1"/>
    </row>
    <row r="93" spans="1:12">
      <c r="B93" s="1"/>
    </row>
    <row r="94" spans="1:12">
      <c r="B94" s="1"/>
      <c r="D94" s="9"/>
      <c r="E94" s="9"/>
      <c r="F94" s="9"/>
      <c r="G94" s="9"/>
      <c r="H94" s="9"/>
      <c r="I94" s="9"/>
      <c r="J94" s="9"/>
      <c r="K94" s="9"/>
      <c r="L94" s="9"/>
    </row>
    <row r="95" spans="1:12">
      <c r="B95" s="1"/>
    </row>
    <row r="96" spans="1:12">
      <c r="A96" s="9"/>
      <c r="B96" s="9"/>
      <c r="C96" s="9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1:12">
      <c r="B113" s="1"/>
    </row>
    <row r="114" spans="1:12">
      <c r="B114" s="1"/>
    </row>
    <row r="115" spans="1:12">
      <c r="B115" s="1"/>
      <c r="D115" s="9"/>
      <c r="E115" s="9"/>
      <c r="F115" s="9"/>
      <c r="G115" s="9"/>
      <c r="H115" s="9"/>
      <c r="I115" s="9"/>
    </row>
    <row r="116" spans="1:12">
      <c r="B116" s="1"/>
      <c r="J116" s="9"/>
      <c r="K116" s="9"/>
      <c r="L116" s="9"/>
    </row>
    <row r="117" spans="1:12">
      <c r="A117" s="9"/>
      <c r="B117" s="9"/>
      <c r="C117" s="9"/>
    </row>
    <row r="118" spans="1:12">
      <c r="B118" s="1"/>
    </row>
    <row r="119" spans="1:12">
      <c r="B119" s="1"/>
    </row>
  </sheetData>
  <mergeCells count="27"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T5:W5"/>
    <mergeCell ref="D5:G5"/>
    <mergeCell ref="H5:K5"/>
    <mergeCell ref="L5:M5"/>
    <mergeCell ref="N5:Q5"/>
    <mergeCell ref="R5:S5"/>
  </mergeCells>
  <conditionalFormatting sqref="CT7:CV27">
    <cfRule type="cellIs" dxfId="174" priority="33" operator="lessThan">
      <formula>0</formula>
    </cfRule>
    <cfRule type="cellIs" dxfId="173" priority="34" operator="greaterThan">
      <formula>0</formula>
    </cfRule>
  </conditionalFormatting>
  <conditionalFormatting sqref="CR7:CS27">
    <cfRule type="cellIs" dxfId="172" priority="29" operator="greaterThan">
      <formula>1000</formula>
    </cfRule>
    <cfRule type="cellIs" dxfId="171" priority="30" operator="between">
      <formula>500</formula>
      <formula>1000</formula>
    </cfRule>
    <cfRule type="cellIs" dxfId="170" priority="31" operator="between">
      <formula>300</formula>
      <formula>500</formula>
    </cfRule>
    <cfRule type="cellIs" dxfId="169" priority="32" operator="lessThan">
      <formula>300</formula>
    </cfRule>
  </conditionalFormatting>
  <conditionalFormatting sqref="AI74">
    <cfRule type="cellIs" dxfId="168" priority="28" operator="greaterThanOrEqual">
      <formula>10</formula>
    </cfRule>
  </conditionalFormatting>
  <conditionalFormatting sqref="B120:B1048576 B6 C5 B13:B53">
    <cfRule type="duplicateValues" dxfId="167" priority="27"/>
  </conditionalFormatting>
  <conditionalFormatting sqref="C13:C27">
    <cfRule type="containsText" dxfId="166" priority="26" operator="containsText" text="@">
      <formula>NOT(ISERROR(SEARCH("@",C13)))</formula>
    </cfRule>
  </conditionalFormatting>
  <conditionalFormatting sqref="B13:B27">
    <cfRule type="notContainsBlanks" dxfId="165" priority="25">
      <formula>LEN(TRIM(B13))&gt;0</formula>
    </cfRule>
  </conditionalFormatting>
  <conditionalFormatting sqref="Z7:AN7 CH6:CO7 D7:M7 P7:W7 AC8:AD8 C8 AU7:AX7 AZ8:BF8 CA7:CG7 Z8:Z11 AY8:AY11 AA8:AB12 AZ9:BH12 CA8:CV12 A13:K15 AE8:AJ12 AS8:AX12 D8:K12 B16:Q16 AS13:CO15 BI7:BZ12 L8:R8 BG7:BH8 CP7:CV7 AM17:XFD20 A17:E25 F25:W25 F17:Q24 AM8:AP15 AQ7:AR15 L9:Q15 CP13:CX14 CY7:XFD14 AM16:CO16 CP15:XFD16 Z13:AJ20 R9:R24 S8:W24 AK8:AL20 AW9:AX24 Z21:XFD27 A26:W27">
    <cfRule type="expression" dxfId="164" priority="24">
      <formula>CELL("row")=ROW()</formula>
    </cfRule>
  </conditionalFormatting>
  <conditionalFormatting sqref="A1">
    <cfRule type="expression" dxfId="163" priority="23">
      <formula>CELL("row")=ROW()</formula>
    </cfRule>
  </conditionalFormatting>
  <conditionalFormatting sqref="C7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{0D636E1A-1B5A-43C3-95BF-D65CDFC9A4E8}</x14:id>
        </ext>
      </extLst>
    </cfRule>
  </conditionalFormatting>
  <conditionalFormatting sqref="AS7:AT7 AY7:BF7 N7:O7 AO7:AP7">
    <cfRule type="expression" dxfId="162" priority="20">
      <formula>CELL("row")=ROW()</formula>
    </cfRule>
  </conditionalFormatting>
  <conditionalFormatting sqref="C34">
    <cfRule type="duplicateValues" dxfId="161" priority="18"/>
  </conditionalFormatting>
  <conditionalFormatting sqref="C34">
    <cfRule type="containsText" dxfId="160" priority="17" operator="containsText" text="@">
      <formula>NOT(ISERROR(SEARCH("@",C34)))</formula>
    </cfRule>
  </conditionalFormatting>
  <conditionalFormatting sqref="C34">
    <cfRule type="expression" dxfId="159" priority="16">
      <formula>CELL("row")=ROW()</formula>
    </cfRule>
  </conditionalFormatting>
  <conditionalFormatting sqref="C35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{DF9D77B1-4C49-43F4-941D-496B9A000DD6}</x14:id>
        </ext>
      </extLst>
    </cfRule>
  </conditionalFormatting>
  <conditionalFormatting sqref="C37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{8DED69CB-AF83-42A3-B046-B96274D4CBD5}</x14:id>
        </ext>
      </extLst>
    </cfRule>
  </conditionalFormatting>
  <conditionalFormatting sqref="C42">
    <cfRule type="containsText" dxfId="158" priority="13" operator="containsText" text="@">
      <formula>NOT(ISERROR(SEARCH("@",C42)))</formula>
    </cfRule>
  </conditionalFormatting>
  <conditionalFormatting sqref="C42">
    <cfRule type="expression" dxfId="157" priority="12">
      <formula>CELL("row")=ROW()</formula>
    </cfRule>
  </conditionalFormatting>
  <conditionalFormatting sqref="C43">
    <cfRule type="duplicateValues" dxfId="156" priority="11"/>
  </conditionalFormatting>
  <conditionalFormatting sqref="C43">
    <cfRule type="containsText" dxfId="155" priority="10" operator="containsText" text="@">
      <formula>NOT(ISERROR(SEARCH("@",C43)))</formula>
    </cfRule>
  </conditionalFormatting>
  <conditionalFormatting sqref="C43">
    <cfRule type="expression" dxfId="154" priority="9">
      <formula>CELL("row")=ROW()</formula>
    </cfRule>
  </conditionalFormatting>
  <conditionalFormatting sqref="C45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{D049F98C-9BF5-4C04-A4BC-D48B232F6D7D}</x14:id>
        </ext>
      </extLst>
    </cfRule>
  </conditionalFormatting>
  <conditionalFormatting sqref="C49">
    <cfRule type="duplicateValues" dxfId="153" priority="7"/>
  </conditionalFormatting>
  <conditionalFormatting sqref="C49">
    <cfRule type="containsText" dxfId="152" priority="6" operator="containsText" text="@">
      <formula>NOT(ISERROR(SEARCH("@",C49)))</formula>
    </cfRule>
  </conditionalFormatting>
  <conditionalFormatting sqref="C49">
    <cfRule type="expression" dxfId="151" priority="5">
      <formula>CELL("row")=ROW()</formula>
    </cfRule>
  </conditionalFormatting>
  <conditionalFormatting sqref="AY12 Z12 AC12:AD12">
    <cfRule type="expression" dxfId="150" priority="3">
      <formula>CELL("row")=ROW()</formula>
    </cfRule>
  </conditionalFormatting>
  <conditionalFormatting sqref="CT7:CT2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138" scale="13" orientation="landscape" horizontalDpi="1200" verticalDpi="120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636E1A-1B5A-43C3-95BF-D65CDFC9A4E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DF9D77B1-4C49-43F4-941D-496B9A000D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C35</xm:sqref>
        </x14:conditionalFormatting>
        <x14:conditionalFormatting xmlns:xm="http://schemas.microsoft.com/office/excel/2006/main">
          <x14:cfRule type="dataBar" id="{8DED69CB-AF83-42A3-B046-B96274D4CB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C37</xm:sqref>
        </x14:conditionalFormatting>
        <x14:conditionalFormatting xmlns:xm="http://schemas.microsoft.com/office/excel/2006/main">
          <x14:cfRule type="dataBar" id="{D049F98C-9BF5-4C04-A4BC-D48B232F6D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028C6-7D26-4BE3-9242-9E5C1F304D15}">
  <sheetPr codeName="Hoja39">
    <pageSetUpPr fitToPage="1"/>
  </sheetPr>
  <dimension ref="A1:CX118"/>
  <sheetViews>
    <sheetView zoomScaleNormal="100" zoomScaleSheetLayoutView="70" workbookViewId="0">
      <pane xSplit="3" topLeftCell="CH1" activePane="topRight" state="frozen"/>
      <selection pane="topRight" activeCell="BN7" sqref="BN7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4" width="15" style="1" bestFit="1" customWidth="1"/>
    <col min="25" max="25" width="14.7109375" style="1" customWidth="1"/>
    <col min="26" max="26" width="15" style="1" hidden="1" customWidth="1"/>
    <col min="27" max="27" width="12.85546875" style="1" hidden="1" customWidth="1"/>
    <col min="28" max="28" width="13.140625" style="1" hidden="1" customWidth="1"/>
    <col min="29" max="29" width="12.85546875" style="1" hidden="1" customWidth="1"/>
    <col min="30" max="30" width="9.5703125" style="1" hidden="1" customWidth="1"/>
    <col min="31" max="32" width="8.42578125" style="1" hidden="1" customWidth="1"/>
    <col min="33" max="33" width="15.7109375" style="1" hidden="1" customWidth="1"/>
    <col min="34" max="34" width="13.7109375" style="1" hidden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hidden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2.85546875" style="1" bestFit="1" customWidth="1"/>
    <col min="57" max="57" width="15.7109375" style="1" hidden="1" customWidth="1"/>
    <col min="58" max="58" width="14.140625" style="1" hidden="1" customWidth="1"/>
    <col min="59" max="59" width="13.42578125" style="1" customWidth="1"/>
    <col min="60" max="60" width="13.5703125" style="1" customWidth="1"/>
    <col min="61" max="61" width="14.85546875" style="1" hidden="1" customWidth="1"/>
    <col min="62" max="62" width="11.28515625" style="1" hidden="1" customWidth="1"/>
    <col min="63" max="63" width="10.5703125" style="1" hidden="1" customWidth="1"/>
    <col min="64" max="64" width="12.7109375" style="1" hidden="1" customWidth="1"/>
    <col min="65" max="66" width="18.140625" style="1" customWidth="1"/>
    <col min="67" max="67" width="22.7109375" style="1" customWidth="1"/>
    <col min="68" max="68" width="14.28515625" style="1" customWidth="1"/>
    <col min="69" max="69" width="16.28515625" style="1" customWidth="1"/>
    <col min="70" max="70" width="15.7109375" style="1" customWidth="1"/>
    <col min="71" max="71" width="11.5703125" style="1" customWidth="1"/>
    <col min="72" max="72" width="12.140625" style="1" customWidth="1"/>
    <col min="73" max="73" width="15.140625" style="1" customWidth="1"/>
    <col min="74" max="74" width="15.7109375" style="1" customWidth="1"/>
    <col min="75" max="75" width="13" style="1" customWidth="1"/>
    <col min="76" max="76" width="13.28515625" style="1" customWidth="1"/>
    <col min="77" max="77" width="15.140625" style="1" customWidth="1"/>
    <col min="78" max="78" width="15.7109375" style="1" customWidth="1"/>
    <col min="79" max="79" width="13.85546875" style="1" customWidth="1"/>
    <col min="80" max="80" width="15.85546875" style="1" customWidth="1"/>
    <col min="81" max="82" width="14.28515625" style="1" bestFit="1" customWidth="1"/>
    <col min="83" max="84" width="12.140625" style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74">
        <v>3815</v>
      </c>
      <c r="B2" s="175">
        <v>1.32</v>
      </c>
      <c r="C2" s="176">
        <v>1.1299999999999999</v>
      </c>
      <c r="D2" s="177">
        <v>395.32</v>
      </c>
      <c r="E2" s="177">
        <v>1.3133333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179">
        <v>3986</v>
      </c>
      <c r="B3" s="180">
        <v>1.31</v>
      </c>
      <c r="C3" s="180">
        <v>1.1200000000000001</v>
      </c>
      <c r="D3" s="181">
        <v>395.32</v>
      </c>
      <c r="E3" s="181">
        <v>1.31</v>
      </c>
      <c r="F3" s="32"/>
      <c r="H3" s="32"/>
      <c r="L3" s="32"/>
      <c r="T3" s="43"/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A4" s="172" t="s">
        <v>197</v>
      </c>
      <c r="BO4" s="78" t="s">
        <v>10</v>
      </c>
      <c r="CH4" s="80"/>
    </row>
    <row r="5" spans="1:102" s="4" customFormat="1" ht="43.5" customHeigh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19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198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148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141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141" t="s">
        <v>112</v>
      </c>
      <c r="BX6" s="141" t="s">
        <v>112</v>
      </c>
      <c r="BY6" s="82" t="s">
        <v>45</v>
      </c>
      <c r="BZ6" s="82" t="s">
        <v>46</v>
      </c>
      <c r="CA6" s="141" t="s">
        <v>53</v>
      </c>
      <c r="CB6" s="141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/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4835079</v>
      </c>
    </row>
    <row r="7" spans="1:102">
      <c r="A7" s="44"/>
      <c r="B7" s="45" t="s">
        <v>118</v>
      </c>
      <c r="C7" s="46" t="s">
        <v>119</v>
      </c>
      <c r="D7" s="102">
        <v>0</v>
      </c>
      <c r="E7" s="102">
        <v>0</v>
      </c>
      <c r="F7" s="98">
        <f>SUM((D7*2)*0.3)</f>
        <v>0</v>
      </c>
      <c r="G7" s="98">
        <f>SUM((E7*2)*0.3)</f>
        <v>0</v>
      </c>
      <c r="H7" s="98">
        <v>38</v>
      </c>
      <c r="I7" s="98">
        <v>0</v>
      </c>
      <c r="J7" s="98">
        <f>SUM(H7*0.78)*$C$2</f>
        <v>33.493199999999995</v>
      </c>
      <c r="K7" s="98">
        <f>SUM(I7*0.78)*$C$3</f>
        <v>0</v>
      </c>
      <c r="L7" s="103">
        <v>42.26</v>
      </c>
      <c r="M7" s="98">
        <f>L7</f>
        <v>42.26</v>
      </c>
      <c r="N7" s="98">
        <v>68.91</v>
      </c>
      <c r="O7" s="98">
        <v>120.56</v>
      </c>
      <c r="P7" s="98">
        <f>N7*$C$2</f>
        <v>77.868299999999991</v>
      </c>
      <c r="Q7" s="98">
        <f>O7*$C$3</f>
        <v>135.02720000000002</v>
      </c>
      <c r="R7" s="103">
        <v>41.89</v>
      </c>
      <c r="S7" s="98">
        <f>R7*$C$3</f>
        <v>46.916800000000002</v>
      </c>
      <c r="T7" s="103">
        <v>192.34</v>
      </c>
      <c r="U7" s="98">
        <v>125.39</v>
      </c>
      <c r="V7" s="98">
        <f>SUM(T7*($C$2))</f>
        <v>217.34419999999997</v>
      </c>
      <c r="W7" s="98">
        <f>SUM(U7*($C$3))</f>
        <v>140.43680000000001</v>
      </c>
      <c r="X7" s="120">
        <v>0</v>
      </c>
      <c r="Y7" s="120">
        <v>0</v>
      </c>
      <c r="Z7" s="121"/>
      <c r="AA7" s="121">
        <f>SUM(X7*0.75)+(Z7*0.75)</f>
        <v>0</v>
      </c>
      <c r="AB7" s="121">
        <f>(Y7*0.75)+(Z7*0.75)</f>
        <v>0</v>
      </c>
      <c r="AC7" s="121">
        <v>0</v>
      </c>
      <c r="AD7" s="121">
        <v>0</v>
      </c>
      <c r="AE7" s="121">
        <f>AC7*0.75</f>
        <v>0</v>
      </c>
      <c r="AF7" s="121">
        <f>AD7*0.75</f>
        <v>0</v>
      </c>
      <c r="AG7" s="98"/>
      <c r="AH7" s="98"/>
      <c r="AI7" s="98">
        <f>AG7*0.75</f>
        <v>0</v>
      </c>
      <c r="AJ7" s="98">
        <f>AH7*0.75</f>
        <v>0</v>
      </c>
      <c r="AK7" s="103">
        <v>150.04</v>
      </c>
      <c r="AL7" s="98">
        <v>42.56</v>
      </c>
      <c r="AM7" s="98">
        <f>AK7*$C$2</f>
        <v>169.54519999999997</v>
      </c>
      <c r="AN7" s="98">
        <f>AL7*$C$3</f>
        <v>47.667200000000008</v>
      </c>
      <c r="AO7" s="98"/>
      <c r="AP7" s="98"/>
      <c r="AQ7" s="130"/>
      <c r="AR7" s="130"/>
      <c r="AS7" s="98"/>
      <c r="AT7" s="98">
        <f>AS7*$C$3</f>
        <v>0</v>
      </c>
      <c r="AU7" s="98"/>
      <c r="AV7" s="149">
        <f>AU7*$C$3</f>
        <v>0</v>
      </c>
      <c r="AW7" s="98">
        <v>80.34</v>
      </c>
      <c r="AX7" s="98">
        <v>28.64</v>
      </c>
      <c r="AY7" s="98"/>
      <c r="AZ7" s="98">
        <f>AY7*$D$2</f>
        <v>0</v>
      </c>
      <c r="BA7" s="99">
        <v>144.32</v>
      </c>
      <c r="BB7" s="99">
        <v>153.31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>BH7*$C$3</f>
        <v>0</v>
      </c>
      <c r="BK7" s="98"/>
      <c r="BL7" s="98"/>
      <c r="BM7" s="98">
        <v>0</v>
      </c>
      <c r="BN7" s="98">
        <f>BM7*$C$3</f>
        <v>0</v>
      </c>
      <c r="BO7" s="105">
        <v>173.62</v>
      </c>
      <c r="BP7" s="149">
        <f>BO7*$C$3</f>
        <v>194.45440000000002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42">
        <f>BU7*$E$2</f>
        <v>0</v>
      </c>
      <c r="BX7" s="142">
        <f>BV7*$E$3</f>
        <v>0</v>
      </c>
      <c r="BY7" s="110">
        <v>2</v>
      </c>
      <c r="BZ7" s="110">
        <v>0</v>
      </c>
      <c r="CA7" s="142">
        <f>BY7/2</f>
        <v>1</v>
      </c>
      <c r="CB7" s="142">
        <f>BZ7/2</f>
        <v>0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3570000</v>
      </c>
      <c r="CI7" s="72"/>
      <c r="CJ7" s="72"/>
      <c r="CK7" s="53">
        <v>1900000</v>
      </c>
      <c r="CL7" s="72"/>
      <c r="CM7" s="53">
        <v>1670000</v>
      </c>
      <c r="CN7" s="72"/>
      <c r="CO7" s="72"/>
      <c r="CP7" s="90"/>
      <c r="CQ7" s="68">
        <v>0</v>
      </c>
      <c r="CR7" s="69">
        <f>SUM(AO7,AQ7,F7,P7,BS7,AM7,AA7,AE7,J7,AI7,V7,BA7,BE7,CE7,AW7,CA7,BW7)</f>
        <v>723.91089999999997</v>
      </c>
      <c r="CS7" s="69">
        <f>SUM(AP7,AR7,G7,Q7,BN7,AZ7,M7,BT7,AN7,S7,AB7,AF7,K7,AJ7,BI7,W7,BB7,BF7,CF7,BP7,BL7,CG7,AT7,AV7,AX7,CB7,BX7)</f>
        <v>788.7124</v>
      </c>
      <c r="CT7" s="70">
        <f t="shared" ref="CT7:CT26" si="0">(((CR7*$A$2)+(CS7*$A$3))*0.6)+((BJ7*$A$3)*0.75)</f>
        <v>3543316.6259399992</v>
      </c>
      <c r="CU7" s="70">
        <f t="shared" ref="CU7:CU26" si="1">((CR7*$A$2)+(CS7*$A$3))*0.4+((BJ7*$A$3)*0.25)</f>
        <v>2362211.08396</v>
      </c>
      <c r="CV7" s="143">
        <f>CT7-CH7</f>
        <v>-26683.374060000759</v>
      </c>
      <c r="CW7" s="1" t="s">
        <v>120</v>
      </c>
      <c r="CX7" s="126">
        <v>1191998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ref="F8:G21" si="2">SUM((D8*2)*0.3)</f>
        <v>0</v>
      </c>
      <c r="G8" s="98">
        <f t="shared" si="2"/>
        <v>0</v>
      </c>
      <c r="H8" s="98">
        <v>0</v>
      </c>
      <c r="I8" s="98">
        <v>0</v>
      </c>
      <c r="J8" s="98">
        <f t="shared" ref="J8:J26" si="3">SUM(H8*0.78)*$C$2</f>
        <v>0</v>
      </c>
      <c r="K8" s="98">
        <f t="shared" ref="K8:K26" si="4">SUM(I8*0.78)*$C$3</f>
        <v>0</v>
      </c>
      <c r="L8" s="103">
        <v>54.24</v>
      </c>
      <c r="M8" s="98">
        <f t="shared" ref="M8:M26" si="5">L8</f>
        <v>54.24</v>
      </c>
      <c r="N8" s="99"/>
      <c r="O8" s="99"/>
      <c r="P8" s="98">
        <f t="shared" ref="P8:P26" si="6">N8*$C$2</f>
        <v>0</v>
      </c>
      <c r="Q8" s="98">
        <f t="shared" ref="Q8:Q26" si="7">O8*$C$3</f>
        <v>0</v>
      </c>
      <c r="R8" s="103"/>
      <c r="S8" s="98">
        <f t="shared" ref="S8:S26" si="8">R8*$C$3</f>
        <v>0</v>
      </c>
      <c r="T8" s="103">
        <v>23.99</v>
      </c>
      <c r="U8" s="98">
        <v>15.09</v>
      </c>
      <c r="V8" s="98">
        <f t="shared" ref="V8:V26" si="9">SUM(T8*($C$2))</f>
        <v>27.108699999999995</v>
      </c>
      <c r="W8" s="98">
        <f t="shared" ref="W8:W26" si="10">SUM(U8*($C$3))</f>
        <v>16.9008</v>
      </c>
      <c r="X8" s="120">
        <v>30.3</v>
      </c>
      <c r="Y8" s="120">
        <v>59</v>
      </c>
      <c r="Z8" s="119"/>
      <c r="AA8" s="121">
        <f t="shared" ref="AA8:AA26" si="11">SUM(X8*0.75)+(Z8*0.75)</f>
        <v>22.725000000000001</v>
      </c>
      <c r="AB8" s="121">
        <f t="shared" ref="AB8:AB26" si="12">(Y8*0.75)+(Z8*0.75)</f>
        <v>44.25</v>
      </c>
      <c r="AC8" s="119"/>
      <c r="AD8" s="119"/>
      <c r="AE8" s="121">
        <f t="shared" ref="AE8:AF26" si="13">AC8*0.75</f>
        <v>0</v>
      </c>
      <c r="AF8" s="121">
        <f t="shared" si="13"/>
        <v>0</v>
      </c>
      <c r="AG8" s="98"/>
      <c r="AH8" s="98"/>
      <c r="AI8" s="98">
        <f t="shared" ref="AI8:AJ26" si="14">AG8*0.75</f>
        <v>0</v>
      </c>
      <c r="AJ8" s="98">
        <f t="shared" si="14"/>
        <v>0</v>
      </c>
      <c r="AK8" s="103">
        <v>77.62</v>
      </c>
      <c r="AL8" s="98">
        <v>47.09</v>
      </c>
      <c r="AM8" s="98">
        <f t="shared" ref="AM8:AM26" si="15">AK8*$C$2</f>
        <v>87.710599999999999</v>
      </c>
      <c r="AN8" s="98">
        <f t="shared" ref="AN8:AN26" si="16">AL8*$C$3</f>
        <v>52.740800000000007</v>
      </c>
      <c r="AO8" s="99">
        <v>0</v>
      </c>
      <c r="AP8" s="99">
        <v>0</v>
      </c>
      <c r="AQ8" s="131"/>
      <c r="AR8" s="131"/>
      <c r="AS8" s="99"/>
      <c r="AT8" s="98">
        <f t="shared" ref="AT8:AT26" si="17">AS8*$C$3</f>
        <v>0</v>
      </c>
      <c r="AU8" s="99"/>
      <c r="AV8" s="149">
        <f t="shared" ref="AV8:AV26" si="18">AU8*$C$3</f>
        <v>0</v>
      </c>
      <c r="AW8" s="98">
        <v>0.75</v>
      </c>
      <c r="AX8" s="98">
        <v>66.290000000000006</v>
      </c>
      <c r="AY8" s="99"/>
      <c r="AZ8" s="98">
        <f t="shared" ref="AZ8:AZ26" si="19">AY8*$D$2</f>
        <v>0</v>
      </c>
      <c r="BA8" s="99"/>
      <c r="BB8" s="99"/>
      <c r="BC8" s="99">
        <f>17.4+0.97</f>
        <v>18.369999999999997</v>
      </c>
      <c r="BD8" s="99">
        <f>95+3.88</f>
        <v>98.88</v>
      </c>
      <c r="BE8" s="98">
        <f t="shared" ref="BE8:BE26" si="20">SUM(BC8*0.62)*$B$2</f>
        <v>15.034007999999998</v>
      </c>
      <c r="BF8" s="98">
        <f t="shared" ref="BF8:BF26" si="21">SUM(BD8*0.62)*$B$3</f>
        <v>80.310336000000007</v>
      </c>
      <c r="BG8" s="98">
        <v>75.67</v>
      </c>
      <c r="BH8" s="98">
        <v>7.61</v>
      </c>
      <c r="BI8" s="98">
        <f t="shared" ref="BI8:BI26" si="22">(BG8*$C$3)</f>
        <v>84.750400000000013</v>
      </c>
      <c r="BJ8" s="98">
        <f t="shared" ref="BJ8:BJ26" si="23">BH8*$C$3</f>
        <v>8.523200000000001</v>
      </c>
      <c r="BK8" s="99"/>
      <c r="BL8" s="99"/>
      <c r="BM8" s="99"/>
      <c r="BN8" s="98">
        <f t="shared" ref="BN8:BN26" si="24">BM8*$C$3</f>
        <v>0</v>
      </c>
      <c r="BO8" s="105">
        <v>113.48</v>
      </c>
      <c r="BP8" s="149">
        <f t="shared" ref="BP8:BP26" si="25">BO8*$C$3</f>
        <v>127.09760000000001</v>
      </c>
      <c r="BQ8" s="113">
        <v>0</v>
      </c>
      <c r="BR8" s="113">
        <v>0</v>
      </c>
      <c r="BS8" s="104">
        <f t="shared" ref="BS8:BS26" si="26">(BQ8/$D$2)*$C$2</f>
        <v>0</v>
      </c>
      <c r="BT8" s="104">
        <f t="shared" ref="BT8:BT26" si="27">(BR8/$D$3)*$C$3</f>
        <v>0</v>
      </c>
      <c r="BU8" s="105">
        <v>0.5</v>
      </c>
      <c r="BV8" s="105">
        <v>155.44</v>
      </c>
      <c r="BW8" s="142">
        <f t="shared" ref="BW8:BW26" si="28">BU8*$E$2</f>
        <v>0.65666665000000002</v>
      </c>
      <c r="BX8" s="142">
        <f t="shared" ref="BX8:BX26" si="29">BV8*$E$3</f>
        <v>203.62640000000002</v>
      </c>
      <c r="BY8" s="110">
        <v>161.88999999999999</v>
      </c>
      <c r="BZ8" s="110">
        <v>18.14</v>
      </c>
      <c r="CA8" s="142">
        <f t="shared" ref="CA8:CB26" si="30">BY8/2</f>
        <v>80.944999999999993</v>
      </c>
      <c r="CB8" s="142">
        <f t="shared" si="30"/>
        <v>9.07</v>
      </c>
      <c r="CC8" s="109">
        <v>0</v>
      </c>
      <c r="CD8" s="109">
        <v>0</v>
      </c>
      <c r="CE8" s="98">
        <f t="shared" ref="CE8:CF26" si="31">CC8*0.05</f>
        <v>0</v>
      </c>
      <c r="CF8" s="107">
        <f t="shared" si="31"/>
        <v>0</v>
      </c>
      <c r="CG8" s="81"/>
      <c r="CH8" s="65">
        <f t="shared" ref="CH8:CH26" si="32">SUM(CI8:CO8)</f>
        <v>2327000</v>
      </c>
      <c r="CI8" s="73"/>
      <c r="CJ8" s="125"/>
      <c r="CK8" s="66">
        <v>877000</v>
      </c>
      <c r="CL8" s="73"/>
      <c r="CM8" s="66">
        <v>1450000</v>
      </c>
      <c r="CN8" s="73"/>
      <c r="CO8" s="73"/>
      <c r="CP8" s="90"/>
      <c r="CQ8" s="68">
        <v>0</v>
      </c>
      <c r="CR8" s="69">
        <f t="shared" ref="CR8:CR26" si="33">SUM(AO8,AQ8,F8,P8,BS8,AM8,AA8,AE8,J8,AI8,V8,BA8,BE8,CE8,AW8,CA8,BW8)</f>
        <v>234.92997464999999</v>
      </c>
      <c r="CS8" s="69">
        <f t="shared" ref="CS8:CS24" si="34">SUM(AP8,AR8,G8,Q8,BN8,AZ8,M8,BT8,AN8,S8,AB8,AF8,K8,AJ8,BI8,W8,BB8,BF8,CF8,BP8,BL8,CG8,AT8,AV8,AX8,CB8,BX8)</f>
        <v>739.27633600000013</v>
      </c>
      <c r="CT8" s="70">
        <f t="shared" si="0"/>
        <v>2331288.1035514502</v>
      </c>
      <c r="CU8" s="70">
        <f t="shared" si="1"/>
        <v>1545698.7002343002</v>
      </c>
      <c r="CV8" s="70">
        <f t="shared" ref="CV8:CV26" si="35">CT8-CH8</f>
        <v>4288.1035514501855</v>
      </c>
      <c r="CW8" s="15" t="s">
        <v>123</v>
      </c>
      <c r="CX8" s="127">
        <v>231830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2"/>
        <v>0</v>
      </c>
      <c r="G9" s="98">
        <f t="shared" si="2"/>
        <v>0</v>
      </c>
      <c r="H9" s="98"/>
      <c r="I9" s="98"/>
      <c r="J9" s="98">
        <f t="shared" si="3"/>
        <v>0</v>
      </c>
      <c r="K9" s="98">
        <f t="shared" si="4"/>
        <v>0</v>
      </c>
      <c r="L9" s="103">
        <v>52.49</v>
      </c>
      <c r="M9" s="98">
        <f t="shared" si="5"/>
        <v>52.49</v>
      </c>
      <c r="N9" s="98"/>
      <c r="O9" s="98"/>
      <c r="P9" s="98">
        <f t="shared" si="6"/>
        <v>0</v>
      </c>
      <c r="Q9" s="98">
        <f t="shared" si="7"/>
        <v>0</v>
      </c>
      <c r="R9" s="103">
        <v>31.86</v>
      </c>
      <c r="S9" s="98">
        <f t="shared" si="8"/>
        <v>35.683199999999999</v>
      </c>
      <c r="T9" s="103">
        <v>8.15</v>
      </c>
      <c r="U9" s="98">
        <v>7.13</v>
      </c>
      <c r="V9" s="98">
        <f t="shared" si="9"/>
        <v>9.2095000000000002</v>
      </c>
      <c r="W9" s="98">
        <f t="shared" si="10"/>
        <v>7.9856000000000007</v>
      </c>
      <c r="X9" s="120">
        <v>18</v>
      </c>
      <c r="Y9" s="120">
        <v>95</v>
      </c>
      <c r="Z9" s="121"/>
      <c r="AA9" s="121">
        <f t="shared" si="11"/>
        <v>13.5</v>
      </c>
      <c r="AB9" s="121">
        <f t="shared" si="12"/>
        <v>71.25</v>
      </c>
      <c r="AC9" s="123">
        <v>0</v>
      </c>
      <c r="AD9" s="123">
        <v>0</v>
      </c>
      <c r="AE9" s="121">
        <f t="shared" si="13"/>
        <v>0</v>
      </c>
      <c r="AF9" s="121">
        <f t="shared" si="13"/>
        <v>0</v>
      </c>
      <c r="AG9" s="98"/>
      <c r="AH9" s="98"/>
      <c r="AI9" s="98">
        <f t="shared" si="14"/>
        <v>0</v>
      </c>
      <c r="AJ9" s="98">
        <f t="shared" si="14"/>
        <v>0</v>
      </c>
      <c r="AK9" s="103">
        <v>51.74</v>
      </c>
      <c r="AL9" s="98">
        <v>26.8</v>
      </c>
      <c r="AM9" s="98">
        <f t="shared" si="15"/>
        <v>58.466199999999994</v>
      </c>
      <c r="AN9" s="98">
        <f t="shared" si="16"/>
        <v>30.016000000000005</v>
      </c>
      <c r="AO9" s="98"/>
      <c r="AP9" s="98"/>
      <c r="AQ9" s="130"/>
      <c r="AR9" s="130"/>
      <c r="AS9" s="99"/>
      <c r="AT9" s="98">
        <f t="shared" si="17"/>
        <v>0</v>
      </c>
      <c r="AU9" s="98"/>
      <c r="AV9" s="149">
        <f t="shared" si="18"/>
        <v>0</v>
      </c>
      <c r="AW9" s="98">
        <v>0</v>
      </c>
      <c r="AX9" s="98">
        <v>1.7</v>
      </c>
      <c r="AY9" s="98"/>
      <c r="AZ9" s="98">
        <f t="shared" si="19"/>
        <v>0</v>
      </c>
      <c r="BA9" s="98"/>
      <c r="BB9" s="98"/>
      <c r="BC9" s="98"/>
      <c r="BD9" s="98"/>
      <c r="BE9" s="98">
        <f t="shared" si="20"/>
        <v>0</v>
      </c>
      <c r="BF9" s="98">
        <f t="shared" si="21"/>
        <v>0</v>
      </c>
      <c r="BG9" s="98">
        <v>95.28</v>
      </c>
      <c r="BH9" s="98">
        <v>23.07</v>
      </c>
      <c r="BI9" s="98">
        <f t="shared" si="22"/>
        <v>106.71360000000001</v>
      </c>
      <c r="BJ9" s="98">
        <f t="shared" si="23"/>
        <v>25.838400000000004</v>
      </c>
      <c r="BK9" s="98"/>
      <c r="BL9" s="98"/>
      <c r="BM9" s="98"/>
      <c r="BN9" s="98">
        <f t="shared" si="24"/>
        <v>0</v>
      </c>
      <c r="BO9" s="105">
        <v>26.17</v>
      </c>
      <c r="BP9" s="149">
        <f t="shared" si="25"/>
        <v>29.310400000000005</v>
      </c>
      <c r="BQ9" s="112">
        <v>0</v>
      </c>
      <c r="BR9" s="112">
        <v>0</v>
      </c>
      <c r="BS9" s="104">
        <f>(BQ9/$D$2)*$C$2</f>
        <v>0</v>
      </c>
      <c r="BT9" s="104">
        <f t="shared" si="27"/>
        <v>0</v>
      </c>
      <c r="BU9" s="105">
        <v>0</v>
      </c>
      <c r="BV9" s="105">
        <v>2</v>
      </c>
      <c r="BW9" s="142">
        <f t="shared" si="28"/>
        <v>0</v>
      </c>
      <c r="BX9" s="142">
        <f t="shared" si="29"/>
        <v>2.62</v>
      </c>
      <c r="BY9" s="110">
        <v>50.74</v>
      </c>
      <c r="BZ9" s="110">
        <v>65.77</v>
      </c>
      <c r="CA9" s="142">
        <f t="shared" si="30"/>
        <v>25.37</v>
      </c>
      <c r="CB9" s="142">
        <f t="shared" si="30"/>
        <v>32.884999999999998</v>
      </c>
      <c r="CC9" s="106"/>
      <c r="CD9" s="106"/>
      <c r="CE9" s="98">
        <f t="shared" si="31"/>
        <v>0</v>
      </c>
      <c r="CF9" s="107">
        <f t="shared" si="31"/>
        <v>0</v>
      </c>
      <c r="CG9" s="89"/>
      <c r="CH9" s="65">
        <f t="shared" si="32"/>
        <v>1205000</v>
      </c>
      <c r="CI9" s="73"/>
      <c r="CJ9" s="73"/>
      <c r="CK9" s="66">
        <v>435000</v>
      </c>
      <c r="CL9" s="73"/>
      <c r="CM9" s="66">
        <v>770000</v>
      </c>
      <c r="CN9" s="73"/>
      <c r="CO9" s="73"/>
      <c r="CP9" s="90"/>
      <c r="CQ9" s="68">
        <v>0</v>
      </c>
      <c r="CR9" s="69">
        <f t="shared" si="33"/>
        <v>106.5457</v>
      </c>
      <c r="CS9" s="69">
        <f t="shared" si="34"/>
        <v>370.65379999999999</v>
      </c>
      <c r="CT9" s="70">
        <f t="shared" si="0"/>
        <v>1207582.63218</v>
      </c>
      <c r="CU9" s="70">
        <f t="shared" si="1"/>
        <v>779307.12251999998</v>
      </c>
      <c r="CV9" s="70">
        <f t="shared" si="35"/>
        <v>2582.6321799999569</v>
      </c>
      <c r="CW9" s="87" t="s">
        <v>126</v>
      </c>
      <c r="CX9" s="87">
        <v>2880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2"/>
        <v>0</v>
      </c>
      <c r="G10" s="98">
        <f t="shared" si="2"/>
        <v>0</v>
      </c>
      <c r="H10" s="98">
        <v>0</v>
      </c>
      <c r="I10" s="98">
        <v>60</v>
      </c>
      <c r="J10" s="98">
        <f t="shared" si="3"/>
        <v>0</v>
      </c>
      <c r="K10" s="98">
        <f t="shared" si="4"/>
        <v>52.416000000000011</v>
      </c>
      <c r="L10" s="103">
        <v>87.53</v>
      </c>
      <c r="M10" s="98">
        <f t="shared" si="5"/>
        <v>87.53</v>
      </c>
      <c r="N10" s="99"/>
      <c r="O10" s="99"/>
      <c r="P10" s="98">
        <f t="shared" si="6"/>
        <v>0</v>
      </c>
      <c r="Q10" s="98">
        <f t="shared" si="7"/>
        <v>0</v>
      </c>
      <c r="R10" s="103">
        <v>127.61</v>
      </c>
      <c r="S10" s="98">
        <f t="shared" si="8"/>
        <v>142.92320000000001</v>
      </c>
      <c r="T10" s="103">
        <v>28.92</v>
      </c>
      <c r="U10" s="98">
        <v>31.03</v>
      </c>
      <c r="V10" s="98">
        <f t="shared" si="9"/>
        <v>32.679600000000001</v>
      </c>
      <c r="W10" s="98">
        <f t="shared" si="10"/>
        <v>34.753600000000006</v>
      </c>
      <c r="X10" s="120">
        <v>0</v>
      </c>
      <c r="Y10" s="120">
        <v>0</v>
      </c>
      <c r="Z10" s="119"/>
      <c r="AA10" s="121">
        <f t="shared" si="11"/>
        <v>0</v>
      </c>
      <c r="AB10" s="121">
        <f t="shared" si="12"/>
        <v>0</v>
      </c>
      <c r="AC10" s="122">
        <v>0</v>
      </c>
      <c r="AD10" s="122">
        <v>0</v>
      </c>
      <c r="AE10" s="121">
        <f t="shared" si="13"/>
        <v>0</v>
      </c>
      <c r="AF10" s="121">
        <f t="shared" si="13"/>
        <v>0</v>
      </c>
      <c r="AG10" s="98">
        <v>0</v>
      </c>
      <c r="AH10" s="98">
        <v>0</v>
      </c>
      <c r="AI10" s="98">
        <f t="shared" si="14"/>
        <v>0</v>
      </c>
      <c r="AJ10" s="98">
        <f t="shared" si="14"/>
        <v>0</v>
      </c>
      <c r="AK10" s="103">
        <v>129.47999999999999</v>
      </c>
      <c r="AL10" s="98">
        <v>165.85</v>
      </c>
      <c r="AM10" s="98">
        <f t="shared" si="15"/>
        <v>146.31239999999997</v>
      </c>
      <c r="AN10" s="98">
        <f t="shared" si="16"/>
        <v>185.75200000000001</v>
      </c>
      <c r="AO10" s="98"/>
      <c r="AP10" s="98"/>
      <c r="AQ10" s="131"/>
      <c r="AR10" s="131">
        <v>0</v>
      </c>
      <c r="AS10" s="99"/>
      <c r="AT10" s="98">
        <f t="shared" si="17"/>
        <v>0</v>
      </c>
      <c r="AU10" s="99"/>
      <c r="AV10" s="149">
        <f t="shared" si="18"/>
        <v>0</v>
      </c>
      <c r="AW10" s="98">
        <v>97.01</v>
      </c>
      <c r="AX10" s="98">
        <v>39.090000000000003</v>
      </c>
      <c r="AY10" s="99"/>
      <c r="AZ10" s="98">
        <f t="shared" si="19"/>
        <v>0</v>
      </c>
      <c r="BA10" s="99"/>
      <c r="BB10" s="99"/>
      <c r="BC10" s="99"/>
      <c r="BD10" s="99"/>
      <c r="BE10" s="98">
        <f t="shared" si="20"/>
        <v>0</v>
      </c>
      <c r="BF10" s="98">
        <f t="shared" si="21"/>
        <v>0</v>
      </c>
      <c r="BG10" s="98">
        <v>74.459999999999994</v>
      </c>
      <c r="BH10" s="98">
        <v>0</v>
      </c>
      <c r="BI10" s="98">
        <f t="shared" si="22"/>
        <v>83.395200000000003</v>
      </c>
      <c r="BJ10" s="98">
        <f t="shared" si="23"/>
        <v>0</v>
      </c>
      <c r="BK10" s="99"/>
      <c r="BL10" s="99"/>
      <c r="BM10" s="98"/>
      <c r="BN10" s="98">
        <f t="shared" si="24"/>
        <v>0</v>
      </c>
      <c r="BO10" s="105">
        <v>98.02</v>
      </c>
      <c r="BP10" s="149">
        <f t="shared" si="25"/>
        <v>109.78240000000001</v>
      </c>
      <c r="BQ10" s="113"/>
      <c r="BR10" s="113"/>
      <c r="BS10" s="104">
        <f t="shared" si="26"/>
        <v>0</v>
      </c>
      <c r="BT10" s="104">
        <f t="shared" si="27"/>
        <v>0</v>
      </c>
      <c r="BU10" s="105">
        <v>0</v>
      </c>
      <c r="BV10" s="105">
        <v>0</v>
      </c>
      <c r="BW10" s="142">
        <f t="shared" si="28"/>
        <v>0</v>
      </c>
      <c r="BX10" s="142">
        <f t="shared" si="29"/>
        <v>0</v>
      </c>
      <c r="BY10" s="111"/>
      <c r="BZ10" s="111"/>
      <c r="CA10" s="142">
        <f t="shared" si="30"/>
        <v>0</v>
      </c>
      <c r="CB10" s="142">
        <f t="shared" si="30"/>
        <v>0</v>
      </c>
      <c r="CC10" s="109"/>
      <c r="CD10" s="109"/>
      <c r="CE10" s="98">
        <f t="shared" si="31"/>
        <v>0</v>
      </c>
      <c r="CF10" s="107">
        <f t="shared" si="31"/>
        <v>0</v>
      </c>
      <c r="CG10" s="89"/>
      <c r="CH10" s="65">
        <f t="shared" si="32"/>
        <v>2400000</v>
      </c>
      <c r="CI10" s="73"/>
      <c r="CJ10" s="73"/>
      <c r="CK10" s="66">
        <v>1170000</v>
      </c>
      <c r="CL10" s="73"/>
      <c r="CM10" s="66">
        <v>1230000</v>
      </c>
      <c r="CN10" s="73"/>
      <c r="CO10" s="73"/>
      <c r="CP10" s="90"/>
      <c r="CQ10" s="68">
        <v>0</v>
      </c>
      <c r="CR10" s="69">
        <f t="shared" si="33"/>
        <v>276.00199999999995</v>
      </c>
      <c r="CS10" s="69">
        <f>SUM(AP10,AR10,G10,Q10,BN10,AZ10,M10,BT10,AN10,S10,AB10,AF10,K10,AJ10,BI10,W10,BB10,BF10,CF10,BP10,BL10,CG10,AT10,AV10,AX10,CB10,BX10)</f>
        <v>735.64240000000018</v>
      </c>
      <c r="CT10" s="70">
        <f t="shared" si="0"/>
        <v>2391130.9418400005</v>
      </c>
      <c r="CU10" s="70">
        <f t="shared" si="1"/>
        <v>1594087.2945600003</v>
      </c>
      <c r="CV10" s="70">
        <f t="shared" si="35"/>
        <v>-8869.0581599995494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2"/>
        <v>0</v>
      </c>
      <c r="G11" s="98">
        <f t="shared" si="2"/>
        <v>0</v>
      </c>
      <c r="H11" s="98">
        <v>24</v>
      </c>
      <c r="I11" s="98">
        <v>15</v>
      </c>
      <c r="J11" s="98">
        <f t="shared" si="3"/>
        <v>21.153599999999997</v>
      </c>
      <c r="K11" s="98">
        <f t="shared" si="4"/>
        <v>13.104000000000003</v>
      </c>
      <c r="L11" s="103">
        <v>63.28</v>
      </c>
      <c r="M11" s="98">
        <f t="shared" si="5"/>
        <v>63.28</v>
      </c>
      <c r="N11" s="98"/>
      <c r="O11" s="98"/>
      <c r="P11" s="98">
        <f t="shared" si="6"/>
        <v>0</v>
      </c>
      <c r="Q11" s="98">
        <f t="shared" si="7"/>
        <v>0</v>
      </c>
      <c r="R11" s="103">
        <v>99.21</v>
      </c>
      <c r="S11" s="98">
        <f t="shared" si="8"/>
        <v>111.1152</v>
      </c>
      <c r="T11" s="103">
        <v>19.809999999999999</v>
      </c>
      <c r="U11" s="98">
        <v>19.03</v>
      </c>
      <c r="V11" s="98">
        <f t="shared" si="9"/>
        <v>22.385299999999997</v>
      </c>
      <c r="W11" s="98">
        <f t="shared" si="10"/>
        <v>21.313600000000005</v>
      </c>
      <c r="X11" s="120">
        <v>27.08</v>
      </c>
      <c r="Y11" s="120">
        <v>50</v>
      </c>
      <c r="Z11" s="121"/>
      <c r="AA11" s="121">
        <f t="shared" si="11"/>
        <v>20.309999999999999</v>
      </c>
      <c r="AB11" s="121">
        <f t="shared" si="12"/>
        <v>37.5</v>
      </c>
      <c r="AC11" s="123">
        <v>0</v>
      </c>
      <c r="AD11" s="123">
        <v>0</v>
      </c>
      <c r="AE11" s="121">
        <f t="shared" si="13"/>
        <v>0</v>
      </c>
      <c r="AF11" s="121">
        <f t="shared" si="13"/>
        <v>0</v>
      </c>
      <c r="AG11" s="98"/>
      <c r="AH11" s="98"/>
      <c r="AI11" s="98">
        <f t="shared" si="14"/>
        <v>0</v>
      </c>
      <c r="AJ11" s="98">
        <f t="shared" si="14"/>
        <v>0</v>
      </c>
      <c r="AK11" s="103">
        <v>123.57</v>
      </c>
      <c r="AL11" s="98">
        <v>52.58</v>
      </c>
      <c r="AM11" s="98">
        <f t="shared" si="15"/>
        <v>139.63409999999999</v>
      </c>
      <c r="AN11" s="98">
        <f t="shared" si="16"/>
        <v>58.889600000000002</v>
      </c>
      <c r="AO11" s="98"/>
      <c r="AP11" s="98"/>
      <c r="AQ11" s="131">
        <v>44.86</v>
      </c>
      <c r="AR11" s="131">
        <v>25.7</v>
      </c>
      <c r="AS11" s="99"/>
      <c r="AT11" s="98">
        <f t="shared" si="17"/>
        <v>0</v>
      </c>
      <c r="AU11" s="98"/>
      <c r="AV11" s="149">
        <f t="shared" si="18"/>
        <v>0</v>
      </c>
      <c r="AW11" s="98">
        <v>20.440000000000001</v>
      </c>
      <c r="AX11" s="98">
        <v>104.11</v>
      </c>
      <c r="AY11" s="98"/>
      <c r="AZ11" s="98">
        <f t="shared" si="19"/>
        <v>0</v>
      </c>
      <c r="BA11" s="98"/>
      <c r="BB11" s="98"/>
      <c r="BC11" s="98"/>
      <c r="BD11" s="98"/>
      <c r="BE11" s="98">
        <f t="shared" si="20"/>
        <v>0</v>
      </c>
      <c r="BF11" s="98">
        <f t="shared" si="21"/>
        <v>0</v>
      </c>
      <c r="BG11" s="98">
        <v>49.23</v>
      </c>
      <c r="BH11" s="98">
        <v>17.190000000000001</v>
      </c>
      <c r="BI11" s="98">
        <f t="shared" si="22"/>
        <v>55.137599999999999</v>
      </c>
      <c r="BJ11" s="98">
        <f t="shared" si="23"/>
        <v>19.252800000000004</v>
      </c>
      <c r="BK11" s="98"/>
      <c r="BL11" s="98"/>
      <c r="BM11" s="98"/>
      <c r="BN11" s="98">
        <f t="shared" si="24"/>
        <v>0</v>
      </c>
      <c r="BO11" s="105">
        <v>59.88</v>
      </c>
      <c r="BP11" s="149">
        <f t="shared" si="25"/>
        <v>67.065600000000003</v>
      </c>
      <c r="BQ11" s="112">
        <v>0</v>
      </c>
      <c r="BR11" s="112">
        <v>0</v>
      </c>
      <c r="BS11" s="104">
        <f t="shared" si="26"/>
        <v>0</v>
      </c>
      <c r="BT11" s="104">
        <f t="shared" si="27"/>
        <v>0</v>
      </c>
      <c r="BU11" s="105">
        <v>22.02</v>
      </c>
      <c r="BV11" s="105">
        <v>6.24</v>
      </c>
      <c r="BW11" s="142">
        <f t="shared" si="28"/>
        <v>28.919599265999999</v>
      </c>
      <c r="BX11" s="142">
        <f t="shared" si="29"/>
        <v>8.1744000000000003</v>
      </c>
      <c r="BY11" s="110">
        <v>0</v>
      </c>
      <c r="BZ11" s="110">
        <v>0</v>
      </c>
      <c r="CA11" s="142">
        <f t="shared" si="30"/>
        <v>0</v>
      </c>
      <c r="CB11" s="142">
        <f t="shared" si="30"/>
        <v>0</v>
      </c>
      <c r="CC11" s="106"/>
      <c r="CD11" s="106"/>
      <c r="CE11" s="98">
        <f t="shared" si="31"/>
        <v>0</v>
      </c>
      <c r="CF11" s="107">
        <f t="shared" si="31"/>
        <v>0</v>
      </c>
      <c r="CG11" s="89"/>
      <c r="CH11" s="65">
        <f t="shared" si="32"/>
        <v>2090000</v>
      </c>
      <c r="CI11" s="73"/>
      <c r="CJ11" s="73"/>
      <c r="CK11" s="66">
        <v>1060000</v>
      </c>
      <c r="CL11" s="73"/>
      <c r="CM11" s="66">
        <v>1030000</v>
      </c>
      <c r="CN11" s="73"/>
      <c r="CO11" s="73"/>
      <c r="CP11" s="90"/>
      <c r="CQ11" s="68">
        <v>0</v>
      </c>
      <c r="CR11" s="69">
        <f t="shared" si="33"/>
        <v>297.70259926599999</v>
      </c>
      <c r="CS11" s="69">
        <f t="shared" si="34"/>
        <v>565.39</v>
      </c>
      <c r="CT11" s="70">
        <f t="shared" si="0"/>
        <v>2091184.2193198742</v>
      </c>
      <c r="CU11" s="70">
        <f t="shared" si="1"/>
        <v>1374937.3976799161</v>
      </c>
      <c r="CV11" s="70">
        <f t="shared" si="35"/>
        <v>1184.2193198741879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27.56</v>
      </c>
      <c r="E12" s="102">
        <v>13.4</v>
      </c>
      <c r="F12" s="98">
        <f t="shared" si="2"/>
        <v>16.535999999999998</v>
      </c>
      <c r="G12" s="98">
        <f t="shared" si="2"/>
        <v>8.0399999999999991</v>
      </c>
      <c r="H12" s="98"/>
      <c r="I12" s="98"/>
      <c r="J12" s="98">
        <f t="shared" si="3"/>
        <v>0</v>
      </c>
      <c r="K12" s="98">
        <f t="shared" si="4"/>
        <v>0</v>
      </c>
      <c r="L12" s="103">
        <v>50.54</v>
      </c>
      <c r="M12" s="98">
        <f t="shared" si="5"/>
        <v>50.54</v>
      </c>
      <c r="N12" s="99"/>
      <c r="O12" s="99"/>
      <c r="P12" s="98">
        <f t="shared" si="6"/>
        <v>0</v>
      </c>
      <c r="Q12" s="98">
        <f t="shared" si="7"/>
        <v>0</v>
      </c>
      <c r="R12" s="103">
        <v>21.42</v>
      </c>
      <c r="S12" s="98">
        <f t="shared" si="8"/>
        <v>23.990400000000005</v>
      </c>
      <c r="T12" s="103">
        <v>30.63</v>
      </c>
      <c r="U12" s="98">
        <v>3.59</v>
      </c>
      <c r="V12" s="98">
        <f t="shared" si="9"/>
        <v>34.611899999999999</v>
      </c>
      <c r="W12" s="98">
        <f t="shared" si="10"/>
        <v>4.0208000000000004</v>
      </c>
      <c r="X12" s="120">
        <v>427</v>
      </c>
      <c r="Y12" s="120">
        <v>71</v>
      </c>
      <c r="Z12" s="119"/>
      <c r="AA12" s="121">
        <f t="shared" si="11"/>
        <v>320.25</v>
      </c>
      <c r="AB12" s="121">
        <f t="shared" si="12"/>
        <v>53.25</v>
      </c>
      <c r="AC12" s="119"/>
      <c r="AD12" s="119"/>
      <c r="AE12" s="121">
        <f t="shared" si="13"/>
        <v>0</v>
      </c>
      <c r="AF12" s="121">
        <f t="shared" si="13"/>
        <v>0</v>
      </c>
      <c r="AG12" s="98"/>
      <c r="AH12" s="98"/>
      <c r="AI12" s="98">
        <f t="shared" si="14"/>
        <v>0</v>
      </c>
      <c r="AJ12" s="98">
        <f t="shared" si="14"/>
        <v>0</v>
      </c>
      <c r="AK12" s="103">
        <v>16.82</v>
      </c>
      <c r="AL12" s="98">
        <v>3.24</v>
      </c>
      <c r="AM12" s="98">
        <f t="shared" si="15"/>
        <v>19.006599999999999</v>
      </c>
      <c r="AN12" s="98">
        <f t="shared" si="16"/>
        <v>3.6288000000000005</v>
      </c>
      <c r="AO12" s="98"/>
      <c r="AP12" s="98"/>
      <c r="AQ12" s="131"/>
      <c r="AR12" s="131">
        <v>0</v>
      </c>
      <c r="AS12" s="99"/>
      <c r="AT12" s="98">
        <f t="shared" si="17"/>
        <v>0</v>
      </c>
      <c r="AU12" s="99">
        <v>16.100000000000001</v>
      </c>
      <c r="AV12" s="149">
        <f>AU12*$C$3</f>
        <v>18.032000000000004</v>
      </c>
      <c r="AW12" s="98">
        <v>93.12</v>
      </c>
      <c r="AX12" s="98">
        <v>11.21</v>
      </c>
      <c r="AY12" s="99"/>
      <c r="AZ12" s="98">
        <f t="shared" si="19"/>
        <v>0</v>
      </c>
      <c r="BA12" s="99"/>
      <c r="BB12" s="99"/>
      <c r="BC12" s="99"/>
      <c r="BD12" s="99"/>
      <c r="BE12" s="98">
        <f t="shared" si="20"/>
        <v>0</v>
      </c>
      <c r="BF12" s="98">
        <f t="shared" si="21"/>
        <v>0</v>
      </c>
      <c r="BG12" s="98">
        <v>88.12</v>
      </c>
      <c r="BH12" s="98">
        <v>0</v>
      </c>
      <c r="BI12" s="98">
        <f t="shared" si="22"/>
        <v>98.694400000000016</v>
      </c>
      <c r="BJ12" s="98">
        <f t="shared" si="23"/>
        <v>0</v>
      </c>
      <c r="BK12" s="99"/>
      <c r="BL12" s="99"/>
      <c r="BM12" s="98"/>
      <c r="BN12" s="98">
        <f t="shared" si="24"/>
        <v>0</v>
      </c>
      <c r="BO12" s="105">
        <v>5.77</v>
      </c>
      <c r="BP12" s="149">
        <f t="shared" si="25"/>
        <v>6.4623999999999997</v>
      </c>
      <c r="BQ12" s="113"/>
      <c r="BR12" s="113"/>
      <c r="BS12" s="104">
        <f t="shared" si="26"/>
        <v>0</v>
      </c>
      <c r="BT12" s="104">
        <f t="shared" si="27"/>
        <v>0</v>
      </c>
      <c r="BU12" s="105">
        <v>1.75</v>
      </c>
      <c r="BV12" s="105">
        <v>0</v>
      </c>
      <c r="BW12" s="142">
        <f t="shared" si="28"/>
        <v>2.2983332750000001</v>
      </c>
      <c r="BX12" s="142">
        <f t="shared" si="29"/>
        <v>0</v>
      </c>
      <c r="BY12" s="111"/>
      <c r="BZ12" s="111"/>
      <c r="CA12" s="142">
        <f t="shared" si="30"/>
        <v>0</v>
      </c>
      <c r="CB12" s="142">
        <f t="shared" si="30"/>
        <v>0</v>
      </c>
      <c r="CC12" s="109"/>
      <c r="CD12" s="109"/>
      <c r="CE12" s="98">
        <f t="shared" si="31"/>
        <v>0</v>
      </c>
      <c r="CF12" s="107">
        <f t="shared" si="31"/>
        <v>0</v>
      </c>
      <c r="CG12" s="89"/>
      <c r="CH12" s="65">
        <f t="shared" si="32"/>
        <v>1804000</v>
      </c>
      <c r="CI12" s="73"/>
      <c r="CJ12" s="73"/>
      <c r="CK12" s="66">
        <v>1582000</v>
      </c>
      <c r="CL12" s="73"/>
      <c r="CM12" s="66">
        <v>222000</v>
      </c>
      <c r="CN12" s="73"/>
      <c r="CO12" s="73"/>
      <c r="CP12" s="90"/>
      <c r="CQ12" s="68">
        <v>0</v>
      </c>
      <c r="CR12" s="69">
        <f t="shared" si="33"/>
        <v>485.82283327499999</v>
      </c>
      <c r="CS12" s="69">
        <f t="shared" si="34"/>
        <v>277.86880000000002</v>
      </c>
      <c r="CT12" s="70">
        <f t="shared" si="0"/>
        <v>1776599.4874464751</v>
      </c>
      <c r="CU12" s="70">
        <f t="shared" si="1"/>
        <v>1184399.6582976503</v>
      </c>
      <c r="CV12" s="70">
        <f t="shared" si="35"/>
        <v>-27400.512553524924</v>
      </c>
      <c r="CW12" s="67" t="s">
        <v>135</v>
      </c>
      <c r="CX12" s="116">
        <v>250000</v>
      </c>
    </row>
    <row r="13" spans="1:102">
      <c r="A13" s="18"/>
      <c r="B13" s="94" t="s">
        <v>142</v>
      </c>
      <c r="C13" s="92" t="s">
        <v>143</v>
      </c>
      <c r="D13" s="102">
        <v>12.6</v>
      </c>
      <c r="E13" s="102">
        <v>1.8</v>
      </c>
      <c r="F13" s="98">
        <f t="shared" si="2"/>
        <v>7.56</v>
      </c>
      <c r="G13" s="98">
        <f t="shared" si="2"/>
        <v>1.08</v>
      </c>
      <c r="H13" s="119">
        <v>0</v>
      </c>
      <c r="I13" s="119">
        <v>0</v>
      </c>
      <c r="J13" s="98">
        <f t="shared" si="3"/>
        <v>0</v>
      </c>
      <c r="K13" s="98">
        <f t="shared" si="4"/>
        <v>0</v>
      </c>
      <c r="L13" s="103">
        <v>7.08</v>
      </c>
      <c r="M13" s="98">
        <f t="shared" si="5"/>
        <v>7.08</v>
      </c>
      <c r="N13" s="98">
        <v>3.88</v>
      </c>
      <c r="O13" s="98">
        <v>0</v>
      </c>
      <c r="P13" s="98">
        <f t="shared" si="6"/>
        <v>4.3843999999999994</v>
      </c>
      <c r="Q13" s="98">
        <f t="shared" si="7"/>
        <v>0</v>
      </c>
      <c r="R13" s="103">
        <v>37.46</v>
      </c>
      <c r="S13" s="98">
        <f t="shared" si="8"/>
        <v>41.955200000000005</v>
      </c>
      <c r="T13" s="103">
        <v>2.2599999999999998</v>
      </c>
      <c r="U13" s="98">
        <v>0.28000000000000003</v>
      </c>
      <c r="V13" s="98">
        <f t="shared" si="9"/>
        <v>2.5537999999999994</v>
      </c>
      <c r="W13" s="98">
        <f t="shared" si="10"/>
        <v>0.31360000000000005</v>
      </c>
      <c r="X13" s="120">
        <v>57</v>
      </c>
      <c r="Y13" s="120">
        <v>0</v>
      </c>
      <c r="Z13" s="110"/>
      <c r="AA13" s="121">
        <f t="shared" si="11"/>
        <v>42.75</v>
      </c>
      <c r="AB13" s="121">
        <f t="shared" si="12"/>
        <v>0</v>
      </c>
      <c r="AC13" s="110"/>
      <c r="AD13" s="110"/>
      <c r="AE13" s="121">
        <f t="shared" si="13"/>
        <v>0</v>
      </c>
      <c r="AF13" s="121">
        <f t="shared" si="13"/>
        <v>0</v>
      </c>
      <c r="AG13" s="98"/>
      <c r="AH13" s="98"/>
      <c r="AI13" s="98">
        <f t="shared" si="14"/>
        <v>0</v>
      </c>
      <c r="AJ13" s="98">
        <f t="shared" si="14"/>
        <v>0</v>
      </c>
      <c r="AK13" s="103">
        <v>7.67</v>
      </c>
      <c r="AL13" s="98">
        <v>2.93</v>
      </c>
      <c r="AM13" s="98">
        <f t="shared" si="15"/>
        <v>8.6670999999999996</v>
      </c>
      <c r="AN13" s="98">
        <f t="shared" si="16"/>
        <v>3.2816000000000005</v>
      </c>
      <c r="AO13" s="98"/>
      <c r="AP13" s="98"/>
      <c r="AQ13" s="131">
        <v>13.51</v>
      </c>
      <c r="AR13" s="131">
        <v>0</v>
      </c>
      <c r="AS13" s="99"/>
      <c r="AT13" s="98">
        <f t="shared" si="17"/>
        <v>0</v>
      </c>
      <c r="AU13" s="99">
        <v>58.5</v>
      </c>
      <c r="AV13" s="149">
        <f t="shared" si="18"/>
        <v>65.52000000000001</v>
      </c>
      <c r="AW13" s="98">
        <v>113.69</v>
      </c>
      <c r="AX13" s="98">
        <v>0</v>
      </c>
      <c r="AY13" s="101"/>
      <c r="AZ13" s="98">
        <f t="shared" si="19"/>
        <v>0</v>
      </c>
      <c r="BA13" s="98"/>
      <c r="BB13" s="98"/>
      <c r="BC13" s="99"/>
      <c r="BD13" s="99"/>
      <c r="BE13" s="98">
        <f t="shared" si="20"/>
        <v>0</v>
      </c>
      <c r="BF13" s="98">
        <f t="shared" si="21"/>
        <v>0</v>
      </c>
      <c r="BG13" s="98">
        <v>16.34</v>
      </c>
      <c r="BH13" s="98">
        <v>4.6900000000000004</v>
      </c>
      <c r="BI13" s="98">
        <f t="shared" si="22"/>
        <v>18.300800000000002</v>
      </c>
      <c r="BJ13" s="98">
        <f t="shared" si="23"/>
        <v>5.2528000000000006</v>
      </c>
      <c r="BK13" s="100"/>
      <c r="BL13" s="100"/>
      <c r="BM13" s="98"/>
      <c r="BN13" s="98">
        <f t="shared" si="24"/>
        <v>0</v>
      </c>
      <c r="BO13" s="105">
        <v>0.2</v>
      </c>
      <c r="BP13" s="149">
        <f t="shared" si="25"/>
        <v>0.22400000000000003</v>
      </c>
      <c r="BQ13" s="112"/>
      <c r="BR13" s="112"/>
      <c r="BS13" s="104">
        <f t="shared" si="26"/>
        <v>0</v>
      </c>
      <c r="BT13" s="104">
        <f t="shared" si="27"/>
        <v>0</v>
      </c>
      <c r="BU13" s="105">
        <v>0</v>
      </c>
      <c r="BV13" s="105">
        <v>0</v>
      </c>
      <c r="BW13" s="142">
        <f t="shared" si="28"/>
        <v>0</v>
      </c>
      <c r="BX13" s="142">
        <f t="shared" si="29"/>
        <v>0</v>
      </c>
      <c r="BY13" s="110"/>
      <c r="BZ13" s="110"/>
      <c r="CA13" s="142">
        <f t="shared" si="30"/>
        <v>0</v>
      </c>
      <c r="CB13" s="142">
        <f t="shared" si="30"/>
        <v>0</v>
      </c>
      <c r="CC13" s="106"/>
      <c r="CD13" s="106"/>
      <c r="CE13" s="98">
        <f t="shared" si="31"/>
        <v>0</v>
      </c>
      <c r="CF13" s="107">
        <f t="shared" si="31"/>
        <v>0</v>
      </c>
      <c r="CG13" s="81"/>
      <c r="CH13" s="65">
        <f t="shared" si="32"/>
        <v>802000</v>
      </c>
      <c r="CI13" s="74"/>
      <c r="CJ13" s="74"/>
      <c r="CK13" s="54">
        <v>752000</v>
      </c>
      <c r="CL13" s="74"/>
      <c r="CM13" s="54">
        <v>50000</v>
      </c>
      <c r="CN13" s="74"/>
      <c r="CO13" s="74"/>
      <c r="CP13" s="90"/>
      <c r="CQ13" s="68">
        <v>0</v>
      </c>
      <c r="CR13" s="69">
        <f t="shared" si="33"/>
        <v>193.11529999999999</v>
      </c>
      <c r="CS13" s="69">
        <f t="shared" si="34"/>
        <v>137.7552</v>
      </c>
      <c r="CT13" s="70">
        <f t="shared" si="0"/>
        <v>787199.50361999997</v>
      </c>
      <c r="CU13" s="70">
        <f t="shared" si="1"/>
        <v>519565.25387999997</v>
      </c>
      <c r="CV13" s="70">
        <f t="shared" si="35"/>
        <v>-14800.496380000026</v>
      </c>
      <c r="CW13" s="55" t="s">
        <v>144</v>
      </c>
      <c r="CX13" s="118">
        <v>0</v>
      </c>
    </row>
    <row r="14" spans="1:102">
      <c r="A14" s="18"/>
      <c r="B14" s="94" t="s">
        <v>145</v>
      </c>
      <c r="C14" s="92" t="s">
        <v>146</v>
      </c>
      <c r="D14" s="102">
        <v>26</v>
      </c>
      <c r="E14" s="102">
        <v>1.9</v>
      </c>
      <c r="F14" s="98">
        <f t="shared" si="2"/>
        <v>15.6</v>
      </c>
      <c r="G14" s="98">
        <f t="shared" si="2"/>
        <v>1.1399999999999999</v>
      </c>
      <c r="H14" s="110"/>
      <c r="I14" s="110"/>
      <c r="J14" s="98">
        <f t="shared" si="3"/>
        <v>0</v>
      </c>
      <c r="K14" s="98">
        <f t="shared" si="4"/>
        <v>0</v>
      </c>
      <c r="L14" s="103">
        <v>76.92</v>
      </c>
      <c r="M14" s="98">
        <f t="shared" si="5"/>
        <v>76.92</v>
      </c>
      <c r="N14" s="98"/>
      <c r="O14" s="98"/>
      <c r="P14" s="98">
        <f t="shared" si="6"/>
        <v>0</v>
      </c>
      <c r="Q14" s="98">
        <f t="shared" si="7"/>
        <v>0</v>
      </c>
      <c r="R14" s="103">
        <v>90.83</v>
      </c>
      <c r="S14" s="98">
        <f t="shared" si="8"/>
        <v>101.7296</v>
      </c>
      <c r="T14" s="103">
        <v>54.64</v>
      </c>
      <c r="U14" s="98">
        <v>36.270000000000003</v>
      </c>
      <c r="V14" s="98">
        <f t="shared" si="9"/>
        <v>61.743199999999995</v>
      </c>
      <c r="W14" s="98">
        <f t="shared" si="10"/>
        <v>40.622400000000006</v>
      </c>
      <c r="X14" s="120">
        <v>0</v>
      </c>
      <c r="Y14" s="120">
        <v>0</v>
      </c>
      <c r="Z14" s="110"/>
      <c r="AA14" s="121">
        <f t="shared" si="11"/>
        <v>0</v>
      </c>
      <c r="AB14" s="121">
        <f t="shared" si="12"/>
        <v>0</v>
      </c>
      <c r="AC14" s="110"/>
      <c r="AD14" s="110"/>
      <c r="AE14" s="121">
        <f t="shared" si="13"/>
        <v>0</v>
      </c>
      <c r="AF14" s="121">
        <f t="shared" si="13"/>
        <v>0</v>
      </c>
      <c r="AG14" s="98"/>
      <c r="AH14" s="98"/>
      <c r="AI14" s="98">
        <f t="shared" si="14"/>
        <v>0</v>
      </c>
      <c r="AJ14" s="98">
        <f t="shared" si="14"/>
        <v>0</v>
      </c>
      <c r="AK14" s="103">
        <v>97.58</v>
      </c>
      <c r="AL14" s="98">
        <v>40.450000000000003</v>
      </c>
      <c r="AM14" s="98">
        <f t="shared" si="15"/>
        <v>110.26539999999999</v>
      </c>
      <c r="AN14" s="98">
        <f t="shared" si="16"/>
        <v>45.304000000000009</v>
      </c>
      <c r="AO14" s="98"/>
      <c r="AP14" s="98"/>
      <c r="AQ14" s="131">
        <v>24.53</v>
      </c>
      <c r="AR14" s="131">
        <v>0</v>
      </c>
      <c r="AS14" s="99"/>
      <c r="AT14" s="98">
        <f t="shared" si="17"/>
        <v>0</v>
      </c>
      <c r="AU14" s="99">
        <v>72.099999999999994</v>
      </c>
      <c r="AV14" s="149">
        <f t="shared" si="18"/>
        <v>80.751999999999995</v>
      </c>
      <c r="AW14" s="98">
        <v>19.48</v>
      </c>
      <c r="AX14" s="98">
        <v>19.16</v>
      </c>
      <c r="AY14" s="101"/>
      <c r="AZ14" s="98">
        <f t="shared" si="19"/>
        <v>0</v>
      </c>
      <c r="BA14" s="98"/>
      <c r="BB14" s="98"/>
      <c r="BC14" s="99"/>
      <c r="BD14" s="99"/>
      <c r="BE14" s="98">
        <f t="shared" si="20"/>
        <v>0</v>
      </c>
      <c r="BF14" s="98">
        <f t="shared" si="21"/>
        <v>0</v>
      </c>
      <c r="BG14" s="98">
        <v>192.77</v>
      </c>
      <c r="BH14" s="98">
        <v>39.409999999999997</v>
      </c>
      <c r="BI14" s="98">
        <f t="shared" si="22"/>
        <v>215.90240000000003</v>
      </c>
      <c r="BJ14" s="98">
        <f t="shared" si="23"/>
        <v>44.139200000000002</v>
      </c>
      <c r="BK14" s="100"/>
      <c r="BL14" s="100"/>
      <c r="BM14" s="98"/>
      <c r="BN14" s="98">
        <f t="shared" si="24"/>
        <v>0</v>
      </c>
      <c r="BO14" s="105">
        <v>311.86</v>
      </c>
      <c r="BP14" s="149">
        <f t="shared" si="25"/>
        <v>349.28320000000002</v>
      </c>
      <c r="BQ14" s="112"/>
      <c r="BR14" s="112"/>
      <c r="BS14" s="104">
        <f t="shared" si="26"/>
        <v>0</v>
      </c>
      <c r="BT14" s="104">
        <f t="shared" si="27"/>
        <v>0</v>
      </c>
      <c r="BU14" s="105">
        <v>0</v>
      </c>
      <c r="BV14" s="105">
        <v>0</v>
      </c>
      <c r="BW14" s="142">
        <f t="shared" si="28"/>
        <v>0</v>
      </c>
      <c r="BX14" s="142">
        <f t="shared" si="29"/>
        <v>0</v>
      </c>
      <c r="BY14" s="110"/>
      <c r="BZ14" s="110"/>
      <c r="CA14" s="142">
        <f t="shared" si="30"/>
        <v>0</v>
      </c>
      <c r="CB14" s="142">
        <f t="shared" si="30"/>
        <v>0</v>
      </c>
      <c r="CC14" s="106"/>
      <c r="CD14" s="106"/>
      <c r="CE14" s="98">
        <f t="shared" si="31"/>
        <v>0</v>
      </c>
      <c r="CF14" s="107">
        <f t="shared" si="31"/>
        <v>0</v>
      </c>
      <c r="CG14" s="81"/>
      <c r="CH14" s="65">
        <f t="shared" si="32"/>
        <v>2890000</v>
      </c>
      <c r="CI14" s="74"/>
      <c r="CJ14" s="74"/>
      <c r="CK14" s="54">
        <v>2090000</v>
      </c>
      <c r="CL14" s="74"/>
      <c r="CM14" s="54">
        <v>800000</v>
      </c>
      <c r="CN14" s="74"/>
      <c r="CO14" s="74"/>
      <c r="CP14" s="90"/>
      <c r="CQ14" s="68">
        <v>0</v>
      </c>
      <c r="CR14" s="69">
        <f t="shared" si="33"/>
        <v>231.61859999999999</v>
      </c>
      <c r="CS14" s="69">
        <f t="shared" si="34"/>
        <v>930.81360000000006</v>
      </c>
      <c r="CT14" s="70">
        <f t="shared" si="0"/>
        <v>2888262.9195600003</v>
      </c>
      <c r="CU14" s="70">
        <f t="shared" si="1"/>
        <v>1881523.9002400003</v>
      </c>
      <c r="CV14" s="70">
        <f t="shared" si="35"/>
        <v>-1737.0804399996996</v>
      </c>
      <c r="CW14" s="55" t="s">
        <v>147</v>
      </c>
      <c r="CX14" s="118">
        <v>320000</v>
      </c>
    </row>
    <row r="15" spans="1:102">
      <c r="A15" s="132"/>
      <c r="B15" s="94" t="s">
        <v>153</v>
      </c>
      <c r="C15" s="92" t="s">
        <v>154</v>
      </c>
      <c r="D15" s="102">
        <v>1.3</v>
      </c>
      <c r="E15" s="102">
        <v>23.3</v>
      </c>
      <c r="F15" s="98">
        <f t="shared" si="2"/>
        <v>0.78</v>
      </c>
      <c r="G15" s="98">
        <f t="shared" si="2"/>
        <v>13.98</v>
      </c>
      <c r="H15" s="119"/>
      <c r="I15" s="119"/>
      <c r="J15" s="98">
        <f t="shared" si="3"/>
        <v>0</v>
      </c>
      <c r="K15" s="98">
        <f t="shared" si="4"/>
        <v>0</v>
      </c>
      <c r="L15" s="103"/>
      <c r="M15" s="98">
        <f t="shared" si="5"/>
        <v>0</v>
      </c>
      <c r="N15" s="98">
        <v>12.51</v>
      </c>
      <c r="O15" s="98">
        <v>21.03</v>
      </c>
      <c r="P15" s="98">
        <f t="shared" si="6"/>
        <v>14.136299999999999</v>
      </c>
      <c r="Q15" s="98">
        <f t="shared" si="7"/>
        <v>23.553600000000003</v>
      </c>
      <c r="R15" s="103">
        <v>200.32</v>
      </c>
      <c r="S15" s="98">
        <f t="shared" si="8"/>
        <v>224.35840000000002</v>
      </c>
      <c r="T15" s="103">
        <v>23.18</v>
      </c>
      <c r="U15" s="98">
        <v>27.26</v>
      </c>
      <c r="V15" s="98">
        <f t="shared" si="9"/>
        <v>26.193399999999997</v>
      </c>
      <c r="W15" s="98">
        <f t="shared" si="10"/>
        <v>30.531200000000005</v>
      </c>
      <c r="X15" s="120">
        <v>18</v>
      </c>
      <c r="Y15" s="120">
        <v>15</v>
      </c>
      <c r="Z15" s="110"/>
      <c r="AA15" s="121">
        <f t="shared" si="11"/>
        <v>13.5</v>
      </c>
      <c r="AB15" s="121">
        <f t="shared" si="12"/>
        <v>11.25</v>
      </c>
      <c r="AC15" s="110"/>
      <c r="AD15" s="110"/>
      <c r="AE15" s="121">
        <f t="shared" si="13"/>
        <v>0</v>
      </c>
      <c r="AF15" s="121">
        <f t="shared" si="13"/>
        <v>0</v>
      </c>
      <c r="AG15" s="98"/>
      <c r="AH15" s="98"/>
      <c r="AI15" s="98">
        <f t="shared" si="14"/>
        <v>0</v>
      </c>
      <c r="AJ15" s="98">
        <f t="shared" si="14"/>
        <v>0</v>
      </c>
      <c r="AK15" s="103">
        <v>105.99</v>
      </c>
      <c r="AL15" s="98">
        <v>101.45</v>
      </c>
      <c r="AM15" s="98">
        <f t="shared" si="15"/>
        <v>119.76869999999998</v>
      </c>
      <c r="AN15" s="98">
        <f t="shared" si="16"/>
        <v>113.62400000000001</v>
      </c>
      <c r="AO15" s="98"/>
      <c r="AP15" s="98"/>
      <c r="AQ15" s="131"/>
      <c r="AR15" s="131"/>
      <c r="AS15" s="99"/>
      <c r="AT15" s="98">
        <f t="shared" si="17"/>
        <v>0</v>
      </c>
      <c r="AU15" s="99"/>
      <c r="AV15" s="149">
        <f t="shared" si="18"/>
        <v>0</v>
      </c>
      <c r="AW15" s="98"/>
      <c r="AX15" s="98"/>
      <c r="AY15" s="101"/>
      <c r="AZ15" s="98">
        <f t="shared" si="19"/>
        <v>0</v>
      </c>
      <c r="BA15" s="98"/>
      <c r="BB15" s="98"/>
      <c r="BC15" s="99"/>
      <c r="BD15" s="99"/>
      <c r="BE15" s="98">
        <f t="shared" si="20"/>
        <v>0</v>
      </c>
      <c r="BF15" s="98">
        <f t="shared" si="21"/>
        <v>0</v>
      </c>
      <c r="BG15" s="98">
        <v>143.26</v>
      </c>
      <c r="BH15" s="98">
        <v>1.05</v>
      </c>
      <c r="BI15" s="98">
        <f t="shared" si="22"/>
        <v>160.4512</v>
      </c>
      <c r="BJ15" s="98">
        <f t="shared" si="23"/>
        <v>1.1760000000000002</v>
      </c>
      <c r="BK15" s="100"/>
      <c r="BL15" s="100"/>
      <c r="BM15" s="98"/>
      <c r="BN15" s="98">
        <f t="shared" si="24"/>
        <v>0</v>
      </c>
      <c r="BO15" s="105">
        <v>83.15</v>
      </c>
      <c r="BP15" s="149">
        <f t="shared" si="25"/>
        <v>93.128000000000014</v>
      </c>
      <c r="BQ15" s="112"/>
      <c r="BR15" s="112"/>
      <c r="BS15" s="104">
        <f t="shared" si="26"/>
        <v>0</v>
      </c>
      <c r="BT15" s="104">
        <f t="shared" si="27"/>
        <v>0</v>
      </c>
      <c r="BU15" s="105">
        <v>39.450000000000003</v>
      </c>
      <c r="BV15" s="105">
        <v>21.7</v>
      </c>
      <c r="BW15" s="142">
        <f t="shared" si="28"/>
        <v>51.810998685000008</v>
      </c>
      <c r="BX15" s="142">
        <f t="shared" si="29"/>
        <v>28.427</v>
      </c>
      <c r="BY15" s="110">
        <v>37.56</v>
      </c>
      <c r="BZ15" s="110">
        <v>87.8</v>
      </c>
      <c r="CA15" s="142">
        <f t="shared" si="30"/>
        <v>18.78</v>
      </c>
      <c r="CB15" s="142">
        <f t="shared" si="30"/>
        <v>43.9</v>
      </c>
      <c r="CC15" s="106">
        <v>769</v>
      </c>
      <c r="CD15" s="106">
        <v>1476</v>
      </c>
      <c r="CE15" s="98">
        <f t="shared" si="31"/>
        <v>38.450000000000003</v>
      </c>
      <c r="CF15" s="107">
        <f t="shared" si="31"/>
        <v>73.8</v>
      </c>
      <c r="CG15" s="81"/>
      <c r="CH15" s="65">
        <f t="shared" si="32"/>
        <v>2610000</v>
      </c>
      <c r="CI15" s="74"/>
      <c r="CJ15" s="74"/>
      <c r="CK15" s="54">
        <v>1210000</v>
      </c>
      <c r="CL15" s="74"/>
      <c r="CM15" s="54">
        <v>1400000</v>
      </c>
      <c r="CN15" s="74"/>
      <c r="CO15" s="74"/>
      <c r="CP15" s="90"/>
      <c r="CQ15" s="68">
        <v>0</v>
      </c>
      <c r="CR15" s="69">
        <f t="shared" si="33"/>
        <v>283.41939868499998</v>
      </c>
      <c r="CS15" s="69">
        <f t="shared" si="34"/>
        <v>817.00340000000006</v>
      </c>
      <c r="CT15" s="70">
        <f t="shared" si="0"/>
        <v>2606207.9870299646</v>
      </c>
      <c r="CU15" s="70">
        <f t="shared" si="1"/>
        <v>1736300.1073533101</v>
      </c>
      <c r="CV15" s="70">
        <f t="shared" si="35"/>
        <v>-3792.01297003543</v>
      </c>
      <c r="CW15" s="55"/>
      <c r="CX15" s="118"/>
    </row>
    <row r="16" spans="1:102">
      <c r="A16" s="18"/>
      <c r="B16" s="94" t="s">
        <v>157</v>
      </c>
      <c r="C16" s="92" t="s">
        <v>158</v>
      </c>
      <c r="D16" s="102">
        <v>0</v>
      </c>
      <c r="E16" s="102">
        <v>0</v>
      </c>
      <c r="F16" s="98">
        <f t="shared" si="2"/>
        <v>0</v>
      </c>
      <c r="G16" s="98">
        <f t="shared" si="2"/>
        <v>0</v>
      </c>
      <c r="H16" s="110"/>
      <c r="I16" s="110"/>
      <c r="J16" s="98">
        <f t="shared" si="3"/>
        <v>0</v>
      </c>
      <c r="K16" s="98">
        <f t="shared" si="4"/>
        <v>0</v>
      </c>
      <c r="L16" s="103"/>
      <c r="M16" s="98">
        <f t="shared" si="5"/>
        <v>0</v>
      </c>
      <c r="N16" s="98"/>
      <c r="O16" s="98"/>
      <c r="P16" s="98">
        <f t="shared" si="6"/>
        <v>0</v>
      </c>
      <c r="Q16" s="98">
        <f t="shared" si="7"/>
        <v>0</v>
      </c>
      <c r="R16" s="103">
        <v>20.07</v>
      </c>
      <c r="S16" s="98">
        <f t="shared" si="8"/>
        <v>22.478400000000004</v>
      </c>
      <c r="T16" s="103">
        <v>7.0000000000000007E-2</v>
      </c>
      <c r="U16" s="98">
        <v>16.260000000000002</v>
      </c>
      <c r="V16" s="98">
        <f t="shared" si="9"/>
        <v>7.9100000000000004E-2</v>
      </c>
      <c r="W16" s="98">
        <f t="shared" si="10"/>
        <v>18.211200000000005</v>
      </c>
      <c r="X16" s="120">
        <v>0</v>
      </c>
      <c r="Y16" s="120">
        <v>0</v>
      </c>
      <c r="Z16" s="110"/>
      <c r="AA16" s="121">
        <f t="shared" si="11"/>
        <v>0</v>
      </c>
      <c r="AB16" s="121">
        <f t="shared" si="12"/>
        <v>0</v>
      </c>
      <c r="AC16" s="110"/>
      <c r="AD16" s="110"/>
      <c r="AE16" s="121">
        <f t="shared" si="13"/>
        <v>0</v>
      </c>
      <c r="AF16" s="121">
        <f t="shared" si="13"/>
        <v>0</v>
      </c>
      <c r="AG16" s="98">
        <v>0</v>
      </c>
      <c r="AH16" s="98">
        <v>0</v>
      </c>
      <c r="AI16" s="98">
        <f t="shared" si="14"/>
        <v>0</v>
      </c>
      <c r="AJ16" s="98">
        <f t="shared" si="14"/>
        <v>0</v>
      </c>
      <c r="AK16" s="103">
        <v>7.36</v>
      </c>
      <c r="AL16" s="98">
        <v>11.96</v>
      </c>
      <c r="AM16" s="98">
        <f t="shared" si="15"/>
        <v>8.3167999999999989</v>
      </c>
      <c r="AN16" s="98">
        <f t="shared" si="16"/>
        <v>13.395200000000003</v>
      </c>
      <c r="AO16" s="98"/>
      <c r="AP16" s="98"/>
      <c r="AQ16" s="131">
        <v>2.04</v>
      </c>
      <c r="AR16" s="131">
        <v>1.88</v>
      </c>
      <c r="AS16" s="99"/>
      <c r="AT16" s="98">
        <f t="shared" si="17"/>
        <v>0</v>
      </c>
      <c r="AU16" s="99"/>
      <c r="AV16" s="149">
        <f t="shared" si="18"/>
        <v>0</v>
      </c>
      <c r="AW16" s="98">
        <v>12.09</v>
      </c>
      <c r="AX16" s="98">
        <v>48.73</v>
      </c>
      <c r="AY16" s="101"/>
      <c r="AZ16" s="98">
        <f t="shared" si="19"/>
        <v>0</v>
      </c>
      <c r="BA16" s="98"/>
      <c r="BB16" s="98"/>
      <c r="BC16" s="99"/>
      <c r="BD16" s="99"/>
      <c r="BE16" s="98">
        <f t="shared" si="20"/>
        <v>0</v>
      </c>
      <c r="BF16" s="98">
        <f t="shared" si="21"/>
        <v>0</v>
      </c>
      <c r="BG16" s="99"/>
      <c r="BH16" s="99"/>
      <c r="BI16" s="98">
        <f t="shared" si="22"/>
        <v>0</v>
      </c>
      <c r="BJ16" s="98">
        <f t="shared" si="23"/>
        <v>0</v>
      </c>
      <c r="BK16" s="100"/>
      <c r="BL16" s="100"/>
      <c r="BM16" s="98"/>
      <c r="BN16" s="98">
        <f t="shared" si="24"/>
        <v>0</v>
      </c>
      <c r="BO16" s="105">
        <v>37.369999999999997</v>
      </c>
      <c r="BP16" s="149">
        <f t="shared" si="25"/>
        <v>41.854399999999998</v>
      </c>
      <c r="BQ16" s="112"/>
      <c r="BR16" s="112"/>
      <c r="BS16" s="104">
        <f t="shared" si="26"/>
        <v>0</v>
      </c>
      <c r="BT16" s="104">
        <f t="shared" si="27"/>
        <v>0</v>
      </c>
      <c r="BU16" s="105">
        <v>0</v>
      </c>
      <c r="BV16" s="105">
        <v>0</v>
      </c>
      <c r="BW16" s="142">
        <f t="shared" si="28"/>
        <v>0</v>
      </c>
      <c r="BX16" s="142">
        <f t="shared" si="29"/>
        <v>0</v>
      </c>
      <c r="BY16" s="110">
        <v>0</v>
      </c>
      <c r="BZ16" s="110">
        <v>0</v>
      </c>
      <c r="CA16" s="142">
        <f t="shared" si="30"/>
        <v>0</v>
      </c>
      <c r="CB16" s="142">
        <f t="shared" si="30"/>
        <v>0</v>
      </c>
      <c r="CC16" s="106"/>
      <c r="CD16" s="106"/>
      <c r="CE16" s="98">
        <f t="shared" si="31"/>
        <v>0</v>
      </c>
      <c r="CF16" s="107">
        <f t="shared" si="31"/>
        <v>0</v>
      </c>
      <c r="CG16" s="81"/>
      <c r="CH16" s="65">
        <f t="shared" si="32"/>
        <v>402000</v>
      </c>
      <c r="CI16" s="74"/>
      <c r="CJ16" s="74"/>
      <c r="CK16" s="54">
        <v>82000</v>
      </c>
      <c r="CL16" s="74"/>
      <c r="CM16" s="54">
        <v>320000</v>
      </c>
      <c r="CN16" s="74"/>
      <c r="CO16" s="74"/>
      <c r="CP16" s="90"/>
      <c r="CQ16" s="68">
        <v>0</v>
      </c>
      <c r="CR16" s="69">
        <f t="shared" si="33"/>
        <v>22.5259</v>
      </c>
      <c r="CS16" s="69">
        <f t="shared" si="34"/>
        <v>146.54920000000001</v>
      </c>
      <c r="CT16" s="70">
        <f t="shared" si="0"/>
        <v>402048.85182000004</v>
      </c>
      <c r="CU16" s="70">
        <f t="shared" si="1"/>
        <v>268032.56788000005</v>
      </c>
      <c r="CV16" s="70">
        <f t="shared" si="35"/>
        <v>48.851820000039879</v>
      </c>
      <c r="CW16" s="55"/>
      <c r="CX16" s="118"/>
    </row>
    <row r="17" spans="1:102">
      <c r="A17" s="18" t="s">
        <v>166</v>
      </c>
      <c r="B17" s="94" t="s">
        <v>167</v>
      </c>
      <c r="C17" s="92" t="s">
        <v>168</v>
      </c>
      <c r="D17" s="102">
        <v>0</v>
      </c>
      <c r="E17" s="102">
        <v>0</v>
      </c>
      <c r="F17" s="98">
        <f t="shared" si="2"/>
        <v>0</v>
      </c>
      <c r="G17" s="98">
        <f t="shared" si="2"/>
        <v>0</v>
      </c>
      <c r="H17" s="110"/>
      <c r="I17" s="110"/>
      <c r="J17" s="98">
        <f t="shared" si="3"/>
        <v>0</v>
      </c>
      <c r="K17" s="98">
        <f t="shared" si="4"/>
        <v>0</v>
      </c>
      <c r="L17" s="103">
        <v>7.04</v>
      </c>
      <c r="M17" s="98">
        <f t="shared" si="5"/>
        <v>7.04</v>
      </c>
      <c r="N17" s="98"/>
      <c r="O17" s="98"/>
      <c r="P17" s="98">
        <f t="shared" si="6"/>
        <v>0</v>
      </c>
      <c r="Q17" s="98">
        <f t="shared" si="7"/>
        <v>0</v>
      </c>
      <c r="R17" s="103">
        <v>20.67</v>
      </c>
      <c r="S17" s="98">
        <f t="shared" si="8"/>
        <v>23.150400000000005</v>
      </c>
      <c r="T17" s="103">
        <v>0</v>
      </c>
      <c r="U17" s="98">
        <v>0</v>
      </c>
      <c r="V17" s="98">
        <f t="shared" si="9"/>
        <v>0</v>
      </c>
      <c r="W17" s="98">
        <f t="shared" si="10"/>
        <v>0</v>
      </c>
      <c r="X17" s="120">
        <v>0</v>
      </c>
      <c r="Y17" s="120">
        <v>0</v>
      </c>
      <c r="Z17" s="110"/>
      <c r="AA17" s="121">
        <f t="shared" si="11"/>
        <v>0</v>
      </c>
      <c r="AB17" s="121">
        <f t="shared" si="12"/>
        <v>0</v>
      </c>
      <c r="AC17" s="110"/>
      <c r="AD17" s="110"/>
      <c r="AE17" s="121">
        <f t="shared" si="13"/>
        <v>0</v>
      </c>
      <c r="AF17" s="121">
        <f t="shared" si="13"/>
        <v>0</v>
      </c>
      <c r="AG17" s="98">
        <v>0</v>
      </c>
      <c r="AH17" s="98">
        <v>0</v>
      </c>
      <c r="AI17" s="98">
        <f t="shared" si="14"/>
        <v>0</v>
      </c>
      <c r="AJ17" s="98">
        <f t="shared" si="14"/>
        <v>0</v>
      </c>
      <c r="AK17" s="103">
        <v>12.4</v>
      </c>
      <c r="AL17" s="98">
        <v>10.25</v>
      </c>
      <c r="AM17" s="98">
        <f t="shared" si="15"/>
        <v>14.011999999999999</v>
      </c>
      <c r="AN17" s="98">
        <f t="shared" si="16"/>
        <v>11.48</v>
      </c>
      <c r="AO17" s="98"/>
      <c r="AP17" s="98"/>
      <c r="AQ17" s="131"/>
      <c r="AR17" s="131"/>
      <c r="AS17" s="99"/>
      <c r="AT17" s="98">
        <f t="shared" si="17"/>
        <v>0</v>
      </c>
      <c r="AU17" s="99"/>
      <c r="AV17" s="149">
        <f t="shared" si="18"/>
        <v>0</v>
      </c>
      <c r="AW17" s="98">
        <v>7.06</v>
      </c>
      <c r="AX17" s="98">
        <v>3.83</v>
      </c>
      <c r="AY17" s="101"/>
      <c r="AZ17" s="98">
        <f t="shared" si="19"/>
        <v>0</v>
      </c>
      <c r="BA17" s="98"/>
      <c r="BB17" s="98"/>
      <c r="BC17" s="99">
        <v>0</v>
      </c>
      <c r="BD17" s="99">
        <v>0</v>
      </c>
      <c r="BE17" s="98">
        <f t="shared" si="20"/>
        <v>0</v>
      </c>
      <c r="BF17" s="98">
        <f t="shared" si="21"/>
        <v>0</v>
      </c>
      <c r="BG17" s="99">
        <v>44.34</v>
      </c>
      <c r="BH17" s="99">
        <v>0</v>
      </c>
      <c r="BI17" s="98">
        <f t="shared" si="22"/>
        <v>49.660800000000009</v>
      </c>
      <c r="BJ17" s="98">
        <f t="shared" si="23"/>
        <v>0</v>
      </c>
      <c r="BK17" s="100"/>
      <c r="BL17" s="100"/>
      <c r="BM17" s="98"/>
      <c r="BN17" s="98">
        <f t="shared" si="24"/>
        <v>0</v>
      </c>
      <c r="BO17" s="105">
        <v>10.42</v>
      </c>
      <c r="BP17" s="149">
        <f t="shared" si="25"/>
        <v>11.670400000000001</v>
      </c>
      <c r="BQ17" s="112"/>
      <c r="BR17" s="112"/>
      <c r="BS17" s="104">
        <f t="shared" si="26"/>
        <v>0</v>
      </c>
      <c r="BT17" s="104">
        <f t="shared" si="27"/>
        <v>0</v>
      </c>
      <c r="BU17" s="105">
        <v>0</v>
      </c>
      <c r="BV17" s="105">
        <v>0</v>
      </c>
      <c r="BW17" s="142">
        <f t="shared" si="28"/>
        <v>0</v>
      </c>
      <c r="BX17" s="142">
        <f t="shared" si="29"/>
        <v>0</v>
      </c>
      <c r="BY17" s="110"/>
      <c r="BZ17" s="110"/>
      <c r="CA17" s="142">
        <f t="shared" si="30"/>
        <v>0</v>
      </c>
      <c r="CB17" s="142">
        <f t="shared" si="30"/>
        <v>0</v>
      </c>
      <c r="CC17" s="106"/>
      <c r="CD17" s="106"/>
      <c r="CE17" s="98">
        <f t="shared" si="31"/>
        <v>0</v>
      </c>
      <c r="CF17" s="107">
        <f t="shared" si="31"/>
        <v>0</v>
      </c>
      <c r="CG17" s="81"/>
      <c r="CH17" s="65">
        <f t="shared" si="32"/>
        <v>305000</v>
      </c>
      <c r="CI17" s="74"/>
      <c r="CJ17" s="74"/>
      <c r="CK17" s="54">
        <v>170000</v>
      </c>
      <c r="CL17" s="74"/>
      <c r="CM17" s="54">
        <v>135000</v>
      </c>
      <c r="CN17" s="74"/>
      <c r="CO17" s="74"/>
      <c r="CP17" s="90"/>
      <c r="CQ17" s="68">
        <v>0</v>
      </c>
      <c r="CR17" s="69">
        <f t="shared" si="33"/>
        <v>21.071999999999999</v>
      </c>
      <c r="CS17" s="69">
        <f t="shared" si="34"/>
        <v>106.83160000000001</v>
      </c>
      <c r="CT17" s="70">
        <f t="shared" si="0"/>
        <v>303732.26256</v>
      </c>
      <c r="CU17" s="70">
        <f t="shared" si="1"/>
        <v>202488.17504</v>
      </c>
      <c r="CV17" s="70">
        <f t="shared" si="35"/>
        <v>-1267.7374399999972</v>
      </c>
      <c r="CW17" s="55"/>
      <c r="CX17" s="118"/>
    </row>
    <row r="18" spans="1:102">
      <c r="A18" s="18"/>
      <c r="B18" s="94" t="s">
        <v>178</v>
      </c>
      <c r="C18" s="92" t="s">
        <v>179</v>
      </c>
      <c r="D18" s="102">
        <v>0</v>
      </c>
      <c r="E18" s="102">
        <v>0</v>
      </c>
      <c r="F18" s="98">
        <f t="shared" si="2"/>
        <v>0</v>
      </c>
      <c r="G18" s="98">
        <f t="shared" si="2"/>
        <v>0</v>
      </c>
      <c r="H18" s="110"/>
      <c r="I18" s="110"/>
      <c r="J18" s="98">
        <f t="shared" si="3"/>
        <v>0</v>
      </c>
      <c r="K18" s="98">
        <f t="shared" si="4"/>
        <v>0</v>
      </c>
      <c r="L18" s="103">
        <v>131.85</v>
      </c>
      <c r="M18" s="98">
        <f t="shared" si="5"/>
        <v>131.85</v>
      </c>
      <c r="N18" s="98"/>
      <c r="O18" s="98"/>
      <c r="P18" s="98">
        <f t="shared" si="6"/>
        <v>0</v>
      </c>
      <c r="Q18" s="98">
        <f t="shared" si="7"/>
        <v>0</v>
      </c>
      <c r="R18" s="103">
        <v>0</v>
      </c>
      <c r="S18" s="98">
        <f t="shared" si="8"/>
        <v>0</v>
      </c>
      <c r="T18" s="103">
        <v>0</v>
      </c>
      <c r="U18" s="98">
        <v>0</v>
      </c>
      <c r="V18" s="98">
        <f t="shared" si="9"/>
        <v>0</v>
      </c>
      <c r="W18" s="98">
        <f t="shared" si="10"/>
        <v>0</v>
      </c>
      <c r="X18" s="120">
        <v>0</v>
      </c>
      <c r="Y18" s="120">
        <v>0</v>
      </c>
      <c r="Z18" s="110"/>
      <c r="AA18" s="121">
        <f t="shared" si="11"/>
        <v>0</v>
      </c>
      <c r="AB18" s="121">
        <f t="shared" si="12"/>
        <v>0</v>
      </c>
      <c r="AC18" s="110"/>
      <c r="AD18" s="110"/>
      <c r="AE18" s="121">
        <f t="shared" si="13"/>
        <v>0</v>
      </c>
      <c r="AF18" s="121">
        <f t="shared" si="13"/>
        <v>0</v>
      </c>
      <c r="AG18" s="98">
        <v>0</v>
      </c>
      <c r="AH18" s="98">
        <v>0</v>
      </c>
      <c r="AI18" s="98">
        <f t="shared" si="14"/>
        <v>0</v>
      </c>
      <c r="AJ18" s="98">
        <f t="shared" si="14"/>
        <v>0</v>
      </c>
      <c r="AK18" s="103">
        <v>100.45</v>
      </c>
      <c r="AL18" s="98">
        <v>15.7</v>
      </c>
      <c r="AM18" s="98">
        <f t="shared" si="15"/>
        <v>113.5085</v>
      </c>
      <c r="AN18" s="98">
        <f t="shared" si="16"/>
        <v>17.584</v>
      </c>
      <c r="AO18" s="98">
        <v>1.6</v>
      </c>
      <c r="AP18" s="98">
        <v>0</v>
      </c>
      <c r="AQ18" s="131">
        <v>195.99</v>
      </c>
      <c r="AR18" s="131">
        <v>380.21</v>
      </c>
      <c r="AS18" s="99"/>
      <c r="AT18" s="98">
        <f t="shared" si="17"/>
        <v>0</v>
      </c>
      <c r="AU18" s="99"/>
      <c r="AV18" s="149">
        <f t="shared" si="18"/>
        <v>0</v>
      </c>
      <c r="AW18" s="98">
        <v>0</v>
      </c>
      <c r="AX18" s="98">
        <v>0</v>
      </c>
      <c r="AY18" s="101"/>
      <c r="AZ18" s="98">
        <f t="shared" si="19"/>
        <v>0</v>
      </c>
      <c r="BA18" s="98"/>
      <c r="BB18" s="98"/>
      <c r="BC18" s="99"/>
      <c r="BD18" s="99"/>
      <c r="BE18" s="98">
        <f t="shared" si="20"/>
        <v>0</v>
      </c>
      <c r="BF18" s="98">
        <f t="shared" si="21"/>
        <v>0</v>
      </c>
      <c r="BG18" s="99"/>
      <c r="BH18" s="99"/>
      <c r="BI18" s="98">
        <f t="shared" si="22"/>
        <v>0</v>
      </c>
      <c r="BJ18" s="98">
        <f t="shared" si="23"/>
        <v>0</v>
      </c>
      <c r="BK18" s="100"/>
      <c r="BL18" s="100"/>
      <c r="BM18" s="98"/>
      <c r="BN18" s="98">
        <f t="shared" si="24"/>
        <v>0</v>
      </c>
      <c r="BO18" s="105"/>
      <c r="BP18" s="149">
        <f t="shared" si="25"/>
        <v>0</v>
      </c>
      <c r="BQ18" s="112"/>
      <c r="BR18" s="112"/>
      <c r="BS18" s="104">
        <f t="shared" si="26"/>
        <v>0</v>
      </c>
      <c r="BT18" s="104">
        <f t="shared" si="27"/>
        <v>0</v>
      </c>
      <c r="BU18" s="105">
        <v>0</v>
      </c>
      <c r="BV18" s="105">
        <v>0</v>
      </c>
      <c r="BW18" s="142">
        <f t="shared" si="28"/>
        <v>0</v>
      </c>
      <c r="BX18" s="142">
        <f t="shared" si="29"/>
        <v>0</v>
      </c>
      <c r="BY18" s="110"/>
      <c r="BZ18" s="110"/>
      <c r="CA18" s="142">
        <f t="shared" si="30"/>
        <v>0</v>
      </c>
      <c r="CB18" s="142">
        <f t="shared" si="30"/>
        <v>0</v>
      </c>
      <c r="CC18" s="106"/>
      <c r="CD18" s="106"/>
      <c r="CE18" s="98">
        <f t="shared" si="31"/>
        <v>0</v>
      </c>
      <c r="CF18" s="107">
        <f t="shared" si="31"/>
        <v>0</v>
      </c>
      <c r="CG18" s="81"/>
      <c r="CH18" s="65">
        <f t="shared" si="32"/>
        <v>1965000</v>
      </c>
      <c r="CI18" s="74"/>
      <c r="CJ18" s="74"/>
      <c r="CK18" s="54">
        <v>880000</v>
      </c>
      <c r="CL18" s="74"/>
      <c r="CM18" s="54">
        <v>1085000</v>
      </c>
      <c r="CN18" s="74"/>
      <c r="CO18" s="74"/>
      <c r="CP18" s="90"/>
      <c r="CQ18" s="68">
        <v>0</v>
      </c>
      <c r="CR18" s="69">
        <f t="shared" si="33"/>
        <v>311.0985</v>
      </c>
      <c r="CS18" s="69">
        <f t="shared" si="34"/>
        <v>529.64399999999989</v>
      </c>
      <c r="CT18" s="70">
        <f t="shared" si="0"/>
        <v>1978801.0569</v>
      </c>
      <c r="CU18" s="70">
        <f t="shared" si="1"/>
        <v>1319200.7046000001</v>
      </c>
      <c r="CV18" s="70">
        <f t="shared" si="35"/>
        <v>13801.056899999967</v>
      </c>
      <c r="CW18" s="55"/>
      <c r="CX18" s="118"/>
    </row>
    <row r="19" spans="1:102">
      <c r="A19" s="18"/>
      <c r="B19" s="94" t="s">
        <v>183</v>
      </c>
      <c r="C19" s="92" t="s">
        <v>184</v>
      </c>
      <c r="D19" s="102">
        <v>0</v>
      </c>
      <c r="E19" s="102">
        <v>0</v>
      </c>
      <c r="F19" s="98">
        <f t="shared" si="2"/>
        <v>0</v>
      </c>
      <c r="G19" s="98">
        <f t="shared" si="2"/>
        <v>0</v>
      </c>
      <c r="H19" s="110"/>
      <c r="I19" s="110"/>
      <c r="J19" s="98">
        <f t="shared" si="3"/>
        <v>0</v>
      </c>
      <c r="K19" s="98">
        <f t="shared" si="4"/>
        <v>0</v>
      </c>
      <c r="L19" s="103"/>
      <c r="M19" s="98">
        <f t="shared" si="5"/>
        <v>0</v>
      </c>
      <c r="N19" s="98"/>
      <c r="O19" s="98"/>
      <c r="P19" s="98">
        <f t="shared" si="6"/>
        <v>0</v>
      </c>
      <c r="Q19" s="98">
        <f t="shared" si="7"/>
        <v>0</v>
      </c>
      <c r="R19" s="103">
        <v>0</v>
      </c>
      <c r="S19" s="98">
        <f t="shared" si="8"/>
        <v>0</v>
      </c>
      <c r="T19" s="103">
        <v>0</v>
      </c>
      <c r="U19" s="98">
        <v>0</v>
      </c>
      <c r="V19" s="98">
        <f t="shared" si="9"/>
        <v>0</v>
      </c>
      <c r="W19" s="98">
        <f t="shared" si="10"/>
        <v>0</v>
      </c>
      <c r="X19" s="120">
        <v>0</v>
      </c>
      <c r="Y19" s="120">
        <v>0</v>
      </c>
      <c r="Z19" s="110"/>
      <c r="AA19" s="121">
        <f t="shared" si="11"/>
        <v>0</v>
      </c>
      <c r="AB19" s="121">
        <f t="shared" si="12"/>
        <v>0</v>
      </c>
      <c r="AC19" s="110"/>
      <c r="AD19" s="110"/>
      <c r="AE19" s="121">
        <f t="shared" si="13"/>
        <v>0</v>
      </c>
      <c r="AF19" s="121">
        <f t="shared" si="13"/>
        <v>0</v>
      </c>
      <c r="AG19" s="98">
        <v>0</v>
      </c>
      <c r="AH19" s="98">
        <v>0</v>
      </c>
      <c r="AI19" s="98">
        <f t="shared" si="14"/>
        <v>0</v>
      </c>
      <c r="AJ19" s="98">
        <f t="shared" si="14"/>
        <v>0</v>
      </c>
      <c r="AK19" s="103"/>
      <c r="AL19" s="98"/>
      <c r="AM19" s="98">
        <f t="shared" si="15"/>
        <v>0</v>
      </c>
      <c r="AN19" s="98">
        <f t="shared" si="16"/>
        <v>0</v>
      </c>
      <c r="AO19" s="98"/>
      <c r="AP19" s="98"/>
      <c r="AQ19" s="131"/>
      <c r="AR19" s="131">
        <v>0</v>
      </c>
      <c r="AS19" s="99"/>
      <c r="AT19" s="98">
        <f t="shared" si="17"/>
        <v>0</v>
      </c>
      <c r="AU19" s="99"/>
      <c r="AV19" s="149">
        <f t="shared" si="18"/>
        <v>0</v>
      </c>
      <c r="AW19" s="98">
        <v>0</v>
      </c>
      <c r="AX19" s="98">
        <v>0</v>
      </c>
      <c r="AY19" s="101"/>
      <c r="AZ19" s="98">
        <f t="shared" si="19"/>
        <v>0</v>
      </c>
      <c r="BA19" s="98"/>
      <c r="BB19" s="98"/>
      <c r="BC19" s="99"/>
      <c r="BD19" s="99"/>
      <c r="BE19" s="98">
        <f t="shared" si="20"/>
        <v>0</v>
      </c>
      <c r="BF19" s="98">
        <f t="shared" si="21"/>
        <v>0</v>
      </c>
      <c r="BG19" s="99"/>
      <c r="BH19" s="99"/>
      <c r="BI19" s="98">
        <f t="shared" si="22"/>
        <v>0</v>
      </c>
      <c r="BJ19" s="98">
        <f t="shared" si="23"/>
        <v>0</v>
      </c>
      <c r="BK19" s="100"/>
      <c r="BL19" s="100"/>
      <c r="BM19" s="98"/>
      <c r="BN19" s="98">
        <f t="shared" si="24"/>
        <v>0</v>
      </c>
      <c r="BO19" s="105">
        <v>0</v>
      </c>
      <c r="BP19" s="149">
        <f t="shared" si="25"/>
        <v>0</v>
      </c>
      <c r="BQ19" s="112"/>
      <c r="BR19" s="112"/>
      <c r="BS19" s="104">
        <f t="shared" si="26"/>
        <v>0</v>
      </c>
      <c r="BT19" s="104">
        <f t="shared" si="27"/>
        <v>0</v>
      </c>
      <c r="BU19" s="105">
        <v>0</v>
      </c>
      <c r="BV19" s="105">
        <v>0</v>
      </c>
      <c r="BW19" s="142">
        <f t="shared" si="28"/>
        <v>0</v>
      </c>
      <c r="BX19" s="142">
        <f t="shared" si="29"/>
        <v>0</v>
      </c>
      <c r="BY19" s="110"/>
      <c r="BZ19" s="110"/>
      <c r="CA19" s="142">
        <f t="shared" si="30"/>
        <v>0</v>
      </c>
      <c r="CB19" s="142">
        <f t="shared" si="30"/>
        <v>0</v>
      </c>
      <c r="CC19" s="106"/>
      <c r="CD19" s="106"/>
      <c r="CE19" s="98">
        <f t="shared" si="31"/>
        <v>0</v>
      </c>
      <c r="CF19" s="107">
        <f t="shared" si="31"/>
        <v>0</v>
      </c>
      <c r="CG19" s="81"/>
      <c r="CH19" s="65">
        <f t="shared" si="32"/>
        <v>0</v>
      </c>
      <c r="CI19" s="74"/>
      <c r="CJ19" s="74"/>
      <c r="CK19" s="54"/>
      <c r="CL19" s="74"/>
      <c r="CM19" s="54"/>
      <c r="CN19" s="74"/>
      <c r="CO19" s="74"/>
      <c r="CP19" s="90"/>
      <c r="CQ19" s="68">
        <v>0</v>
      </c>
      <c r="CR19" s="69">
        <f t="shared" si="33"/>
        <v>0</v>
      </c>
      <c r="CS19" s="69">
        <f t="shared" si="34"/>
        <v>0</v>
      </c>
      <c r="CT19" s="70">
        <f t="shared" si="0"/>
        <v>0</v>
      </c>
      <c r="CU19" s="70">
        <f t="shared" si="1"/>
        <v>0</v>
      </c>
      <c r="CV19" s="70">
        <f t="shared" si="35"/>
        <v>0</v>
      </c>
      <c r="CW19" s="55"/>
      <c r="CX19" s="118"/>
    </row>
    <row r="20" spans="1:102">
      <c r="A20" s="18"/>
      <c r="B20" s="94" t="s">
        <v>186</v>
      </c>
      <c r="C20" s="92" t="s">
        <v>187</v>
      </c>
      <c r="D20" s="102">
        <v>0</v>
      </c>
      <c r="E20" s="102">
        <v>0</v>
      </c>
      <c r="F20" s="98">
        <f t="shared" si="2"/>
        <v>0</v>
      </c>
      <c r="G20" s="98">
        <f t="shared" si="2"/>
        <v>0</v>
      </c>
      <c r="H20" s="110"/>
      <c r="I20" s="110"/>
      <c r="J20" s="98">
        <f t="shared" si="3"/>
        <v>0</v>
      </c>
      <c r="K20" s="98">
        <f t="shared" si="4"/>
        <v>0</v>
      </c>
      <c r="L20" s="103"/>
      <c r="M20" s="98">
        <f t="shared" si="5"/>
        <v>0</v>
      </c>
      <c r="N20" s="98">
        <v>0</v>
      </c>
      <c r="O20" s="98">
        <v>0</v>
      </c>
      <c r="P20" s="98">
        <f t="shared" si="6"/>
        <v>0</v>
      </c>
      <c r="Q20" s="98">
        <f t="shared" si="7"/>
        <v>0</v>
      </c>
      <c r="R20" s="103">
        <v>31.25</v>
      </c>
      <c r="S20" s="98">
        <f t="shared" si="8"/>
        <v>35</v>
      </c>
      <c r="T20" s="103">
        <v>11.58</v>
      </c>
      <c r="U20" s="98">
        <v>9.4600000000000009</v>
      </c>
      <c r="V20" s="98">
        <f t="shared" si="9"/>
        <v>13.085399999999998</v>
      </c>
      <c r="W20" s="98">
        <f t="shared" si="10"/>
        <v>10.595200000000002</v>
      </c>
      <c r="X20" s="120">
        <v>0</v>
      </c>
      <c r="Y20" s="120">
        <v>0</v>
      </c>
      <c r="Z20" s="110"/>
      <c r="AA20" s="121">
        <f t="shared" si="11"/>
        <v>0</v>
      </c>
      <c r="AB20" s="121">
        <f t="shared" si="12"/>
        <v>0</v>
      </c>
      <c r="AC20" s="110"/>
      <c r="AD20" s="110"/>
      <c r="AE20" s="121">
        <f t="shared" si="13"/>
        <v>0</v>
      </c>
      <c r="AF20" s="121">
        <f t="shared" si="13"/>
        <v>0</v>
      </c>
      <c r="AG20" s="98">
        <v>0</v>
      </c>
      <c r="AH20" s="98">
        <v>0</v>
      </c>
      <c r="AI20" s="98">
        <f t="shared" si="14"/>
        <v>0</v>
      </c>
      <c r="AJ20" s="98">
        <f t="shared" si="14"/>
        <v>0</v>
      </c>
      <c r="AK20" s="103">
        <v>50.08</v>
      </c>
      <c r="AL20" s="98">
        <v>31.69</v>
      </c>
      <c r="AM20" s="98">
        <f t="shared" si="15"/>
        <v>56.590399999999995</v>
      </c>
      <c r="AN20" s="98">
        <f t="shared" si="16"/>
        <v>35.492800000000003</v>
      </c>
      <c r="AO20" s="98"/>
      <c r="AP20" s="98"/>
      <c r="AQ20" s="131">
        <v>6.65</v>
      </c>
      <c r="AR20" s="131">
        <v>0</v>
      </c>
      <c r="AS20" s="99"/>
      <c r="AT20" s="98">
        <f t="shared" si="17"/>
        <v>0</v>
      </c>
      <c r="AU20" s="99">
        <v>2.0499999999999998</v>
      </c>
      <c r="AV20" s="149">
        <f t="shared" si="18"/>
        <v>2.2959999999999998</v>
      </c>
      <c r="AW20" s="98">
        <v>20.9</v>
      </c>
      <c r="AX20" s="98">
        <v>30.47</v>
      </c>
      <c r="AY20" s="101"/>
      <c r="AZ20" s="98">
        <f t="shared" si="19"/>
        <v>0</v>
      </c>
      <c r="BA20" s="98"/>
      <c r="BB20" s="98"/>
      <c r="BC20" s="99"/>
      <c r="BD20" s="99"/>
      <c r="BE20" s="98">
        <f t="shared" si="20"/>
        <v>0</v>
      </c>
      <c r="BF20" s="98">
        <f t="shared" si="21"/>
        <v>0</v>
      </c>
      <c r="BG20" s="99">
        <v>142.5</v>
      </c>
      <c r="BH20" s="99">
        <v>15.75</v>
      </c>
      <c r="BI20" s="98">
        <f t="shared" si="22"/>
        <v>159.60000000000002</v>
      </c>
      <c r="BJ20" s="98">
        <f t="shared" si="23"/>
        <v>17.64</v>
      </c>
      <c r="BK20" s="100"/>
      <c r="BL20" s="100"/>
      <c r="BM20" s="98"/>
      <c r="BN20" s="98">
        <f t="shared" si="24"/>
        <v>0</v>
      </c>
      <c r="BO20" s="105">
        <v>4.47</v>
      </c>
      <c r="BP20" s="149">
        <f t="shared" si="25"/>
        <v>5.0064000000000002</v>
      </c>
      <c r="BQ20" s="112"/>
      <c r="BR20" s="112"/>
      <c r="BS20" s="104">
        <f t="shared" si="26"/>
        <v>0</v>
      </c>
      <c r="BT20" s="104">
        <f t="shared" si="27"/>
        <v>0</v>
      </c>
      <c r="BU20" s="105">
        <v>0</v>
      </c>
      <c r="BV20" s="105">
        <v>0</v>
      </c>
      <c r="BW20" s="142">
        <f t="shared" si="28"/>
        <v>0</v>
      </c>
      <c r="BX20" s="142">
        <f t="shared" si="29"/>
        <v>0</v>
      </c>
      <c r="BY20" s="110"/>
      <c r="BZ20" s="110"/>
      <c r="CA20" s="142">
        <f t="shared" si="30"/>
        <v>0</v>
      </c>
      <c r="CB20" s="142">
        <f t="shared" si="30"/>
        <v>0</v>
      </c>
      <c r="CC20" s="106"/>
      <c r="CD20" s="106"/>
      <c r="CE20" s="98">
        <f t="shared" si="31"/>
        <v>0</v>
      </c>
      <c r="CF20" s="107">
        <f t="shared" si="31"/>
        <v>0</v>
      </c>
      <c r="CG20" s="81"/>
      <c r="CH20" s="65">
        <f t="shared" si="32"/>
        <v>937087</v>
      </c>
      <c r="CI20" s="74"/>
      <c r="CJ20" s="74"/>
      <c r="CK20" s="54">
        <v>500000</v>
      </c>
      <c r="CL20" s="74">
        <v>227087</v>
      </c>
      <c r="CM20" s="54">
        <v>210000</v>
      </c>
      <c r="CN20" s="74"/>
      <c r="CO20" s="74">
        <v>0</v>
      </c>
      <c r="CP20" s="90"/>
      <c r="CQ20" s="68">
        <v>0</v>
      </c>
      <c r="CR20" s="69">
        <f t="shared" si="33"/>
        <v>97.225799999999992</v>
      </c>
      <c r="CS20" s="69">
        <f t="shared" si="34"/>
        <v>278.46040000000005</v>
      </c>
      <c r="CT20" s="70">
        <f t="shared" si="0"/>
        <v>941250.52884000004</v>
      </c>
      <c r="CU20" s="70">
        <f t="shared" si="1"/>
        <v>609922.09256000002</v>
      </c>
      <c r="CV20" s="70">
        <f t="shared" si="35"/>
        <v>4163.5288400000427</v>
      </c>
      <c r="CW20" s="55"/>
      <c r="CX20" s="118"/>
    </row>
    <row r="21" spans="1:102">
      <c r="A21" s="18"/>
      <c r="B21" s="94" t="s">
        <v>188</v>
      </c>
      <c r="C21" s="92" t="s">
        <v>189</v>
      </c>
      <c r="D21" s="102">
        <v>0</v>
      </c>
      <c r="E21" s="102">
        <v>0</v>
      </c>
      <c r="F21" s="98">
        <f t="shared" si="2"/>
        <v>0</v>
      </c>
      <c r="G21" s="98">
        <f t="shared" si="2"/>
        <v>0</v>
      </c>
      <c r="H21" s="110"/>
      <c r="I21" s="110"/>
      <c r="J21" s="98">
        <f t="shared" si="3"/>
        <v>0</v>
      </c>
      <c r="K21" s="98">
        <f t="shared" si="4"/>
        <v>0</v>
      </c>
      <c r="L21" s="103"/>
      <c r="M21" s="98">
        <f t="shared" si="5"/>
        <v>0</v>
      </c>
      <c r="N21" s="98"/>
      <c r="O21" s="98"/>
      <c r="P21" s="98">
        <f t="shared" si="6"/>
        <v>0</v>
      </c>
      <c r="Q21" s="98">
        <f t="shared" si="7"/>
        <v>0</v>
      </c>
      <c r="R21" s="103">
        <v>0</v>
      </c>
      <c r="S21" s="98">
        <f t="shared" si="8"/>
        <v>0</v>
      </c>
      <c r="T21" s="103">
        <v>0</v>
      </c>
      <c r="U21" s="98">
        <v>0</v>
      </c>
      <c r="V21" s="98">
        <f t="shared" si="9"/>
        <v>0</v>
      </c>
      <c r="W21" s="98">
        <f t="shared" si="10"/>
        <v>0</v>
      </c>
      <c r="X21" s="120">
        <v>0</v>
      </c>
      <c r="Y21" s="120">
        <v>0</v>
      </c>
      <c r="Z21" s="110"/>
      <c r="AA21" s="121">
        <f t="shared" si="11"/>
        <v>0</v>
      </c>
      <c r="AB21" s="121">
        <f t="shared" si="12"/>
        <v>0</v>
      </c>
      <c r="AC21" s="110"/>
      <c r="AD21" s="110"/>
      <c r="AE21" s="121">
        <f t="shared" si="13"/>
        <v>0</v>
      </c>
      <c r="AF21" s="121">
        <f t="shared" si="13"/>
        <v>0</v>
      </c>
      <c r="AG21" s="98">
        <v>0</v>
      </c>
      <c r="AH21" s="98">
        <v>0</v>
      </c>
      <c r="AI21" s="98">
        <f t="shared" si="14"/>
        <v>0</v>
      </c>
      <c r="AJ21" s="98">
        <f t="shared" si="14"/>
        <v>0</v>
      </c>
      <c r="AK21" s="103">
        <v>0.79</v>
      </c>
      <c r="AL21" s="98"/>
      <c r="AM21" s="98">
        <f t="shared" si="15"/>
        <v>0.89269999999999994</v>
      </c>
      <c r="AN21" s="98">
        <f t="shared" si="16"/>
        <v>0</v>
      </c>
      <c r="AO21" s="98"/>
      <c r="AP21" s="98"/>
      <c r="AQ21" s="131"/>
      <c r="AR21" s="131"/>
      <c r="AS21" s="99"/>
      <c r="AT21" s="98">
        <f t="shared" si="17"/>
        <v>0</v>
      </c>
      <c r="AU21" s="99"/>
      <c r="AV21" s="149">
        <f t="shared" si="18"/>
        <v>0</v>
      </c>
      <c r="AW21" s="98">
        <v>0</v>
      </c>
      <c r="AX21" s="98">
        <v>0</v>
      </c>
      <c r="AY21" s="101"/>
      <c r="AZ21" s="98">
        <f t="shared" si="19"/>
        <v>0</v>
      </c>
      <c r="BA21" s="98"/>
      <c r="BB21" s="98"/>
      <c r="BC21" s="99">
        <v>0</v>
      </c>
      <c r="BD21" s="99">
        <v>0</v>
      </c>
      <c r="BE21" s="98">
        <f t="shared" si="20"/>
        <v>0</v>
      </c>
      <c r="BF21" s="98">
        <f t="shared" si="21"/>
        <v>0</v>
      </c>
      <c r="BG21" s="99"/>
      <c r="BH21" s="99"/>
      <c r="BI21" s="98">
        <f t="shared" si="22"/>
        <v>0</v>
      </c>
      <c r="BJ21" s="98">
        <f t="shared" si="23"/>
        <v>0</v>
      </c>
      <c r="BK21" s="100"/>
      <c r="BL21" s="100"/>
      <c r="BM21" s="98"/>
      <c r="BN21" s="98">
        <f t="shared" si="24"/>
        <v>0</v>
      </c>
      <c r="BO21" s="105"/>
      <c r="BP21" s="149">
        <f t="shared" si="25"/>
        <v>0</v>
      </c>
      <c r="BQ21" s="112"/>
      <c r="BR21" s="112"/>
      <c r="BS21" s="104">
        <f t="shared" si="26"/>
        <v>0</v>
      </c>
      <c r="BT21" s="104">
        <f t="shared" si="27"/>
        <v>0</v>
      </c>
      <c r="BU21" s="105">
        <v>0</v>
      </c>
      <c r="BV21" s="105">
        <v>0</v>
      </c>
      <c r="BW21" s="142">
        <f t="shared" si="28"/>
        <v>0</v>
      </c>
      <c r="BX21" s="142">
        <f t="shared" si="29"/>
        <v>0</v>
      </c>
      <c r="BY21" s="110"/>
      <c r="BZ21" s="110"/>
      <c r="CA21" s="142">
        <f t="shared" si="30"/>
        <v>0</v>
      </c>
      <c r="CB21" s="142">
        <f t="shared" si="30"/>
        <v>0</v>
      </c>
      <c r="CC21" s="106"/>
      <c r="CD21" s="106"/>
      <c r="CE21" s="98">
        <f t="shared" si="31"/>
        <v>0</v>
      </c>
      <c r="CF21" s="107">
        <f t="shared" si="31"/>
        <v>0</v>
      </c>
      <c r="CG21" s="81"/>
      <c r="CH21" s="65">
        <f t="shared" si="32"/>
        <v>0</v>
      </c>
      <c r="CI21" s="74"/>
      <c r="CJ21" s="74"/>
      <c r="CK21" s="54"/>
      <c r="CL21" s="74"/>
      <c r="CM21" s="54"/>
      <c r="CN21" s="74"/>
      <c r="CO21" s="74"/>
      <c r="CP21" s="90"/>
      <c r="CQ21" s="68">
        <v>0</v>
      </c>
      <c r="CR21" s="69">
        <f t="shared" si="33"/>
        <v>0.89269999999999994</v>
      </c>
      <c r="CS21" s="69">
        <f t="shared" si="34"/>
        <v>0</v>
      </c>
      <c r="CT21" s="70">
        <f t="shared" si="0"/>
        <v>2043.3902999999998</v>
      </c>
      <c r="CU21" s="70">
        <f t="shared" si="1"/>
        <v>1362.2601999999999</v>
      </c>
      <c r="CV21" s="70">
        <f t="shared" si="35"/>
        <v>2043.3902999999998</v>
      </c>
      <c r="CW21" s="55"/>
      <c r="CX21" s="118"/>
    </row>
    <row r="22" spans="1:102">
      <c r="A22" s="18"/>
      <c r="B22" s="94" t="s">
        <v>190</v>
      </c>
      <c r="C22" s="92" t="s">
        <v>191</v>
      </c>
      <c r="D22" s="102">
        <v>0</v>
      </c>
      <c r="E22" s="102">
        <v>0</v>
      </c>
      <c r="F22" s="98">
        <f>SUM((D22*2)*0.3)</f>
        <v>0</v>
      </c>
      <c r="G22" s="98">
        <f>SUM((E22*2)*0.3)</f>
        <v>0</v>
      </c>
      <c r="H22" s="110"/>
      <c r="I22" s="110"/>
      <c r="J22" s="98">
        <f>SUM(H22*0.78)*$C$2</f>
        <v>0</v>
      </c>
      <c r="K22" s="98">
        <f>SUM(I22*0.78)*$C$3</f>
        <v>0</v>
      </c>
      <c r="L22" s="103"/>
      <c r="M22" s="98">
        <f>L22</f>
        <v>0</v>
      </c>
      <c r="N22" s="98">
        <v>0</v>
      </c>
      <c r="O22" s="98">
        <v>0</v>
      </c>
      <c r="P22" s="98">
        <f>N22*$C$2</f>
        <v>0</v>
      </c>
      <c r="Q22" s="98">
        <f>O22*$C$3</f>
        <v>0</v>
      </c>
      <c r="R22" s="103">
        <v>0</v>
      </c>
      <c r="S22" s="98">
        <f>R22*$C$3</f>
        <v>0</v>
      </c>
      <c r="T22" s="103">
        <v>0</v>
      </c>
      <c r="U22" s="98">
        <v>0</v>
      </c>
      <c r="V22" s="98">
        <f>SUM(T22*($C$2))</f>
        <v>0</v>
      </c>
      <c r="W22" s="98">
        <f>SUM(U22*($C$3))</f>
        <v>0</v>
      </c>
      <c r="X22" s="120">
        <v>0</v>
      </c>
      <c r="Y22" s="120">
        <v>0</v>
      </c>
      <c r="Z22" s="110"/>
      <c r="AA22" s="121">
        <f>SUM(X22*0.75)+(Z22*0.75)</f>
        <v>0</v>
      </c>
      <c r="AB22" s="121">
        <f>(Y22*0.75)+(Z22*0.75)</f>
        <v>0</v>
      </c>
      <c r="AC22" s="110"/>
      <c r="AD22" s="110"/>
      <c r="AE22" s="121">
        <f>AC22*0.75</f>
        <v>0</v>
      </c>
      <c r="AF22" s="121">
        <f>AD22*0.75</f>
        <v>0</v>
      </c>
      <c r="AG22" s="98">
        <v>0</v>
      </c>
      <c r="AH22" s="98">
        <v>0</v>
      </c>
      <c r="AI22" s="98">
        <f>AG22*0.75</f>
        <v>0</v>
      </c>
      <c r="AJ22" s="98">
        <f>AH22*0.75</f>
        <v>0</v>
      </c>
      <c r="AK22" s="103"/>
      <c r="AL22" s="98"/>
      <c r="AM22" s="98">
        <f>AK22*$C$2</f>
        <v>0</v>
      </c>
      <c r="AN22" s="98">
        <f>AL22*$C$3</f>
        <v>0</v>
      </c>
      <c r="AO22" s="98"/>
      <c r="AP22" s="98"/>
      <c r="AQ22" s="131">
        <v>0</v>
      </c>
      <c r="AR22" s="131">
        <v>0</v>
      </c>
      <c r="AS22" s="99"/>
      <c r="AT22" s="98">
        <f>AS22*$C$3</f>
        <v>0</v>
      </c>
      <c r="AU22" s="99"/>
      <c r="AV22" s="149">
        <f>AU22*$C$3</f>
        <v>0</v>
      </c>
      <c r="AW22" s="98">
        <v>0</v>
      </c>
      <c r="AX22" s="98">
        <v>0</v>
      </c>
      <c r="AY22" s="101"/>
      <c r="AZ22" s="98">
        <f>AY22*$D$2</f>
        <v>0</v>
      </c>
      <c r="BA22" s="98"/>
      <c r="BB22" s="98"/>
      <c r="BC22" s="99">
        <v>0</v>
      </c>
      <c r="BD22" s="99">
        <v>0</v>
      </c>
      <c r="BE22" s="98">
        <f>SUM(BC22*0.62)*$B$2</f>
        <v>0</v>
      </c>
      <c r="BF22" s="98">
        <f>SUM(BD22*0.62)*$B$3</f>
        <v>0</v>
      </c>
      <c r="BG22" s="99"/>
      <c r="BH22" s="99"/>
      <c r="BI22" s="98">
        <f>(BG22*$C$3)</f>
        <v>0</v>
      </c>
      <c r="BJ22" s="98">
        <f>BH22*$C$3</f>
        <v>0</v>
      </c>
      <c r="BK22" s="100"/>
      <c r="BL22" s="100"/>
      <c r="BM22" s="98"/>
      <c r="BN22" s="98">
        <f>BM22*$C$3</f>
        <v>0</v>
      </c>
      <c r="BO22" s="105">
        <v>0</v>
      </c>
      <c r="BP22" s="149">
        <f>BO22*$C$3</f>
        <v>0</v>
      </c>
      <c r="BQ22" s="112"/>
      <c r="BR22" s="112"/>
      <c r="BS22" s="104">
        <f>(BQ22/$D$2)*$C$2</f>
        <v>0</v>
      </c>
      <c r="BT22" s="104">
        <f>(BR22/$D$3)*$C$3</f>
        <v>0</v>
      </c>
      <c r="BU22" s="105">
        <v>0</v>
      </c>
      <c r="BV22" s="105">
        <v>0</v>
      </c>
      <c r="BW22" s="142">
        <f>BU22*$E$2</f>
        <v>0</v>
      </c>
      <c r="BX22" s="142">
        <f>BV22*$E$3</f>
        <v>0</v>
      </c>
      <c r="BY22" s="110"/>
      <c r="BZ22" s="110"/>
      <c r="CA22" s="142">
        <f>BY22/2</f>
        <v>0</v>
      </c>
      <c r="CB22" s="142">
        <f>BZ22/2</f>
        <v>0</v>
      </c>
      <c r="CC22" s="106"/>
      <c r="CD22" s="106"/>
      <c r="CE22" s="98">
        <f>CC22*0.05</f>
        <v>0</v>
      </c>
      <c r="CF22" s="107">
        <f>CD22*0.05</f>
        <v>0</v>
      </c>
      <c r="CG22" s="81"/>
      <c r="CH22" s="65">
        <f>SUM(CI22:CO22)</f>
        <v>0</v>
      </c>
      <c r="CI22" s="133"/>
      <c r="CJ22" s="133"/>
      <c r="CK22" s="54"/>
      <c r="CL22" s="133"/>
      <c r="CM22" s="54"/>
      <c r="CN22" s="133"/>
      <c r="CO22" s="133">
        <v>0</v>
      </c>
      <c r="CP22" s="69"/>
      <c r="CQ22" s="68">
        <v>0</v>
      </c>
      <c r="CR22" s="69">
        <f>SUM(AO22,AQ22,F22,P22,BS22,AM22,AA22,AE22,J22,AI22,V22,BA22,BE22,CE22,AW22,CA22,BW22)</f>
        <v>0</v>
      </c>
      <c r="CS22" s="69">
        <f>SUM(AP22,AR22,G22,Q22,BN22,AZ22,M22,BT22,AN22,S22,AB22,AF22,K22,AJ22,BI22,W22,BB22,BF22,CF22,BP22,BL22,CG22,AT22,AV22,AX22,CB22,BX22)</f>
        <v>0</v>
      </c>
      <c r="CT22" s="70">
        <f>(((CR22*$A$2)+(CS22*$A$3))*0.6)+((BJ22*$A$3)*0.75)</f>
        <v>0</v>
      </c>
      <c r="CU22" s="70">
        <f>((CR22*$A$2)+(CS22*$A$3))*0.4+((BJ22*$A$3)*0.25)</f>
        <v>0</v>
      </c>
      <c r="CV22" s="70">
        <f>CT22-CH22</f>
        <v>0</v>
      </c>
      <c r="CW22" s="55"/>
      <c r="CX22" s="118"/>
    </row>
    <row r="23" spans="1:102">
      <c r="A23" s="18"/>
      <c r="B23" s="94" t="s">
        <v>193</v>
      </c>
      <c r="C23" s="92" t="s">
        <v>194</v>
      </c>
      <c r="D23" s="102">
        <v>0</v>
      </c>
      <c r="E23" s="102">
        <v>0</v>
      </c>
      <c r="F23" s="98">
        <f t="shared" ref="F23:G26" si="36">SUM((D23*2)*0.3)</f>
        <v>0</v>
      </c>
      <c r="G23" s="98">
        <f t="shared" si="36"/>
        <v>0</v>
      </c>
      <c r="H23" s="110"/>
      <c r="I23" s="110"/>
      <c r="J23" s="98">
        <f t="shared" si="3"/>
        <v>0</v>
      </c>
      <c r="K23" s="98">
        <f t="shared" si="4"/>
        <v>0</v>
      </c>
      <c r="L23" s="103"/>
      <c r="M23" s="98">
        <f t="shared" si="5"/>
        <v>0</v>
      </c>
      <c r="N23" s="98"/>
      <c r="O23" s="98"/>
      <c r="P23" s="98">
        <f t="shared" si="6"/>
        <v>0</v>
      </c>
      <c r="Q23" s="98">
        <f t="shared" si="7"/>
        <v>0</v>
      </c>
      <c r="R23" s="103">
        <v>95.43</v>
      </c>
      <c r="S23" s="98">
        <f t="shared" si="8"/>
        <v>106.88160000000002</v>
      </c>
      <c r="T23" s="103">
        <v>0</v>
      </c>
      <c r="U23" s="98">
        <v>0</v>
      </c>
      <c r="V23" s="98">
        <f t="shared" si="9"/>
        <v>0</v>
      </c>
      <c r="W23" s="98">
        <f t="shared" si="10"/>
        <v>0</v>
      </c>
      <c r="X23" s="120">
        <v>0</v>
      </c>
      <c r="Y23" s="120">
        <v>0</v>
      </c>
      <c r="Z23" s="110"/>
      <c r="AA23" s="121">
        <f t="shared" si="11"/>
        <v>0</v>
      </c>
      <c r="AB23" s="121">
        <f t="shared" si="12"/>
        <v>0</v>
      </c>
      <c r="AC23" s="110"/>
      <c r="AD23" s="110"/>
      <c r="AE23" s="121">
        <f t="shared" si="13"/>
        <v>0</v>
      </c>
      <c r="AF23" s="121">
        <f t="shared" si="13"/>
        <v>0</v>
      </c>
      <c r="AG23" s="98">
        <v>0</v>
      </c>
      <c r="AH23" s="98">
        <v>0</v>
      </c>
      <c r="AI23" s="98">
        <f t="shared" si="14"/>
        <v>0</v>
      </c>
      <c r="AJ23" s="98">
        <f t="shared" si="14"/>
        <v>0</v>
      </c>
      <c r="AK23" s="103">
        <v>277.86</v>
      </c>
      <c r="AL23" s="98">
        <v>234.43</v>
      </c>
      <c r="AM23" s="98">
        <f t="shared" si="15"/>
        <v>313.98179999999996</v>
      </c>
      <c r="AN23" s="98">
        <f t="shared" si="16"/>
        <v>262.56160000000006</v>
      </c>
      <c r="AO23" s="98"/>
      <c r="AP23" s="98"/>
      <c r="AQ23" s="131"/>
      <c r="AR23" s="131"/>
      <c r="AS23" s="99"/>
      <c r="AT23" s="98">
        <f t="shared" si="17"/>
        <v>0</v>
      </c>
      <c r="AU23" s="99"/>
      <c r="AV23" s="149">
        <f t="shared" si="18"/>
        <v>0</v>
      </c>
      <c r="AW23" s="98">
        <v>291.31</v>
      </c>
      <c r="AX23" s="98">
        <v>296.81</v>
      </c>
      <c r="AY23" s="101"/>
      <c r="AZ23" s="98">
        <f t="shared" si="19"/>
        <v>0</v>
      </c>
      <c r="BA23" s="98"/>
      <c r="BB23" s="98"/>
      <c r="BC23" s="99">
        <v>0</v>
      </c>
      <c r="BD23" s="99">
        <f>29+20.44</f>
        <v>49.44</v>
      </c>
      <c r="BE23" s="98">
        <f t="shared" si="20"/>
        <v>0</v>
      </c>
      <c r="BF23" s="98">
        <f t="shared" si="21"/>
        <v>40.155168000000003</v>
      </c>
      <c r="BG23" s="99"/>
      <c r="BH23" s="99"/>
      <c r="BI23" s="98">
        <f t="shared" si="22"/>
        <v>0</v>
      </c>
      <c r="BJ23" s="98">
        <f t="shared" si="23"/>
        <v>0</v>
      </c>
      <c r="BK23" s="100"/>
      <c r="BL23" s="100"/>
      <c r="BM23" s="98"/>
      <c r="BN23" s="98">
        <f t="shared" si="24"/>
        <v>0</v>
      </c>
      <c r="BO23" s="105">
        <v>274.77999999999997</v>
      </c>
      <c r="BP23" s="149">
        <f t="shared" si="25"/>
        <v>307.75360000000001</v>
      </c>
      <c r="BQ23" s="112"/>
      <c r="BR23" s="112"/>
      <c r="BS23" s="104">
        <f t="shared" si="26"/>
        <v>0</v>
      </c>
      <c r="BT23" s="104">
        <f t="shared" si="27"/>
        <v>0</v>
      </c>
      <c r="BU23" s="105">
        <v>0</v>
      </c>
      <c r="BV23" s="105">
        <v>0</v>
      </c>
      <c r="BW23" s="142">
        <f t="shared" si="28"/>
        <v>0</v>
      </c>
      <c r="BX23" s="142">
        <f t="shared" si="29"/>
        <v>0</v>
      </c>
      <c r="BY23" s="110"/>
      <c r="BZ23" s="110"/>
      <c r="CA23" s="142">
        <f t="shared" si="30"/>
        <v>0</v>
      </c>
      <c r="CB23" s="142">
        <f t="shared" si="30"/>
        <v>0</v>
      </c>
      <c r="CC23" s="106"/>
      <c r="CD23" s="106"/>
      <c r="CE23" s="98">
        <f t="shared" si="31"/>
        <v>0</v>
      </c>
      <c r="CF23" s="107">
        <f t="shared" si="31"/>
        <v>0</v>
      </c>
      <c r="CG23" s="81"/>
      <c r="CH23" s="65">
        <f t="shared" si="32"/>
        <v>3571000</v>
      </c>
      <c r="CI23" s="74"/>
      <c r="CJ23" s="74"/>
      <c r="CK23" s="54">
        <v>1564000</v>
      </c>
      <c r="CL23" s="74"/>
      <c r="CM23" s="54">
        <v>2007000</v>
      </c>
      <c r="CN23" s="74"/>
      <c r="CO23" s="74"/>
      <c r="CP23" s="90"/>
      <c r="CQ23" s="68">
        <v>0</v>
      </c>
      <c r="CR23" s="69">
        <f t="shared" si="33"/>
        <v>605.29179999999997</v>
      </c>
      <c r="CS23" s="69">
        <f t="shared" si="34"/>
        <v>1014.1619680000001</v>
      </c>
      <c r="CT23" s="70">
        <f t="shared" si="0"/>
        <v>3810982.6928687999</v>
      </c>
      <c r="CU23" s="70">
        <f t="shared" si="1"/>
        <v>2540655.1285792002</v>
      </c>
      <c r="CV23" s="70">
        <f t="shared" si="35"/>
        <v>239982.6928687999</v>
      </c>
      <c r="CW23" s="55"/>
      <c r="CX23" s="118"/>
    </row>
    <row r="24" spans="1:102">
      <c r="A24" s="18"/>
      <c r="B24" s="94" t="s">
        <v>195</v>
      </c>
      <c r="C24" s="92" t="s">
        <v>196</v>
      </c>
      <c r="D24" s="102">
        <v>15.5</v>
      </c>
      <c r="E24" s="102">
        <v>7.5</v>
      </c>
      <c r="F24" s="98">
        <f t="shared" si="36"/>
        <v>9.2999999999999989</v>
      </c>
      <c r="G24" s="98">
        <f t="shared" si="36"/>
        <v>4.5</v>
      </c>
      <c r="H24" s="110"/>
      <c r="I24" s="110"/>
      <c r="J24" s="98">
        <f t="shared" si="3"/>
        <v>0</v>
      </c>
      <c r="K24" s="98">
        <f t="shared" si="4"/>
        <v>0</v>
      </c>
      <c r="L24" s="103">
        <v>44.04</v>
      </c>
      <c r="M24" s="98">
        <f t="shared" si="5"/>
        <v>44.04</v>
      </c>
      <c r="N24" s="98">
        <v>0</v>
      </c>
      <c r="O24" s="98">
        <v>0.02</v>
      </c>
      <c r="P24" s="98">
        <f t="shared" si="6"/>
        <v>0</v>
      </c>
      <c r="Q24" s="98">
        <f t="shared" si="7"/>
        <v>2.2400000000000003E-2</v>
      </c>
      <c r="R24" s="103">
        <v>12.93</v>
      </c>
      <c r="S24" s="98">
        <f t="shared" si="8"/>
        <v>14.4816</v>
      </c>
      <c r="T24" s="103">
        <v>5.54</v>
      </c>
      <c r="U24" s="98">
        <v>29.12</v>
      </c>
      <c r="V24" s="98">
        <f t="shared" si="9"/>
        <v>6.2601999999999993</v>
      </c>
      <c r="W24" s="98">
        <f t="shared" si="10"/>
        <v>32.614400000000003</v>
      </c>
      <c r="X24" s="120">
        <v>0</v>
      </c>
      <c r="Y24" s="120">
        <v>0</v>
      </c>
      <c r="Z24" s="110"/>
      <c r="AA24" s="121">
        <f t="shared" si="11"/>
        <v>0</v>
      </c>
      <c r="AB24" s="121">
        <f t="shared" si="12"/>
        <v>0</v>
      </c>
      <c r="AC24" s="110"/>
      <c r="AD24" s="110"/>
      <c r="AE24" s="121">
        <f t="shared" si="13"/>
        <v>0</v>
      </c>
      <c r="AF24" s="121">
        <f t="shared" si="13"/>
        <v>0</v>
      </c>
      <c r="AG24" s="98">
        <v>0</v>
      </c>
      <c r="AH24" s="98">
        <v>0</v>
      </c>
      <c r="AI24" s="98">
        <f t="shared" si="14"/>
        <v>0</v>
      </c>
      <c r="AJ24" s="98">
        <f t="shared" si="14"/>
        <v>0</v>
      </c>
      <c r="AK24" s="103">
        <v>27.13</v>
      </c>
      <c r="AL24" s="98">
        <v>18.760000000000002</v>
      </c>
      <c r="AM24" s="98">
        <f t="shared" si="15"/>
        <v>30.656899999999997</v>
      </c>
      <c r="AN24" s="98">
        <f t="shared" si="16"/>
        <v>21.011200000000002</v>
      </c>
      <c r="AO24" s="98"/>
      <c r="AP24" s="98"/>
      <c r="AQ24" s="131">
        <v>35.049999999999997</v>
      </c>
      <c r="AR24" s="131">
        <v>25.88</v>
      </c>
      <c r="AS24" s="99"/>
      <c r="AT24" s="98">
        <f t="shared" si="17"/>
        <v>0</v>
      </c>
      <c r="AU24" s="99"/>
      <c r="AV24" s="149">
        <f t="shared" si="18"/>
        <v>0</v>
      </c>
      <c r="AW24" s="99">
        <v>23.57</v>
      </c>
      <c r="AX24" s="99">
        <v>1.78</v>
      </c>
      <c r="AY24" s="101"/>
      <c r="AZ24" s="98">
        <f t="shared" si="19"/>
        <v>0</v>
      </c>
      <c r="BA24" s="98"/>
      <c r="BB24" s="98"/>
      <c r="BC24" s="99"/>
      <c r="BD24" s="99"/>
      <c r="BE24" s="98">
        <f t="shared" si="20"/>
        <v>0</v>
      </c>
      <c r="BF24" s="98">
        <f t="shared" si="21"/>
        <v>0</v>
      </c>
      <c r="BG24" s="99"/>
      <c r="BH24" s="99"/>
      <c r="BI24" s="98">
        <f t="shared" si="22"/>
        <v>0</v>
      </c>
      <c r="BJ24" s="98">
        <f t="shared" si="23"/>
        <v>0</v>
      </c>
      <c r="BK24" s="100"/>
      <c r="BL24" s="100"/>
      <c r="BM24" s="98"/>
      <c r="BN24" s="98">
        <f t="shared" si="24"/>
        <v>0</v>
      </c>
      <c r="BO24" s="105">
        <v>9.6999999999999993</v>
      </c>
      <c r="BP24" s="149">
        <f t="shared" si="25"/>
        <v>10.864000000000001</v>
      </c>
      <c r="BQ24" s="112"/>
      <c r="BR24" s="112"/>
      <c r="BS24" s="104">
        <f t="shared" si="26"/>
        <v>0</v>
      </c>
      <c r="BT24" s="104">
        <f t="shared" si="27"/>
        <v>0</v>
      </c>
      <c r="BU24" s="105">
        <v>0</v>
      </c>
      <c r="BV24" s="105">
        <v>0</v>
      </c>
      <c r="BW24" s="142">
        <f t="shared" si="28"/>
        <v>0</v>
      </c>
      <c r="BX24" s="142">
        <f t="shared" si="29"/>
        <v>0</v>
      </c>
      <c r="BY24" s="110"/>
      <c r="BZ24" s="110"/>
      <c r="CA24" s="142">
        <f t="shared" si="30"/>
        <v>0</v>
      </c>
      <c r="CB24" s="142">
        <f t="shared" si="30"/>
        <v>0</v>
      </c>
      <c r="CC24" s="106"/>
      <c r="CD24" s="106"/>
      <c r="CE24" s="98">
        <f t="shared" si="31"/>
        <v>0</v>
      </c>
      <c r="CF24" s="107">
        <f t="shared" si="31"/>
        <v>0</v>
      </c>
      <c r="CG24" s="81"/>
      <c r="CH24" s="65">
        <f t="shared" si="32"/>
        <v>614000</v>
      </c>
      <c r="CI24" s="74"/>
      <c r="CJ24" s="74"/>
      <c r="CK24" s="54">
        <v>264000</v>
      </c>
      <c r="CL24" s="74"/>
      <c r="CM24" s="54">
        <v>350000</v>
      </c>
      <c r="CN24" s="74"/>
      <c r="CO24" s="74"/>
      <c r="CP24" s="90"/>
      <c r="CQ24" s="68">
        <v>0</v>
      </c>
      <c r="CR24" s="69">
        <f t="shared" si="33"/>
        <v>104.83709999999999</v>
      </c>
      <c r="CS24" s="69">
        <f t="shared" si="34"/>
        <v>155.1936</v>
      </c>
      <c r="CT24" s="70">
        <f t="shared" si="0"/>
        <v>611133.13566000003</v>
      </c>
      <c r="CU24" s="70">
        <f t="shared" si="1"/>
        <v>407422.09044000006</v>
      </c>
      <c r="CV24" s="70">
        <f t="shared" si="35"/>
        <v>-2866.864339999971</v>
      </c>
      <c r="CW24" s="55"/>
      <c r="CX24" s="118"/>
    </row>
    <row r="25" spans="1:102">
      <c r="A25" s="171" t="s">
        <v>199</v>
      </c>
      <c r="B25" s="169" t="s">
        <v>200</v>
      </c>
      <c r="C25" s="170" t="s">
        <v>201</v>
      </c>
      <c r="D25" s="102">
        <v>0</v>
      </c>
      <c r="E25" s="102">
        <v>0</v>
      </c>
      <c r="F25" s="98">
        <f t="shared" ref="F25" si="37">SUM((D25*2)*0.3)</f>
        <v>0</v>
      </c>
      <c r="G25" s="98">
        <f t="shared" ref="G25" si="38">SUM((E25*2)*0.3)</f>
        <v>0</v>
      </c>
      <c r="H25" s="110">
        <v>121</v>
      </c>
      <c r="I25" s="110">
        <v>15</v>
      </c>
      <c r="J25" s="98">
        <f t="shared" ref="J25" si="39">SUM(H25*0.78)*$C$2</f>
        <v>106.6494</v>
      </c>
      <c r="K25" s="98">
        <f t="shared" ref="K25" si="40">SUM(I25*0.78)*$C$3</f>
        <v>13.104000000000003</v>
      </c>
      <c r="L25" s="103">
        <v>268.02</v>
      </c>
      <c r="M25" s="98">
        <f t="shared" ref="M25" si="41">L25</f>
        <v>268.02</v>
      </c>
      <c r="N25" s="98"/>
      <c r="O25" s="98"/>
      <c r="P25" s="98">
        <f t="shared" ref="P25" si="42">N25*$C$2</f>
        <v>0</v>
      </c>
      <c r="Q25" s="98">
        <f t="shared" ref="Q25" si="43">O25*$C$3</f>
        <v>0</v>
      </c>
      <c r="R25" s="103">
        <v>66.099999999999994</v>
      </c>
      <c r="S25" s="98">
        <f t="shared" ref="S25" si="44">R25*$C$3</f>
        <v>74.031999999999996</v>
      </c>
      <c r="T25" s="108">
        <v>39.729999999999997</v>
      </c>
      <c r="U25" s="99">
        <v>33.89</v>
      </c>
      <c r="V25" s="98">
        <f t="shared" ref="V25" si="45">SUM(T25*($C$2))</f>
        <v>44.894899999999993</v>
      </c>
      <c r="W25" s="98">
        <f t="shared" ref="W25" si="46">SUM(U25*($C$3))</f>
        <v>37.956800000000001</v>
      </c>
      <c r="X25" s="120">
        <v>121.99</v>
      </c>
      <c r="Y25" s="120">
        <v>41.14</v>
      </c>
      <c r="Z25" s="110"/>
      <c r="AA25" s="121">
        <f t="shared" ref="AA25" si="47">SUM(X25*0.75)+(Z25*0.75)</f>
        <v>91.492499999999993</v>
      </c>
      <c r="AB25" s="121">
        <f t="shared" ref="AB25" si="48">(Y25*0.75)+(Z25*0.75)</f>
        <v>30.855</v>
      </c>
      <c r="AC25" s="110"/>
      <c r="AD25" s="110"/>
      <c r="AE25" s="121">
        <f t="shared" ref="AE25" si="49">AC25*0.75</f>
        <v>0</v>
      </c>
      <c r="AF25" s="121">
        <f t="shared" ref="AF25" si="50">AD25*0.75</f>
        <v>0</v>
      </c>
      <c r="AG25" s="98">
        <v>0</v>
      </c>
      <c r="AH25" s="98">
        <v>0</v>
      </c>
      <c r="AI25" s="98">
        <f t="shared" ref="AI25" si="51">AG25*0.75</f>
        <v>0</v>
      </c>
      <c r="AJ25" s="98">
        <f t="shared" ref="AJ25" si="52">AH25*0.75</f>
        <v>0</v>
      </c>
      <c r="AK25" s="103">
        <v>164.4</v>
      </c>
      <c r="AL25" s="98">
        <v>140.12</v>
      </c>
      <c r="AM25" s="98">
        <f t="shared" ref="AM25" si="53">AK25*$C$2</f>
        <v>185.77199999999999</v>
      </c>
      <c r="AN25" s="98">
        <f t="shared" ref="AN25" si="54">AL25*$C$3</f>
        <v>156.93440000000001</v>
      </c>
      <c r="AO25" s="98"/>
      <c r="AP25" s="98"/>
      <c r="AQ25" s="131"/>
      <c r="AR25" s="131"/>
      <c r="AS25" s="99"/>
      <c r="AT25" s="98">
        <f t="shared" ref="AT25" si="55">AS25*$C$3</f>
        <v>0</v>
      </c>
      <c r="AU25" s="99">
        <v>87.1</v>
      </c>
      <c r="AV25" s="149">
        <f t="shared" ref="AV25" si="56">AU25*$C$3</f>
        <v>97.552000000000007</v>
      </c>
      <c r="AW25" s="99">
        <v>78.28</v>
      </c>
      <c r="AX25" s="99">
        <v>69.510000000000005</v>
      </c>
      <c r="AY25" s="101"/>
      <c r="AZ25" s="98">
        <f t="shared" ref="AZ25" si="57">AY25*$D$2</f>
        <v>0</v>
      </c>
      <c r="BA25" s="98"/>
      <c r="BB25" s="98"/>
      <c r="BC25" s="99"/>
      <c r="BD25" s="99"/>
      <c r="BE25" s="98">
        <f t="shared" ref="BE25" si="58">SUM(BC25*0.62)*$B$2</f>
        <v>0</v>
      </c>
      <c r="BF25" s="98">
        <f t="shared" ref="BF25" si="59">SUM(BD25*0.62)*$B$3</f>
        <v>0</v>
      </c>
      <c r="BG25" s="99"/>
      <c r="BH25" s="99"/>
      <c r="BI25" s="98">
        <f t="shared" ref="BI25" si="60">(BG25*$C$3)</f>
        <v>0</v>
      </c>
      <c r="BJ25" s="98">
        <f t="shared" ref="BJ25" si="61">BH25*$C$3</f>
        <v>0</v>
      </c>
      <c r="BK25" s="100"/>
      <c r="BL25" s="100"/>
      <c r="BM25" s="98"/>
      <c r="BN25" s="98">
        <f t="shared" ref="BN25" si="62">BM25*$C$3</f>
        <v>0</v>
      </c>
      <c r="BO25" s="105">
        <v>160.62</v>
      </c>
      <c r="BP25" s="149">
        <f t="shared" ref="BP25" si="63">BO25*$C$3</f>
        <v>179.89440000000002</v>
      </c>
      <c r="BQ25" s="112"/>
      <c r="BR25" s="112"/>
      <c r="BS25" s="104">
        <f t="shared" ref="BS25" si="64">(BQ25/$D$2)*$C$2</f>
        <v>0</v>
      </c>
      <c r="BT25" s="104">
        <f t="shared" ref="BT25" si="65">(BR25/$D$3)*$C$3</f>
        <v>0</v>
      </c>
      <c r="BU25" s="105">
        <v>13.24</v>
      </c>
      <c r="BV25" s="105">
        <v>0</v>
      </c>
      <c r="BW25" s="142">
        <f t="shared" ref="BW25" si="66">BU25*$E$2</f>
        <v>17.388532892000001</v>
      </c>
      <c r="BX25" s="142">
        <f t="shared" ref="BX25" si="67">BV25*$E$3</f>
        <v>0</v>
      </c>
      <c r="BY25" s="110"/>
      <c r="BZ25" s="110"/>
      <c r="CA25" s="142">
        <f t="shared" ref="CA25" si="68">BY25/2</f>
        <v>0</v>
      </c>
      <c r="CB25" s="142">
        <f t="shared" ref="CB25" si="69">BZ25/2</f>
        <v>0</v>
      </c>
      <c r="CC25" s="106"/>
      <c r="CD25" s="106"/>
      <c r="CE25" s="98">
        <f t="shared" ref="CE25" si="70">CC25*0.05</f>
        <v>0</v>
      </c>
      <c r="CF25" s="107">
        <f t="shared" ref="CF25" si="71">CD25*0.05</f>
        <v>0</v>
      </c>
      <c r="CG25" s="81"/>
      <c r="CH25" s="65">
        <f t="shared" ref="CH25" si="72">SUM(CI25:CO25)</f>
        <v>3994000</v>
      </c>
      <c r="CI25" s="74"/>
      <c r="CJ25" s="74"/>
      <c r="CK25" s="54">
        <v>2492000</v>
      </c>
      <c r="CL25" s="74"/>
      <c r="CM25" s="54">
        <v>1502000</v>
      </c>
      <c r="CN25" s="74"/>
      <c r="CO25" s="74"/>
      <c r="CP25" s="90"/>
      <c r="CQ25" s="68">
        <v>0</v>
      </c>
      <c r="CR25" s="69">
        <f>SUM(AO25,AQ25,F25,P25,BS25,AM25,AA25,AE25,J25,AI25,V25,BA25,BE25,CE25,AW25,CA25,BW25)</f>
        <v>524.47733289200005</v>
      </c>
      <c r="CS25" s="69">
        <f t="shared" ref="CS25" si="73">SUM(AP25,AR25,G25,Q25,BN25,AZ25,M25,BT25,AN25,S25,AB25,AF25,K25,AJ25,BI25,W25,BB25,BF25,CF25,BP25,BL25,CG25,AT25,AV25,AX25,CB25,BX25)</f>
        <v>927.85860000000002</v>
      </c>
      <c r="CT25" s="70">
        <f>(((CR25*$A$2)+(CS25*$A$3))*0.7)+((BJ25*$A$3)*0.75)</f>
        <v>3989527.7832080857</v>
      </c>
      <c r="CU25" s="70">
        <f>((CR25*$A$2)+(CS25*$A$3))*0.3+((BJ25*$A$3)*0.25)</f>
        <v>1709797.6213748939</v>
      </c>
      <c r="CV25" s="70">
        <f t="shared" ref="CV25" si="74">CT25-CH25</f>
        <v>-4472.2167919143103</v>
      </c>
      <c r="CW25" s="55"/>
      <c r="CX25" s="118"/>
    </row>
    <row r="26" spans="1:102">
      <c r="A26" s="18"/>
      <c r="B26" s="94"/>
      <c r="C26" s="92"/>
      <c r="D26" s="102">
        <v>0</v>
      </c>
      <c r="E26" s="102">
        <v>0</v>
      </c>
      <c r="F26" s="98">
        <f t="shared" si="36"/>
        <v>0</v>
      </c>
      <c r="G26" s="98">
        <f t="shared" si="36"/>
        <v>0</v>
      </c>
      <c r="H26" s="110"/>
      <c r="I26" s="110"/>
      <c r="J26" s="98">
        <f t="shared" si="3"/>
        <v>0</v>
      </c>
      <c r="K26" s="98">
        <f t="shared" si="4"/>
        <v>0</v>
      </c>
      <c r="L26" s="103">
        <v>0</v>
      </c>
      <c r="M26" s="98">
        <f t="shared" si="5"/>
        <v>0</v>
      </c>
      <c r="N26" s="98"/>
      <c r="O26" s="98"/>
      <c r="P26" s="98">
        <f t="shared" si="6"/>
        <v>0</v>
      </c>
      <c r="Q26" s="98">
        <f t="shared" si="7"/>
        <v>0</v>
      </c>
      <c r="R26" s="103">
        <v>0</v>
      </c>
      <c r="S26" s="98">
        <f t="shared" si="8"/>
        <v>0</v>
      </c>
      <c r="T26" s="108">
        <v>0</v>
      </c>
      <c r="U26" s="99">
        <v>0</v>
      </c>
      <c r="V26" s="98">
        <f t="shared" si="9"/>
        <v>0</v>
      </c>
      <c r="W26" s="98">
        <f t="shared" si="10"/>
        <v>0</v>
      </c>
      <c r="X26" s="120">
        <v>0</v>
      </c>
      <c r="Y26" s="120">
        <v>0</v>
      </c>
      <c r="Z26" s="110"/>
      <c r="AA26" s="121">
        <f t="shared" si="11"/>
        <v>0</v>
      </c>
      <c r="AB26" s="121">
        <f t="shared" si="12"/>
        <v>0</v>
      </c>
      <c r="AC26" s="110"/>
      <c r="AD26" s="110"/>
      <c r="AE26" s="121">
        <f t="shared" si="13"/>
        <v>0</v>
      </c>
      <c r="AF26" s="121">
        <f t="shared" si="13"/>
        <v>0</v>
      </c>
      <c r="AG26" s="98">
        <v>0</v>
      </c>
      <c r="AH26" s="98">
        <v>0</v>
      </c>
      <c r="AI26" s="98">
        <f t="shared" si="14"/>
        <v>0</v>
      </c>
      <c r="AJ26" s="98">
        <f t="shared" si="14"/>
        <v>0</v>
      </c>
      <c r="AK26" s="103"/>
      <c r="AL26" s="98"/>
      <c r="AM26" s="98">
        <f t="shared" si="15"/>
        <v>0</v>
      </c>
      <c r="AN26" s="98">
        <f t="shared" si="16"/>
        <v>0</v>
      </c>
      <c r="AO26" s="98"/>
      <c r="AP26" s="98"/>
      <c r="AQ26" s="131"/>
      <c r="AR26" s="131"/>
      <c r="AS26" s="99"/>
      <c r="AT26" s="98">
        <f t="shared" si="17"/>
        <v>0</v>
      </c>
      <c r="AU26" s="99"/>
      <c r="AV26" s="149">
        <f t="shared" si="18"/>
        <v>0</v>
      </c>
      <c r="AW26" s="99">
        <v>0</v>
      </c>
      <c r="AX26" s="99">
        <v>0</v>
      </c>
      <c r="AY26" s="101"/>
      <c r="AZ26" s="98">
        <f t="shared" si="19"/>
        <v>0</v>
      </c>
      <c r="BA26" s="98"/>
      <c r="BB26" s="98"/>
      <c r="BC26" s="99"/>
      <c r="BD26" s="99"/>
      <c r="BE26" s="98">
        <f t="shared" si="20"/>
        <v>0</v>
      </c>
      <c r="BF26" s="98">
        <f t="shared" si="21"/>
        <v>0</v>
      </c>
      <c r="BG26" s="99"/>
      <c r="BH26" s="99"/>
      <c r="BI26" s="98">
        <f t="shared" si="22"/>
        <v>0</v>
      </c>
      <c r="BJ26" s="98">
        <f t="shared" si="23"/>
        <v>0</v>
      </c>
      <c r="BK26" s="100"/>
      <c r="BL26" s="100"/>
      <c r="BM26" s="98"/>
      <c r="BN26" s="98">
        <f t="shared" si="24"/>
        <v>0</v>
      </c>
      <c r="BO26" s="105">
        <v>0</v>
      </c>
      <c r="BP26" s="149">
        <f t="shared" si="25"/>
        <v>0</v>
      </c>
      <c r="BQ26" s="112"/>
      <c r="BR26" s="112"/>
      <c r="BS26" s="104">
        <f t="shared" si="26"/>
        <v>0</v>
      </c>
      <c r="BT26" s="104">
        <f t="shared" si="27"/>
        <v>0</v>
      </c>
      <c r="BU26" s="105">
        <v>0</v>
      </c>
      <c r="BV26" s="105">
        <v>0</v>
      </c>
      <c r="BW26" s="142">
        <f t="shared" si="28"/>
        <v>0</v>
      </c>
      <c r="BX26" s="142">
        <f t="shared" si="29"/>
        <v>0</v>
      </c>
      <c r="BY26" s="110"/>
      <c r="BZ26" s="110"/>
      <c r="CA26" s="142">
        <f t="shared" si="30"/>
        <v>0</v>
      </c>
      <c r="CB26" s="142">
        <f t="shared" si="30"/>
        <v>0</v>
      </c>
      <c r="CC26" s="106"/>
      <c r="CD26" s="106"/>
      <c r="CE26" s="98">
        <f t="shared" si="31"/>
        <v>0</v>
      </c>
      <c r="CF26" s="107">
        <f t="shared" si="31"/>
        <v>0</v>
      </c>
      <c r="CG26" s="81"/>
      <c r="CH26" s="65">
        <f t="shared" si="32"/>
        <v>0</v>
      </c>
      <c r="CI26" s="74"/>
      <c r="CJ26" s="74"/>
      <c r="CK26" s="54"/>
      <c r="CL26" s="74"/>
      <c r="CM26" s="54"/>
      <c r="CN26" s="74"/>
      <c r="CO26" s="74"/>
      <c r="CP26" s="90"/>
      <c r="CQ26" s="68">
        <v>0</v>
      </c>
      <c r="CR26" s="69">
        <f t="shared" si="33"/>
        <v>0</v>
      </c>
      <c r="CS26" s="69">
        <f>SUM(AP26,AR26,G26,Q26,BN26,AZ26,M26,BT26,AN26,S26,AB26,AF26,K26,AJ26,BI26,W26,BB26,BF26,CF26,BP26,BL26,CG26,AT26,AV26,AX26,CB26,BX26)</f>
        <v>0</v>
      </c>
      <c r="CT26" s="70">
        <f t="shared" si="0"/>
        <v>0</v>
      </c>
      <c r="CU26" s="70">
        <f t="shared" si="1"/>
        <v>0</v>
      </c>
      <c r="CV26" s="70">
        <f t="shared" si="35"/>
        <v>0</v>
      </c>
      <c r="CW26" s="55"/>
      <c r="CX26" s="118"/>
    </row>
    <row r="27" spans="1:102" s="5" customFormat="1" ht="44.25" customHeight="1">
      <c r="A27" s="19"/>
      <c r="B27" s="38"/>
      <c r="C27" s="20" t="s">
        <v>172</v>
      </c>
      <c r="D27" s="77">
        <f t="shared" ref="D27:AI27" si="75">SUM(D7:D26)</f>
        <v>82.96</v>
      </c>
      <c r="E27" s="77">
        <f t="shared" si="75"/>
        <v>47.900000000000006</v>
      </c>
      <c r="F27" s="77">
        <f t="shared" si="75"/>
        <v>49.775999999999996</v>
      </c>
      <c r="G27" s="77">
        <f t="shared" si="75"/>
        <v>28.740000000000002</v>
      </c>
      <c r="H27" s="77">
        <f t="shared" si="75"/>
        <v>183</v>
      </c>
      <c r="I27" s="77">
        <f t="shared" si="75"/>
        <v>90</v>
      </c>
      <c r="J27" s="77">
        <f t="shared" si="75"/>
        <v>161.2962</v>
      </c>
      <c r="K27" s="77">
        <f t="shared" si="75"/>
        <v>78.624000000000009</v>
      </c>
      <c r="L27" s="77">
        <f t="shared" si="75"/>
        <v>885.29</v>
      </c>
      <c r="M27" s="77">
        <f t="shared" si="75"/>
        <v>885.29</v>
      </c>
      <c r="N27" s="77">
        <f t="shared" si="75"/>
        <v>85.3</v>
      </c>
      <c r="O27" s="77">
        <f t="shared" si="75"/>
        <v>141.61000000000001</v>
      </c>
      <c r="P27" s="77">
        <f t="shared" si="75"/>
        <v>96.388999999999982</v>
      </c>
      <c r="Q27" s="77">
        <f t="shared" si="75"/>
        <v>158.60320000000002</v>
      </c>
      <c r="R27" s="77">
        <f t="shared" si="75"/>
        <v>897.05</v>
      </c>
      <c r="S27" s="77">
        <f t="shared" si="75"/>
        <v>1004.696</v>
      </c>
      <c r="T27" s="77">
        <f t="shared" si="75"/>
        <v>440.84000000000003</v>
      </c>
      <c r="U27" s="77">
        <f t="shared" si="75"/>
        <v>353.79999999999995</v>
      </c>
      <c r="V27" s="77">
        <f t="shared" si="75"/>
        <v>498.14919999999995</v>
      </c>
      <c r="W27" s="77">
        <f t="shared" si="75"/>
        <v>396.25600000000003</v>
      </c>
      <c r="X27" s="77">
        <f t="shared" si="75"/>
        <v>699.37</v>
      </c>
      <c r="Y27" s="77">
        <f t="shared" si="75"/>
        <v>331.14</v>
      </c>
      <c r="Z27" s="77">
        <f t="shared" si="75"/>
        <v>0</v>
      </c>
      <c r="AA27" s="77">
        <f t="shared" si="75"/>
        <v>524.52749999999992</v>
      </c>
      <c r="AB27" s="77">
        <f t="shared" si="75"/>
        <v>248.35499999999999</v>
      </c>
      <c r="AC27" s="77">
        <f t="shared" si="75"/>
        <v>0</v>
      </c>
      <c r="AD27" s="77">
        <f t="shared" si="75"/>
        <v>0</v>
      </c>
      <c r="AE27" s="77">
        <f t="shared" si="75"/>
        <v>0</v>
      </c>
      <c r="AF27" s="77">
        <f t="shared" si="75"/>
        <v>0</v>
      </c>
      <c r="AG27" s="77">
        <f t="shared" si="75"/>
        <v>0</v>
      </c>
      <c r="AH27" s="77">
        <f t="shared" si="75"/>
        <v>0</v>
      </c>
      <c r="AI27" s="77">
        <f t="shared" si="75"/>
        <v>0</v>
      </c>
      <c r="AJ27" s="77">
        <f t="shared" ref="AJ27:BO27" si="76">SUM(AJ7:AJ26)</f>
        <v>0</v>
      </c>
      <c r="AK27" s="77">
        <f t="shared" si="76"/>
        <v>1400.9800000000005</v>
      </c>
      <c r="AL27" s="77">
        <f t="shared" si="76"/>
        <v>945.86</v>
      </c>
      <c r="AM27" s="77">
        <f t="shared" si="76"/>
        <v>1583.1073999999999</v>
      </c>
      <c r="AN27" s="77">
        <f t="shared" si="76"/>
        <v>1059.3632000000002</v>
      </c>
      <c r="AO27" s="77">
        <f t="shared" si="76"/>
        <v>1.6</v>
      </c>
      <c r="AP27" s="77">
        <f t="shared" si="76"/>
        <v>0</v>
      </c>
      <c r="AQ27" s="77">
        <f t="shared" si="76"/>
        <v>322.63</v>
      </c>
      <c r="AR27" s="77">
        <f t="shared" si="76"/>
        <v>433.66999999999996</v>
      </c>
      <c r="AS27" s="77">
        <f t="shared" si="76"/>
        <v>0</v>
      </c>
      <c r="AT27" s="77">
        <f t="shared" si="76"/>
        <v>0</v>
      </c>
      <c r="AU27" s="77">
        <f t="shared" si="76"/>
        <v>235.85</v>
      </c>
      <c r="AV27" s="77">
        <f t="shared" si="76"/>
        <v>264.15200000000004</v>
      </c>
      <c r="AW27" s="77">
        <f t="shared" si="76"/>
        <v>858.04000000000008</v>
      </c>
      <c r="AX27" s="77">
        <f t="shared" si="76"/>
        <v>721.32999999999993</v>
      </c>
      <c r="AY27" s="77">
        <f t="shared" si="76"/>
        <v>0</v>
      </c>
      <c r="AZ27" s="77">
        <f t="shared" si="76"/>
        <v>0</v>
      </c>
      <c r="BA27" s="77">
        <f t="shared" si="76"/>
        <v>144.32</v>
      </c>
      <c r="BB27" s="77">
        <f t="shared" si="76"/>
        <v>153.31</v>
      </c>
      <c r="BC27" s="77">
        <f t="shared" si="76"/>
        <v>18.369999999999997</v>
      </c>
      <c r="BD27" s="77">
        <f t="shared" si="76"/>
        <v>148.32</v>
      </c>
      <c r="BE27" s="77">
        <f t="shared" si="76"/>
        <v>15.034007999999998</v>
      </c>
      <c r="BF27" s="77">
        <f t="shared" si="76"/>
        <v>120.46550400000001</v>
      </c>
      <c r="BG27" s="77">
        <f t="shared" si="76"/>
        <v>921.97</v>
      </c>
      <c r="BH27" s="77">
        <f t="shared" si="76"/>
        <v>108.77</v>
      </c>
      <c r="BI27" s="77">
        <f t="shared" si="76"/>
        <v>1032.6064000000001</v>
      </c>
      <c r="BJ27" s="77">
        <f t="shared" si="76"/>
        <v>121.82240000000002</v>
      </c>
      <c r="BK27" s="77">
        <f t="shared" si="76"/>
        <v>0</v>
      </c>
      <c r="BL27" s="77">
        <f t="shared" si="76"/>
        <v>0</v>
      </c>
      <c r="BM27" s="77">
        <f t="shared" si="76"/>
        <v>0</v>
      </c>
      <c r="BN27" s="77">
        <f t="shared" si="76"/>
        <v>0</v>
      </c>
      <c r="BO27" s="77">
        <f t="shared" si="76"/>
        <v>1369.5100000000002</v>
      </c>
      <c r="BP27" s="77">
        <f t="shared" ref="BP27:CP27" si="77">SUM(BP7:BP26)</f>
        <v>1533.8512000000001</v>
      </c>
      <c r="BQ27" s="114">
        <f t="shared" si="77"/>
        <v>0</v>
      </c>
      <c r="BR27" s="77">
        <f t="shared" si="77"/>
        <v>0</v>
      </c>
      <c r="BS27" s="77">
        <f t="shared" si="77"/>
        <v>0</v>
      </c>
      <c r="BT27" s="77">
        <f t="shared" si="77"/>
        <v>0</v>
      </c>
      <c r="BU27" s="77">
        <f t="shared" si="77"/>
        <v>76.959999999999994</v>
      </c>
      <c r="BV27" s="77">
        <f t="shared" si="77"/>
        <v>185.38</v>
      </c>
      <c r="BW27" s="77">
        <f t="shared" si="77"/>
        <v>101.074130768</v>
      </c>
      <c r="BX27" s="77">
        <f t="shared" si="77"/>
        <v>242.84780000000001</v>
      </c>
      <c r="BY27" s="77">
        <f t="shared" si="77"/>
        <v>252.19</v>
      </c>
      <c r="BZ27" s="77">
        <f t="shared" si="77"/>
        <v>171.70999999999998</v>
      </c>
      <c r="CA27" s="77">
        <f t="shared" si="77"/>
        <v>126.095</v>
      </c>
      <c r="CB27" s="77">
        <f t="shared" si="77"/>
        <v>85.85499999999999</v>
      </c>
      <c r="CC27" s="77">
        <f t="shared" si="77"/>
        <v>769</v>
      </c>
      <c r="CD27" s="77">
        <f t="shared" si="77"/>
        <v>1476</v>
      </c>
      <c r="CE27" s="77">
        <f t="shared" si="77"/>
        <v>38.450000000000003</v>
      </c>
      <c r="CF27" s="77">
        <f t="shared" si="77"/>
        <v>73.8</v>
      </c>
      <c r="CG27" s="77">
        <f t="shared" si="77"/>
        <v>0</v>
      </c>
      <c r="CH27" s="77">
        <f t="shared" si="77"/>
        <v>31486087</v>
      </c>
      <c r="CI27" s="77">
        <f t="shared" si="77"/>
        <v>0</v>
      </c>
      <c r="CJ27" s="77">
        <f t="shared" si="77"/>
        <v>0</v>
      </c>
      <c r="CK27" s="77">
        <f t="shared" si="77"/>
        <v>17028000</v>
      </c>
      <c r="CL27" s="77">
        <f t="shared" si="77"/>
        <v>227087</v>
      </c>
      <c r="CM27" s="77">
        <f t="shared" si="77"/>
        <v>14231000</v>
      </c>
      <c r="CN27" s="77">
        <f t="shared" si="77"/>
        <v>0</v>
      </c>
      <c r="CO27" s="77">
        <f t="shared" si="77"/>
        <v>0</v>
      </c>
      <c r="CP27" s="77">
        <f t="shared" si="77"/>
        <v>0</v>
      </c>
      <c r="CR27" s="5">
        <f>SUM(CR7:CR26)</f>
        <v>4520.4884387679995</v>
      </c>
      <c r="CS27" s="5">
        <f>SUM(CS7:CS26)</f>
        <v>8521.8153040000016</v>
      </c>
      <c r="CT27" s="6">
        <f>SUM(CT7:CT26)</f>
        <v>31662292.122644648</v>
      </c>
      <c r="CU27" s="6">
        <f>SUM(CU7:CU26)</f>
        <v>20036911.159399271</v>
      </c>
      <c r="CV27" s="5">
        <f>SUM(CV7:CV26)</f>
        <v>176205.12264464961</v>
      </c>
      <c r="CW27" s="56" t="s">
        <v>173</v>
      </c>
      <c r="CX27" s="57">
        <f>SUM(CX6:CX26)</f>
        <v>10131787</v>
      </c>
    </row>
    <row r="28" spans="1:102" ht="26.25">
      <c r="B28" s="39"/>
      <c r="CW28" s="58" t="s">
        <v>174</v>
      </c>
      <c r="CX28" s="47">
        <f>CU27</f>
        <v>20036911.159399271</v>
      </c>
    </row>
    <row r="29" spans="1:102" ht="28.5">
      <c r="CW29" s="59" t="s">
        <v>175</v>
      </c>
      <c r="CX29" s="76">
        <f>CX28-CX27</f>
        <v>9905124.159399271</v>
      </c>
    </row>
    <row r="30" spans="1:102">
      <c r="B30" s="1"/>
      <c r="H30" s="10"/>
      <c r="I30" s="10"/>
      <c r="J30" s="10"/>
      <c r="K30" s="10"/>
      <c r="L30" s="88"/>
      <c r="M30" s="10"/>
      <c r="N30" s="10"/>
      <c r="O30" s="10"/>
      <c r="BT30" s="7"/>
      <c r="BX30" s="7"/>
      <c r="CB30" s="7"/>
      <c r="CC30" s="8"/>
      <c r="CD30" s="5"/>
      <c r="CE30" s="5"/>
    </row>
    <row r="31" spans="1:102">
      <c r="A31" s="12"/>
      <c r="B31" s="1"/>
      <c r="C31" s="40"/>
      <c r="D31" s="40"/>
      <c r="E31" s="40"/>
      <c r="F31" s="40"/>
      <c r="G31" s="40"/>
      <c r="H31" s="40"/>
    </row>
    <row r="32" spans="1:102" ht="52.5" customHeight="1">
      <c r="A32" s="12"/>
      <c r="B32" s="1"/>
      <c r="C32" s="40"/>
      <c r="D32" s="13"/>
      <c r="E32" s="40"/>
      <c r="F32" s="41"/>
      <c r="G32" s="42"/>
      <c r="H32" s="40"/>
      <c r="V32" s="10"/>
      <c r="W32" s="10"/>
      <c r="X32" s="10"/>
      <c r="Y32" s="10"/>
      <c r="Z32" s="10"/>
      <c r="AA32" s="10"/>
      <c r="AB32" s="10"/>
      <c r="AC32" s="10"/>
      <c r="AD32" s="10"/>
    </row>
    <row r="33" spans="1:90">
      <c r="A33" s="12"/>
      <c r="B33" s="1"/>
      <c r="C33" s="40"/>
      <c r="D33" s="13"/>
      <c r="E33" s="40"/>
      <c r="F33" s="42"/>
      <c r="G33" s="42"/>
      <c r="H33" s="40"/>
      <c r="Q33" s="40"/>
      <c r="R33" s="40"/>
      <c r="S33" s="40"/>
      <c r="T33" s="40"/>
      <c r="U33" s="40"/>
      <c r="V33" s="40"/>
      <c r="CL33" s="1">
        <v>2</v>
      </c>
    </row>
    <row r="34" spans="1:90">
      <c r="A34" s="12"/>
      <c r="B34" s="1"/>
      <c r="C34" s="40"/>
      <c r="D34" s="13"/>
      <c r="E34" s="40"/>
      <c r="F34" s="42"/>
      <c r="G34" s="42"/>
      <c r="H34" s="40"/>
      <c r="Q34" s="40"/>
      <c r="R34" s="13"/>
      <c r="S34" s="40"/>
      <c r="T34" s="41"/>
      <c r="U34" s="42"/>
      <c r="V34" s="40"/>
    </row>
    <row r="35" spans="1:90">
      <c r="A35" s="12"/>
      <c r="B35" s="1"/>
      <c r="C35" s="40"/>
      <c r="D35" s="40"/>
      <c r="E35" s="40"/>
      <c r="F35" s="40"/>
      <c r="G35" s="40"/>
      <c r="H35" s="40"/>
      <c r="Q35" s="40"/>
      <c r="R35" s="13"/>
      <c r="S35" s="40"/>
      <c r="T35" s="42"/>
      <c r="U35" s="42"/>
      <c r="V35" s="40"/>
    </row>
    <row r="36" spans="1:90" ht="20.25" customHeight="1">
      <c r="A36" s="12"/>
      <c r="B36" s="1"/>
      <c r="C36" s="40"/>
      <c r="D36" s="14"/>
      <c r="E36" s="40"/>
      <c r="F36" s="42"/>
      <c r="G36" s="42"/>
      <c r="H36" s="40"/>
      <c r="Q36" s="40"/>
      <c r="R36" s="13"/>
      <c r="S36" s="40"/>
      <c r="T36" s="42"/>
      <c r="U36" s="42"/>
      <c r="V36" s="40"/>
    </row>
    <row r="37" spans="1:90" ht="18" customHeight="1">
      <c r="A37" s="12"/>
      <c r="B37" s="1"/>
      <c r="C37" s="40"/>
      <c r="D37" s="40"/>
      <c r="E37" s="40"/>
      <c r="F37" s="40"/>
      <c r="G37" s="40"/>
      <c r="H37" s="40"/>
      <c r="Q37" s="40"/>
      <c r="R37" s="40"/>
      <c r="S37" s="40"/>
      <c r="T37" s="40"/>
      <c r="U37" s="40"/>
      <c r="V37" s="40"/>
    </row>
    <row r="38" spans="1:90">
      <c r="A38" s="12"/>
      <c r="B38" s="1"/>
      <c r="C38" s="40"/>
      <c r="D38" s="40"/>
      <c r="E38" s="40"/>
      <c r="F38" s="40"/>
      <c r="G38" s="40"/>
      <c r="H38" s="40"/>
      <c r="Q38" s="40"/>
      <c r="R38" s="14"/>
      <c r="S38" s="40"/>
      <c r="T38" s="42"/>
      <c r="U38" s="42"/>
      <c r="V38" s="40"/>
    </row>
    <row r="39" spans="1:90">
      <c r="A39" s="12"/>
      <c r="B39" s="1"/>
      <c r="Q39" s="40"/>
      <c r="R39" s="40"/>
      <c r="S39" s="40"/>
      <c r="T39" s="40"/>
      <c r="U39" s="40"/>
      <c r="V39" s="40"/>
    </row>
    <row r="40" spans="1:90">
      <c r="A40" s="12"/>
      <c r="B40" s="1"/>
      <c r="Q40" s="40"/>
      <c r="R40" s="40"/>
      <c r="S40" s="40"/>
      <c r="T40" s="40"/>
      <c r="U40" s="40"/>
      <c r="V40" s="40"/>
    </row>
    <row r="41" spans="1:90">
      <c r="A41" s="12"/>
      <c r="B41" s="1"/>
    </row>
    <row r="42" spans="1:90">
      <c r="A42" s="12"/>
      <c r="B42" s="1"/>
    </row>
    <row r="43" spans="1:90" ht="21" customHeight="1">
      <c r="A43" s="12"/>
      <c r="B43" s="1"/>
    </row>
    <row r="44" spans="1:90">
      <c r="A44" s="12"/>
      <c r="B44" s="1"/>
    </row>
    <row r="45" spans="1:90" ht="20.25" customHeight="1">
      <c r="A45" s="12"/>
      <c r="B45" s="1"/>
    </row>
    <row r="46" spans="1:90">
      <c r="B46" s="1"/>
      <c r="H46" s="10"/>
      <c r="I46" s="10"/>
      <c r="J46" s="10"/>
      <c r="K46" s="10"/>
      <c r="L46" s="10"/>
      <c r="M46" s="10"/>
      <c r="N46" s="10"/>
      <c r="O46" s="10"/>
    </row>
    <row r="47" spans="1:90">
      <c r="B47" s="1"/>
      <c r="C47" s="40"/>
      <c r="D47" s="40"/>
      <c r="E47" s="40"/>
      <c r="F47" s="40"/>
      <c r="G47" s="40"/>
      <c r="H47" s="40"/>
    </row>
    <row r="48" spans="1:90">
      <c r="B48" s="1"/>
      <c r="C48" s="40"/>
      <c r="D48" s="13"/>
      <c r="E48" s="40"/>
      <c r="F48" s="41"/>
      <c r="G48" s="42"/>
      <c r="H48" s="40"/>
    </row>
    <row r="49" spans="1:11">
      <c r="B49" s="1"/>
      <c r="C49" s="40"/>
      <c r="D49" s="13"/>
      <c r="E49" s="40"/>
      <c r="F49" s="42"/>
      <c r="G49" s="42"/>
      <c r="H49" s="40"/>
    </row>
    <row r="50" spans="1:11">
      <c r="B50" s="1"/>
      <c r="C50" s="40"/>
      <c r="D50" s="13"/>
      <c r="E50" s="40"/>
      <c r="F50" s="42"/>
      <c r="G50" s="42"/>
      <c r="H50" s="40"/>
    </row>
    <row r="51" spans="1:11" ht="21.75" customHeight="1">
      <c r="B51" s="1"/>
      <c r="C51" s="40"/>
      <c r="D51" s="40"/>
      <c r="E51" s="40"/>
      <c r="F51" s="40"/>
      <c r="G51" s="40"/>
      <c r="H51" s="40"/>
    </row>
    <row r="52" spans="1:11" ht="21.75" customHeight="1">
      <c r="B52" s="1"/>
      <c r="C52" s="40"/>
      <c r="D52" s="14"/>
      <c r="E52" s="40"/>
      <c r="F52" s="42"/>
      <c r="G52" s="42"/>
      <c r="H52" s="40"/>
    </row>
    <row r="53" spans="1:11" ht="21.75" customHeight="1">
      <c r="B53" s="1"/>
    </row>
    <row r="54" spans="1:11" ht="21.75" customHeight="1">
      <c r="B54" s="1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B58" s="1"/>
    </row>
    <row r="59" spans="1:11" ht="21.75" customHeight="1">
      <c r="B59" s="1"/>
    </row>
    <row r="60" spans="1:11" ht="21.75" customHeight="1">
      <c r="A60" s="12"/>
      <c r="B60" s="1"/>
    </row>
    <row r="61" spans="1:11" ht="21.75" customHeight="1">
      <c r="A61" s="12"/>
      <c r="B61" s="1"/>
    </row>
    <row r="62" spans="1:11" ht="21.75" customHeight="1">
      <c r="B62" s="1"/>
      <c r="K62" s="11"/>
    </row>
    <row r="63" spans="1:11" ht="21.75" customHeight="1">
      <c r="B63" s="1"/>
      <c r="K63" s="11"/>
    </row>
    <row r="64" spans="1:11">
      <c r="B64" s="1"/>
      <c r="K64" s="11"/>
    </row>
    <row r="65" spans="2:35">
      <c r="B65" s="1"/>
      <c r="K65" s="11"/>
    </row>
    <row r="66" spans="2:35">
      <c r="B66" s="1"/>
      <c r="K66" s="11"/>
    </row>
    <row r="67" spans="2:35">
      <c r="B67" s="1"/>
      <c r="K67" s="16"/>
    </row>
    <row r="68" spans="2:35">
      <c r="B68" s="1"/>
      <c r="K68" s="12"/>
    </row>
    <row r="69" spans="2:35">
      <c r="B69" s="1"/>
    </row>
    <row r="70" spans="2:35">
      <c r="B70" s="1"/>
    </row>
    <row r="71" spans="2:35">
      <c r="B71" s="9"/>
      <c r="C71" s="9"/>
      <c r="D71" s="9"/>
      <c r="E71" s="9"/>
      <c r="F71" s="9"/>
      <c r="G71" s="9"/>
      <c r="H71" s="9"/>
      <c r="I71" s="9"/>
      <c r="J71" s="9"/>
    </row>
    <row r="72" spans="2:35">
      <c r="B72" s="1"/>
    </row>
    <row r="73" spans="2:35" ht="46.5" customHeight="1">
      <c r="B73" s="1"/>
      <c r="K73" s="9"/>
      <c r="U73" s="9"/>
      <c r="V73" s="9"/>
      <c r="W73" s="9"/>
      <c r="X73" s="9"/>
      <c r="Y73" s="9"/>
      <c r="Z73" s="9"/>
      <c r="AA73" s="9"/>
      <c r="AB73" s="9"/>
      <c r="AC73" s="9"/>
      <c r="AD73" s="9"/>
      <c r="AI73" s="17"/>
    </row>
    <row r="74" spans="2:35" ht="21.75" customHeight="1">
      <c r="B74" s="1"/>
    </row>
    <row r="75" spans="2:35">
      <c r="B75" s="1"/>
      <c r="M75" s="9"/>
      <c r="N75" s="9"/>
      <c r="O75" s="9"/>
      <c r="P75" s="9"/>
      <c r="Q75" s="9"/>
      <c r="R75" s="9"/>
      <c r="S75" s="9"/>
      <c r="T75" s="9"/>
    </row>
    <row r="76" spans="2:35">
      <c r="B76" s="1"/>
    </row>
    <row r="77" spans="2:35">
      <c r="B77" s="1"/>
    </row>
    <row r="78" spans="2:35">
      <c r="B78" s="1"/>
    </row>
    <row r="79" spans="2:35">
      <c r="B79" s="1"/>
    </row>
    <row r="80" spans="2:35">
      <c r="B80" s="1"/>
    </row>
    <row r="81" spans="1:12">
      <c r="B81" s="1"/>
    </row>
    <row r="82" spans="1:12">
      <c r="B82" s="1"/>
    </row>
    <row r="83" spans="1:12">
      <c r="B83" s="1"/>
    </row>
    <row r="84" spans="1:12">
      <c r="B84" s="1"/>
    </row>
    <row r="85" spans="1:12">
      <c r="B85" s="1"/>
    </row>
    <row r="86" spans="1:12">
      <c r="B86" s="1"/>
    </row>
    <row r="87" spans="1:12">
      <c r="B87" s="1"/>
    </row>
    <row r="88" spans="1:12">
      <c r="B88" s="1"/>
    </row>
    <row r="89" spans="1:12">
      <c r="B89" s="1"/>
    </row>
    <row r="90" spans="1:12">
      <c r="B90" s="1"/>
    </row>
    <row r="91" spans="1:12">
      <c r="B91" s="1"/>
    </row>
    <row r="92" spans="1:12">
      <c r="B92" s="1"/>
    </row>
    <row r="93" spans="1:12">
      <c r="B93" s="1"/>
      <c r="D93" s="9"/>
      <c r="E93" s="9"/>
      <c r="F93" s="9"/>
      <c r="G93" s="9"/>
      <c r="H93" s="9"/>
      <c r="I93" s="9"/>
      <c r="J93" s="9"/>
      <c r="K93" s="9"/>
      <c r="L93" s="9"/>
    </row>
    <row r="94" spans="1:12">
      <c r="B94" s="1"/>
    </row>
    <row r="95" spans="1:12">
      <c r="A95" s="9"/>
      <c r="B95" s="9"/>
      <c r="C95" s="9"/>
    </row>
    <row r="96" spans="1:1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1:12">
      <c r="B113" s="1"/>
    </row>
    <row r="114" spans="1:12">
      <c r="B114" s="1"/>
      <c r="D114" s="9"/>
      <c r="E114" s="9"/>
      <c r="F114" s="9"/>
      <c r="G114" s="9"/>
      <c r="H114" s="9"/>
      <c r="I114" s="9"/>
    </row>
    <row r="115" spans="1:12">
      <c r="B115" s="1"/>
      <c r="J115" s="9"/>
      <c r="K115" s="9"/>
      <c r="L115" s="9"/>
    </row>
    <row r="116" spans="1:12">
      <c r="A116" s="9"/>
      <c r="B116" s="9"/>
      <c r="C116" s="9"/>
    </row>
    <row r="117" spans="1:12">
      <c r="B117" s="1"/>
    </row>
    <row r="118" spans="1:12">
      <c r="B118" s="1"/>
    </row>
  </sheetData>
  <mergeCells count="27">
    <mergeCell ref="T5:W5"/>
    <mergeCell ref="D5:G5"/>
    <mergeCell ref="H5:K5"/>
    <mergeCell ref="L5:M5"/>
    <mergeCell ref="N5:Q5"/>
    <mergeCell ref="R5:S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</mergeCells>
  <conditionalFormatting sqref="CT7:CV26">
    <cfRule type="cellIs" dxfId="149" priority="28" operator="lessThan">
      <formula>0</formula>
    </cfRule>
    <cfRule type="cellIs" dxfId="148" priority="29" operator="greaterThan">
      <formula>0</formula>
    </cfRule>
  </conditionalFormatting>
  <conditionalFormatting sqref="CR7:CS26">
    <cfRule type="cellIs" dxfId="147" priority="24" operator="greaterThan">
      <formula>1000</formula>
    </cfRule>
    <cfRule type="cellIs" dxfId="146" priority="25" operator="between">
      <formula>500</formula>
      <formula>1000</formula>
    </cfRule>
    <cfRule type="cellIs" dxfId="145" priority="26" operator="between">
      <formula>300</formula>
      <formula>500</formula>
    </cfRule>
    <cfRule type="cellIs" dxfId="144" priority="27" operator="lessThan">
      <formula>300</formula>
    </cfRule>
  </conditionalFormatting>
  <conditionalFormatting sqref="AI73">
    <cfRule type="cellIs" dxfId="143" priority="23" operator="greaterThanOrEqual">
      <formula>10</formula>
    </cfRule>
  </conditionalFormatting>
  <conditionalFormatting sqref="B119:B1048576 B6 C5 B13:B52">
    <cfRule type="duplicateValues" dxfId="142" priority="22"/>
  </conditionalFormatting>
  <conditionalFormatting sqref="C13:C26">
    <cfRule type="containsText" dxfId="141" priority="21" operator="containsText" text="@">
      <formula>NOT(ISERROR(SEARCH("@",C13)))</formula>
    </cfRule>
  </conditionalFormatting>
  <conditionalFormatting sqref="B13:B26">
    <cfRule type="notContainsBlanks" dxfId="140" priority="20">
      <formula>LEN(TRIM(B13))&gt;0</formula>
    </cfRule>
  </conditionalFormatting>
  <conditionalFormatting sqref="Z7:AN7 CH6:CO7 D7:M7 P7:W7 AC8:AD8 C8 AU7:AX7 Z8:Z11 AY8:AY11 AA8:AB12 AZ8:BF12 CA8:CV12 AE8:AJ12 D8:K12 B15:Q15 BI7:CG7 L8:R8 CP7:CV7 F23:S23 AM15:BF15 CP14:XFD15 A24:S24 AM16:BN17 BP16:XFD17 BP10:BZ12 BP9:BX9 BI8:BX8 BY8:BZ9 Z25:XFD26 A25:W26 A16:E23 F16:Q22 AM18:XFD24 A13:K14 AM8:AP14 L9:Q14 CP13:CX13 CY7:XFD13 AQ7:AR14 AY13:BF14 AS8:AX14 BG7:BH15 BP13:CO15 BI9:BN15 BO9:BO17 R9:R22 S8:S22 T8:W24 Z13:AJ24 AK8:AL24 BA7:BB7">
    <cfRule type="expression" dxfId="139" priority="19">
      <formula>CELL("row")=ROW()</formula>
    </cfRule>
  </conditionalFormatting>
  <conditionalFormatting sqref="A1">
    <cfRule type="expression" dxfId="138" priority="18">
      <formula>CELL("row")=ROW()</formula>
    </cfRule>
  </conditionalFormatting>
  <conditionalFormatting sqref="C7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{CA40D819-30AF-41F6-B2A1-D5B0BDA20E77}</x14:id>
        </ext>
      </extLst>
    </cfRule>
  </conditionalFormatting>
  <conditionalFormatting sqref="AS7:AT7 AY7:AZ7 N7:O7 AO7:AP7 BC7:BF7">
    <cfRule type="expression" dxfId="137" priority="16">
      <formula>CELL("row")=ROW()</formula>
    </cfRule>
  </conditionalFormatting>
  <conditionalFormatting sqref="C33">
    <cfRule type="duplicateValues" dxfId="136" priority="15"/>
  </conditionalFormatting>
  <conditionalFormatting sqref="C33">
    <cfRule type="containsText" dxfId="135" priority="14" operator="containsText" text="@">
      <formula>NOT(ISERROR(SEARCH("@",C33)))</formula>
    </cfRule>
  </conditionalFormatting>
  <conditionalFormatting sqref="C33">
    <cfRule type="expression" dxfId="134" priority="13">
      <formula>CELL("row")=ROW()</formula>
    </cfRule>
  </conditionalFormatting>
  <conditionalFormatting sqref="C3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{F8A0DBE5-CC01-4E23-BEA9-D22693C3BD05}</x14:id>
        </ext>
      </extLst>
    </cfRule>
  </conditionalFormatting>
  <conditionalFormatting sqref="C36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{82BCB650-0D29-4E1C-B272-21D1495C7F36}</x14:id>
        </ext>
      </extLst>
    </cfRule>
  </conditionalFormatting>
  <conditionalFormatting sqref="C41">
    <cfRule type="containsText" dxfId="133" priority="10" operator="containsText" text="@">
      <formula>NOT(ISERROR(SEARCH("@",C41)))</formula>
    </cfRule>
  </conditionalFormatting>
  <conditionalFormatting sqref="C41">
    <cfRule type="expression" dxfId="132" priority="9">
      <formula>CELL("row")=ROW()</formula>
    </cfRule>
  </conditionalFormatting>
  <conditionalFormatting sqref="C42">
    <cfRule type="duplicateValues" dxfId="131" priority="8"/>
  </conditionalFormatting>
  <conditionalFormatting sqref="C42">
    <cfRule type="containsText" dxfId="130" priority="7" operator="containsText" text="@">
      <formula>NOT(ISERROR(SEARCH("@",C42)))</formula>
    </cfRule>
  </conditionalFormatting>
  <conditionalFormatting sqref="C42">
    <cfRule type="expression" dxfId="129" priority="6">
      <formula>CELL("row")=ROW()</formula>
    </cfRule>
  </conditionalFormatting>
  <conditionalFormatting sqref="C44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{CF72DE65-07DE-4537-8B96-1B5702363D84}</x14:id>
        </ext>
      </extLst>
    </cfRule>
  </conditionalFormatting>
  <conditionalFormatting sqref="C48">
    <cfRule type="duplicateValues" dxfId="128" priority="4"/>
  </conditionalFormatting>
  <conditionalFormatting sqref="C48">
    <cfRule type="containsText" dxfId="127" priority="3" operator="containsText" text="@">
      <formula>NOT(ISERROR(SEARCH("@",C48)))</formula>
    </cfRule>
  </conditionalFormatting>
  <conditionalFormatting sqref="C48">
    <cfRule type="expression" dxfId="126" priority="2">
      <formula>CELL("row")=ROW()</formula>
    </cfRule>
  </conditionalFormatting>
  <conditionalFormatting sqref="AY12 Z12 AC12:AD12">
    <cfRule type="expression" dxfId="125" priority="1">
      <formula>CELL("row")=ROW()</formula>
    </cfRule>
  </conditionalFormatting>
  <conditionalFormatting sqref="CT7:CT26">
    <cfRule type="colorScale" priority="30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138" scale="13" orientation="landscape" horizontalDpi="1200" verticalDpi="120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40D819-30AF-41F6-B2A1-D5B0BDA20E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F8A0DBE5-CC01-4E23-BEA9-D22693C3BD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C34</xm:sqref>
        </x14:conditionalFormatting>
        <x14:conditionalFormatting xmlns:xm="http://schemas.microsoft.com/office/excel/2006/main">
          <x14:cfRule type="dataBar" id="{82BCB650-0D29-4E1C-B272-21D1495C7F3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C36</xm:sqref>
        </x14:conditionalFormatting>
        <x14:conditionalFormatting xmlns:xm="http://schemas.microsoft.com/office/excel/2006/main">
          <x14:cfRule type="dataBar" id="{CF72DE65-07DE-4537-8B96-1B5702363D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1328-B04F-44CF-A266-E92DD9A2F475}">
  <sheetPr codeName="Hoja40">
    <pageSetUpPr fitToPage="1"/>
  </sheetPr>
  <dimension ref="A1:CX116"/>
  <sheetViews>
    <sheetView zoomScaleNormal="100" zoomScaleSheetLayoutView="70" workbookViewId="0">
      <pane xSplit="3" topLeftCell="CJ1" activePane="topRight" state="frozen"/>
      <selection pane="topRight" activeCell="CR7" sqref="CR7:CS7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4" width="15" style="1" bestFit="1" customWidth="1"/>
    <col min="25" max="25" width="14.7109375" style="1" customWidth="1"/>
    <col min="26" max="26" width="15" style="1" hidden="1" customWidth="1"/>
    <col min="27" max="27" width="12.85546875" style="1" hidden="1" customWidth="1"/>
    <col min="28" max="28" width="13.140625" style="1" hidden="1" customWidth="1"/>
    <col min="29" max="29" width="12.85546875" style="1" hidden="1" customWidth="1"/>
    <col min="30" max="30" width="9.5703125" style="1" hidden="1" customWidth="1"/>
    <col min="31" max="32" width="8.42578125" style="1" hidden="1" customWidth="1"/>
    <col min="33" max="33" width="15.7109375" style="1" hidden="1" customWidth="1"/>
    <col min="34" max="34" width="13.7109375" style="1" hidden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hidden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2.85546875" style="1" bestFit="1" customWidth="1"/>
    <col min="57" max="57" width="15.7109375" style="1" customWidth="1"/>
    <col min="58" max="58" width="14.140625" style="1" customWidth="1"/>
    <col min="59" max="59" width="13.42578125" style="1" customWidth="1"/>
    <col min="60" max="60" width="13.5703125" style="1" customWidth="1"/>
    <col min="61" max="61" width="14.85546875" style="1" customWidth="1"/>
    <col min="62" max="62" width="11.28515625" style="1" customWidth="1"/>
    <col min="63" max="63" width="10.5703125" style="1" hidden="1" customWidth="1"/>
    <col min="64" max="64" width="12.7109375" style="1" hidden="1" customWidth="1"/>
    <col min="65" max="66" width="18.140625" style="1" customWidth="1"/>
    <col min="67" max="67" width="22.7109375" style="1" customWidth="1"/>
    <col min="68" max="68" width="14.28515625" style="1" customWidth="1"/>
    <col min="69" max="69" width="16.28515625" style="1" customWidth="1"/>
    <col min="70" max="70" width="15.7109375" style="1" customWidth="1"/>
    <col min="71" max="71" width="11.5703125" style="1" customWidth="1"/>
    <col min="72" max="72" width="12.140625" style="1" customWidth="1"/>
    <col min="73" max="73" width="15.140625" style="1" customWidth="1"/>
    <col min="74" max="74" width="15.7109375" style="1" customWidth="1"/>
    <col min="75" max="75" width="13" style="1" customWidth="1"/>
    <col min="76" max="76" width="13.28515625" style="1" customWidth="1"/>
    <col min="77" max="77" width="15.140625" style="1" customWidth="1"/>
    <col min="78" max="78" width="15.7109375" style="1" customWidth="1"/>
    <col min="79" max="79" width="13.85546875" style="1" customWidth="1"/>
    <col min="80" max="80" width="15.85546875" style="1" customWidth="1"/>
    <col min="81" max="82" width="14.28515625" style="1" bestFit="1" customWidth="1"/>
    <col min="83" max="84" width="12.140625" style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74">
        <v>3815</v>
      </c>
      <c r="B2" s="175">
        <v>1.32</v>
      </c>
      <c r="C2" s="182">
        <v>1.1299999999999999</v>
      </c>
      <c r="D2" s="177">
        <v>395.32</v>
      </c>
      <c r="E2" s="177">
        <v>1.3133333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179">
        <v>3986</v>
      </c>
      <c r="B3" s="180">
        <v>1.31</v>
      </c>
      <c r="C3" s="180">
        <v>1.1200000000000001</v>
      </c>
      <c r="D3" s="181">
        <v>395.32</v>
      </c>
      <c r="E3" s="181">
        <v>1.31</v>
      </c>
      <c r="F3" s="32"/>
      <c r="H3" s="32"/>
      <c r="L3" s="32"/>
      <c r="T3" s="43"/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A4" s="172" t="s">
        <v>197</v>
      </c>
      <c r="BO4" s="78" t="s">
        <v>10</v>
      </c>
      <c r="CH4" s="80"/>
    </row>
    <row r="5" spans="1:102" s="4" customFormat="1" ht="43.5" customHeigh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19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198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148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141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141" t="s">
        <v>112</v>
      </c>
      <c r="BX6" s="141" t="s">
        <v>112</v>
      </c>
      <c r="BY6" s="82" t="s">
        <v>45</v>
      </c>
      <c r="BZ6" s="82" t="s">
        <v>46</v>
      </c>
      <c r="CA6" s="141" t="s">
        <v>53</v>
      </c>
      <c r="CB6" s="141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>
        <v>0</v>
      </c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4835079</v>
      </c>
    </row>
    <row r="7" spans="1:102">
      <c r="A7" s="44"/>
      <c r="B7" s="45" t="s">
        <v>118</v>
      </c>
      <c r="C7" s="46" t="s">
        <v>119</v>
      </c>
      <c r="D7" s="102">
        <v>0</v>
      </c>
      <c r="E7" s="102">
        <v>0</v>
      </c>
      <c r="F7" s="98">
        <f>SUM((D7*2)*0.3)</f>
        <v>0</v>
      </c>
      <c r="G7" s="98">
        <f>SUM((E7*2)*0.3)</f>
        <v>0</v>
      </c>
      <c r="H7" s="98">
        <v>15</v>
      </c>
      <c r="I7" s="98">
        <v>25</v>
      </c>
      <c r="J7" s="98">
        <f>SUM(H7*0.78)*$C$2</f>
        <v>13.221</v>
      </c>
      <c r="K7" s="98">
        <f>SUM(I7*0.78)*$C$3</f>
        <v>21.840000000000003</v>
      </c>
      <c r="L7" s="103">
        <v>67.81</v>
      </c>
      <c r="M7" s="98">
        <f>L7</f>
        <v>67.81</v>
      </c>
      <c r="N7" s="98">
        <v>66.12</v>
      </c>
      <c r="O7" s="98">
        <v>34.69</v>
      </c>
      <c r="P7" s="98">
        <f>N7*$C$2</f>
        <v>74.715599999999995</v>
      </c>
      <c r="Q7" s="98">
        <f>O7*$C$3</f>
        <v>38.852800000000002</v>
      </c>
      <c r="R7" s="103">
        <v>20.440000000000001</v>
      </c>
      <c r="S7" s="98">
        <f>R7*$C$3</f>
        <v>22.892800000000005</v>
      </c>
      <c r="T7" s="103">
        <v>211.82</v>
      </c>
      <c r="U7" s="98">
        <v>166.77</v>
      </c>
      <c r="V7" s="98">
        <f>SUM(T7*($C$2))</f>
        <v>239.35659999999996</v>
      </c>
      <c r="W7" s="98">
        <f>SUM(U7*($C$3))</f>
        <v>186.78240000000002</v>
      </c>
      <c r="X7" s="120">
        <v>0</v>
      </c>
      <c r="Y7" s="120">
        <v>0</v>
      </c>
      <c r="Z7" s="121"/>
      <c r="AA7" s="121">
        <f>SUM(X7*0.75)+(Z7*0.75)</f>
        <v>0</v>
      </c>
      <c r="AB7" s="121">
        <f>(Y7*0.75)+(Z7*0.75)</f>
        <v>0</v>
      </c>
      <c r="AC7" s="121">
        <v>0</v>
      </c>
      <c r="AD7" s="121">
        <v>0</v>
      </c>
      <c r="AE7" s="121">
        <f>AC7*0.75</f>
        <v>0</v>
      </c>
      <c r="AF7" s="121">
        <f>AD7*0.75</f>
        <v>0</v>
      </c>
      <c r="AG7" s="98"/>
      <c r="AH7" s="98"/>
      <c r="AI7" s="98">
        <f>AG7*0.75</f>
        <v>0</v>
      </c>
      <c r="AJ7" s="98">
        <f>AH7*0.75</f>
        <v>0</v>
      </c>
      <c r="AK7" s="103">
        <v>138.57</v>
      </c>
      <c r="AL7" s="98">
        <v>51.74</v>
      </c>
      <c r="AM7" s="98">
        <f>AK7*$C$2</f>
        <v>156.58409999999998</v>
      </c>
      <c r="AN7" s="98">
        <f>AL7*$C$3</f>
        <v>57.948800000000006</v>
      </c>
      <c r="AO7" s="98"/>
      <c r="AP7" s="98"/>
      <c r="AQ7" s="130"/>
      <c r="AR7" s="130"/>
      <c r="AS7" s="98"/>
      <c r="AT7" s="98">
        <f>AS7*$C$3</f>
        <v>0</v>
      </c>
      <c r="AU7" s="98"/>
      <c r="AV7" s="149">
        <f>AU7*$C$3</f>
        <v>0</v>
      </c>
      <c r="AW7" s="98">
        <v>12.12</v>
      </c>
      <c r="AX7" s="98">
        <v>64.849999999999994</v>
      </c>
      <c r="AY7" s="98"/>
      <c r="AZ7" s="98">
        <f>AY7*$D$2</f>
        <v>0</v>
      </c>
      <c r="BA7" s="99">
        <v>147.84</v>
      </c>
      <c r="BB7" s="99">
        <v>96.36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>BH7*$C$3</f>
        <v>0</v>
      </c>
      <c r="BK7" s="98"/>
      <c r="BL7" s="98"/>
      <c r="BM7" s="98"/>
      <c r="BN7" s="98">
        <f>BM7*$C$3</f>
        <v>0</v>
      </c>
      <c r="BO7" s="105">
        <v>143.33000000000001</v>
      </c>
      <c r="BP7" s="149">
        <f>BO7*$C$3</f>
        <v>160.52960000000002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42">
        <f>BU7*$E$2</f>
        <v>0</v>
      </c>
      <c r="BX7" s="142">
        <f>BV7*$E$3</f>
        <v>0</v>
      </c>
      <c r="BY7" s="110">
        <v>136.81</v>
      </c>
      <c r="BZ7" s="110">
        <v>156.65</v>
      </c>
      <c r="CA7" s="142">
        <f>BY7/2</f>
        <v>68.405000000000001</v>
      </c>
      <c r="CB7" s="142">
        <f>BZ7/2</f>
        <v>78.325000000000003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3530000</v>
      </c>
      <c r="CI7" s="72"/>
      <c r="CJ7" s="72"/>
      <c r="CK7" s="53">
        <v>2030000</v>
      </c>
      <c r="CL7" s="72"/>
      <c r="CM7" s="53">
        <v>1500000</v>
      </c>
      <c r="CN7" s="72">
        <v>0</v>
      </c>
      <c r="CO7" s="72">
        <v>0</v>
      </c>
      <c r="CP7" s="90"/>
      <c r="CQ7" s="68">
        <v>0</v>
      </c>
      <c r="CR7" s="69">
        <f>SUM(AO7,AQ7,F7,P7,BS7,AM7,AA7,AE7,J7,AI7,V7,BA7,BE7,CE7,AW7,CA7,BW7)</f>
        <v>712.24229999999989</v>
      </c>
      <c r="CS7" s="69">
        <f>SUM(AP7,AR7,G7,Q7,BN7,AZ7,M7,BT7,AN7,S7,AB7,AF7,K7,AJ7,BI7,W7,BB7,BF7,CF7,BP7,BL7,CG7,AT7,AV7,AX7,CB7,BX7)</f>
        <v>796.19140000000004</v>
      </c>
      <c r="CT7" s="70">
        <f t="shared" ref="CT7:CT24" si="0">(((CR7*$A$2)+(CS7*$A$3))*0.6)+((BJ7*$A$3)*0.75)</f>
        <v>3534493.97694</v>
      </c>
      <c r="CU7" s="70">
        <f t="shared" ref="CU7:CU24" si="1">((CR7*$A$2)+(CS7*$A$3))*0.4+((BJ7*$A$3)*0.25)</f>
        <v>2356329.3179600001</v>
      </c>
      <c r="CV7" s="143">
        <f>CT7-CH7</f>
        <v>4493.9769399999641</v>
      </c>
      <c r="CW7" s="1" t="s">
        <v>120</v>
      </c>
      <c r="CX7" s="126">
        <v>1261521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ref="F8:G19" si="2">SUM((D8*2)*0.3)</f>
        <v>0</v>
      </c>
      <c r="G8" s="98">
        <f t="shared" si="2"/>
        <v>0</v>
      </c>
      <c r="H8" s="98">
        <v>10</v>
      </c>
      <c r="I8" s="98">
        <v>0</v>
      </c>
      <c r="J8" s="98">
        <f t="shared" ref="J8:J24" si="3">SUM(H8*0.78)*$C$2</f>
        <v>8.8140000000000001</v>
      </c>
      <c r="K8" s="98">
        <f t="shared" ref="K8:K24" si="4">SUM(I8*0.78)*$C$3</f>
        <v>0</v>
      </c>
      <c r="L8" s="103">
        <v>50.13</v>
      </c>
      <c r="M8" s="98">
        <f t="shared" ref="M8:M24" si="5">L8</f>
        <v>50.13</v>
      </c>
      <c r="N8" s="99"/>
      <c r="O8" s="99"/>
      <c r="P8" s="98">
        <f t="shared" ref="P8:P24" si="6">N8*$C$2</f>
        <v>0</v>
      </c>
      <c r="Q8" s="98">
        <f t="shared" ref="Q8:Q24" si="7">O8*$C$3</f>
        <v>0</v>
      </c>
      <c r="R8" s="103"/>
      <c r="S8" s="98">
        <f t="shared" ref="S8:S24" si="8">R8*$C$3</f>
        <v>0</v>
      </c>
      <c r="T8" s="103">
        <v>16.059999999999999</v>
      </c>
      <c r="U8" s="98">
        <v>41.9</v>
      </c>
      <c r="V8" s="98">
        <f t="shared" ref="V8:V24" si="9">SUM(T8*($C$2))</f>
        <v>18.147799999999997</v>
      </c>
      <c r="W8" s="98">
        <f t="shared" ref="W8:W24" si="10">SUM(U8*($C$3))</f>
        <v>46.928000000000004</v>
      </c>
      <c r="X8" s="120">
        <v>14.4</v>
      </c>
      <c r="Y8" s="120">
        <v>117.5</v>
      </c>
      <c r="Z8" s="119"/>
      <c r="AA8" s="121">
        <f t="shared" ref="AA8:AA24" si="11">SUM(X8*0.75)+(Z8*0.75)</f>
        <v>10.8</v>
      </c>
      <c r="AB8" s="121">
        <f t="shared" ref="AB8:AB24" si="12">(Y8*0.75)+(Z8*0.75)</f>
        <v>88.125</v>
      </c>
      <c r="AC8" s="119"/>
      <c r="AD8" s="119"/>
      <c r="AE8" s="121">
        <f t="shared" ref="AE8:AF24" si="13">AC8*0.75</f>
        <v>0</v>
      </c>
      <c r="AF8" s="121">
        <f t="shared" si="13"/>
        <v>0</v>
      </c>
      <c r="AG8" s="98"/>
      <c r="AH8" s="98"/>
      <c r="AI8" s="98">
        <f t="shared" ref="AI8:AJ24" si="14">AG8*0.75</f>
        <v>0</v>
      </c>
      <c r="AJ8" s="98">
        <f t="shared" si="14"/>
        <v>0</v>
      </c>
      <c r="AK8" s="103">
        <v>58.24</v>
      </c>
      <c r="AL8" s="98">
        <v>45.12</v>
      </c>
      <c r="AM8" s="98">
        <f t="shared" ref="AM8:AM24" si="15">AK8*$C$2</f>
        <v>65.811199999999999</v>
      </c>
      <c r="AN8" s="98">
        <f t="shared" ref="AN8:AN24" si="16">AL8*$C$3</f>
        <v>50.534400000000005</v>
      </c>
      <c r="AO8" s="99">
        <v>0</v>
      </c>
      <c r="AP8" s="99">
        <v>0</v>
      </c>
      <c r="AQ8" s="131"/>
      <c r="AR8" s="131"/>
      <c r="AS8" s="99"/>
      <c r="AT8" s="98">
        <f t="shared" ref="AT8:AT24" si="17">AS8*$C$3</f>
        <v>0</v>
      </c>
      <c r="AU8" s="99"/>
      <c r="AV8" s="149">
        <f t="shared" ref="AV8:AV24" si="18">AU8*$C$3</f>
        <v>0</v>
      </c>
      <c r="AW8" s="98">
        <v>1.35</v>
      </c>
      <c r="AX8" s="98">
        <v>22.2</v>
      </c>
      <c r="AY8" s="99"/>
      <c r="AZ8" s="98">
        <f t="shared" ref="AZ8:AZ24" si="19">AY8*$D$2</f>
        <v>0</v>
      </c>
      <c r="BA8" s="99"/>
      <c r="BB8" s="99"/>
      <c r="BC8" s="99">
        <f>32.4+0.97</f>
        <v>33.369999999999997</v>
      </c>
      <c r="BD8" s="99">
        <v>118.3</v>
      </c>
      <c r="BE8" s="98">
        <f t="shared" ref="BE8:BE24" si="20">SUM(BC8*0.62)*$B$2</f>
        <v>27.310008</v>
      </c>
      <c r="BF8" s="98">
        <f t="shared" ref="BF8:BF24" si="21">SUM(BD8*0.62)*$B$3</f>
        <v>96.08326000000001</v>
      </c>
      <c r="BG8" s="98">
        <v>46.22</v>
      </c>
      <c r="BH8" s="98">
        <v>6.34</v>
      </c>
      <c r="BI8" s="98">
        <f t="shared" ref="BI8:BI24" si="22">(BG8*$C$3)</f>
        <v>51.766400000000004</v>
      </c>
      <c r="BJ8" s="98">
        <f t="shared" ref="BJ8:BJ24" si="23">BH8*$C$3</f>
        <v>7.1008000000000004</v>
      </c>
      <c r="BK8" s="99"/>
      <c r="BL8" s="99"/>
      <c r="BM8" s="99">
        <v>85.62</v>
      </c>
      <c r="BN8" s="98">
        <f t="shared" ref="BN8:BN24" si="24">BM8*$C$3</f>
        <v>95.894400000000019</v>
      </c>
      <c r="BO8" s="105">
        <v>146.79</v>
      </c>
      <c r="BP8" s="149">
        <f t="shared" ref="BP8:BP24" si="25">BO8*$C$3</f>
        <v>164.40479999999999</v>
      </c>
      <c r="BQ8" s="113">
        <v>0</v>
      </c>
      <c r="BR8" s="113">
        <v>0</v>
      </c>
      <c r="BS8" s="104">
        <f t="shared" ref="BS8:BS24" si="26">(BQ8/$D$2)*$C$2</f>
        <v>0</v>
      </c>
      <c r="BT8" s="104">
        <f t="shared" ref="BT8:BT24" si="27">(BR8/$D$3)*$C$3</f>
        <v>0</v>
      </c>
      <c r="BU8" s="105">
        <v>0.38</v>
      </c>
      <c r="BV8" s="105">
        <v>8.4</v>
      </c>
      <c r="BW8" s="142">
        <f t="shared" ref="BW8:BW24" si="28">BU8*$E$2</f>
        <v>0.499066654</v>
      </c>
      <c r="BX8" s="142">
        <f t="shared" ref="BX8:BX24" si="29">BV8*$E$3</f>
        <v>11.004000000000001</v>
      </c>
      <c r="BY8" s="110">
        <v>15.66</v>
      </c>
      <c r="BZ8" s="110">
        <v>514.42999999999995</v>
      </c>
      <c r="CA8" s="142">
        <f t="shared" ref="CA8:CB24" si="30">BY8/2</f>
        <v>7.83</v>
      </c>
      <c r="CB8" s="142">
        <f t="shared" si="30"/>
        <v>257.21499999999997</v>
      </c>
      <c r="CC8" s="109">
        <v>0</v>
      </c>
      <c r="CD8" s="109">
        <v>0</v>
      </c>
      <c r="CE8" s="98">
        <f t="shared" ref="CE8:CF24" si="31">CC8*0.05</f>
        <v>0</v>
      </c>
      <c r="CF8" s="107">
        <f t="shared" si="31"/>
        <v>0</v>
      </c>
      <c r="CG8" s="81"/>
      <c r="CH8" s="65">
        <f t="shared" ref="CH8:CH24" si="32">SUM(CI8:CO8)</f>
        <v>2610000</v>
      </c>
      <c r="CI8" s="73"/>
      <c r="CJ8" s="125"/>
      <c r="CK8" s="66">
        <v>630000</v>
      </c>
      <c r="CL8" s="73">
        <v>400000</v>
      </c>
      <c r="CM8" s="66">
        <v>1580000</v>
      </c>
      <c r="CN8" s="73"/>
      <c r="CO8" s="73"/>
      <c r="CP8" s="90"/>
      <c r="CQ8" s="68">
        <v>0</v>
      </c>
      <c r="CR8" s="69">
        <f t="shared" ref="CR8:CR24" si="33">SUM(AO8,AQ8,F8,P8,BS8,AM8,AA8,AE8,J8,AI8,V8,BA8,BE8,CE8,AW8,CA8,BW8)</f>
        <v>140.56207465399999</v>
      </c>
      <c r="CS8" s="69">
        <f t="shared" ref="CS8:CS21" si="34">SUM(AP8,AR8,G8,Q8,BN8,AZ8,M8,BT8,AN8,S8,AB8,AF8,K8,AJ8,BI8,W8,BB8,BF8,CF8,BP8,BL8,CG8,AT8,AV8,AX8,CB8,BX8)</f>
        <v>934.28525999999999</v>
      </c>
      <c r="CT8" s="70">
        <f t="shared" si="0"/>
        <v>2577411.058299006</v>
      </c>
      <c r="CU8" s="70">
        <f t="shared" si="1"/>
        <v>1711198.0916660044</v>
      </c>
      <c r="CV8" s="70">
        <f t="shared" ref="CV8:CV24" si="35">CT8-CH8</f>
        <v>-32588.941700994037</v>
      </c>
      <c r="CW8" s="15" t="s">
        <v>123</v>
      </c>
      <c r="CX8" s="127">
        <v>170550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2"/>
        <v>0</v>
      </c>
      <c r="G9" s="98">
        <f t="shared" si="2"/>
        <v>0</v>
      </c>
      <c r="H9" s="98"/>
      <c r="I9" s="98"/>
      <c r="J9" s="98">
        <f t="shared" si="3"/>
        <v>0</v>
      </c>
      <c r="K9" s="98">
        <f t="shared" si="4"/>
        <v>0</v>
      </c>
      <c r="L9" s="103">
        <v>46.37</v>
      </c>
      <c r="M9" s="98">
        <f t="shared" si="5"/>
        <v>46.37</v>
      </c>
      <c r="N9" s="98"/>
      <c r="O9" s="98"/>
      <c r="P9" s="98">
        <f t="shared" si="6"/>
        <v>0</v>
      </c>
      <c r="Q9" s="98">
        <f t="shared" si="7"/>
        <v>0</v>
      </c>
      <c r="R9" s="103">
        <v>36.770000000000003</v>
      </c>
      <c r="S9" s="98">
        <f t="shared" si="8"/>
        <v>41.182400000000008</v>
      </c>
      <c r="T9" s="103">
        <v>8.92</v>
      </c>
      <c r="U9" s="98">
        <v>11.71</v>
      </c>
      <c r="V9" s="98">
        <f t="shared" si="9"/>
        <v>10.079599999999999</v>
      </c>
      <c r="W9" s="98">
        <f t="shared" si="10"/>
        <v>13.115200000000002</v>
      </c>
      <c r="X9" s="120">
        <v>19</v>
      </c>
      <c r="Y9" s="120">
        <v>206</v>
      </c>
      <c r="Z9" s="121"/>
      <c r="AA9" s="121">
        <f t="shared" si="11"/>
        <v>14.25</v>
      </c>
      <c r="AB9" s="121">
        <f t="shared" si="12"/>
        <v>154.5</v>
      </c>
      <c r="AC9" s="123">
        <v>0</v>
      </c>
      <c r="AD9" s="123">
        <v>0</v>
      </c>
      <c r="AE9" s="121">
        <f t="shared" si="13"/>
        <v>0</v>
      </c>
      <c r="AF9" s="121">
        <f t="shared" si="13"/>
        <v>0</v>
      </c>
      <c r="AG9" s="98"/>
      <c r="AH9" s="98"/>
      <c r="AI9" s="98">
        <f t="shared" si="14"/>
        <v>0</v>
      </c>
      <c r="AJ9" s="98">
        <f t="shared" si="14"/>
        <v>0</v>
      </c>
      <c r="AK9" s="103">
        <v>47.33</v>
      </c>
      <c r="AL9" s="98">
        <v>15.45</v>
      </c>
      <c r="AM9" s="98">
        <f t="shared" si="15"/>
        <v>53.482899999999994</v>
      </c>
      <c r="AN9" s="98">
        <f t="shared" si="16"/>
        <v>17.304000000000002</v>
      </c>
      <c r="AO9" s="98"/>
      <c r="AP9" s="98"/>
      <c r="AQ9" s="130"/>
      <c r="AR9" s="130"/>
      <c r="AS9" s="99"/>
      <c r="AT9" s="98">
        <f t="shared" si="17"/>
        <v>0</v>
      </c>
      <c r="AU9" s="98"/>
      <c r="AV9" s="149">
        <f t="shared" si="18"/>
        <v>0</v>
      </c>
      <c r="AW9" s="98">
        <v>9.11</v>
      </c>
      <c r="AX9" s="98">
        <v>7.51</v>
      </c>
      <c r="AY9" s="98"/>
      <c r="AZ9" s="98">
        <f t="shared" si="19"/>
        <v>0</v>
      </c>
      <c r="BA9" s="98"/>
      <c r="BB9" s="98"/>
      <c r="BC9" s="98"/>
      <c r="BD9" s="98"/>
      <c r="BE9" s="98">
        <f t="shared" si="20"/>
        <v>0</v>
      </c>
      <c r="BF9" s="98">
        <f t="shared" si="21"/>
        <v>0</v>
      </c>
      <c r="BG9" s="98">
        <v>68.05</v>
      </c>
      <c r="BH9" s="98">
        <v>1.82</v>
      </c>
      <c r="BI9" s="98">
        <f t="shared" si="22"/>
        <v>76.216000000000008</v>
      </c>
      <c r="BJ9" s="98">
        <f t="shared" si="23"/>
        <v>2.0384000000000002</v>
      </c>
      <c r="BK9" s="98"/>
      <c r="BL9" s="98"/>
      <c r="BM9" s="98"/>
      <c r="BN9" s="98">
        <f t="shared" si="24"/>
        <v>0</v>
      </c>
      <c r="BO9" s="105">
        <v>577.70000000000005</v>
      </c>
      <c r="BP9" s="149">
        <f t="shared" si="25"/>
        <v>647.02400000000011</v>
      </c>
      <c r="BQ9" s="112">
        <v>0</v>
      </c>
      <c r="BR9" s="112">
        <v>0</v>
      </c>
      <c r="BS9" s="104">
        <f>(BQ9/$D$2)*$C$2</f>
        <v>0</v>
      </c>
      <c r="BT9" s="104">
        <f t="shared" si="27"/>
        <v>0</v>
      </c>
      <c r="BU9" s="105">
        <v>2.88</v>
      </c>
      <c r="BV9" s="105">
        <v>4</v>
      </c>
      <c r="BW9" s="142">
        <f t="shared" si="28"/>
        <v>3.782399904</v>
      </c>
      <c r="BX9" s="142">
        <f t="shared" si="29"/>
        <v>5.24</v>
      </c>
      <c r="BY9" s="110">
        <v>1.53</v>
      </c>
      <c r="BZ9" s="110">
        <v>44.55</v>
      </c>
      <c r="CA9" s="142">
        <f t="shared" si="30"/>
        <v>0.76500000000000001</v>
      </c>
      <c r="CB9" s="142">
        <f t="shared" si="30"/>
        <v>22.274999999999999</v>
      </c>
      <c r="CC9" s="106"/>
      <c r="CD9" s="106"/>
      <c r="CE9" s="98">
        <f t="shared" si="31"/>
        <v>0</v>
      </c>
      <c r="CF9" s="107">
        <f t="shared" si="31"/>
        <v>0</v>
      </c>
      <c r="CG9" s="89"/>
      <c r="CH9" s="65">
        <f t="shared" si="32"/>
        <v>2690000</v>
      </c>
      <c r="CI9" s="73"/>
      <c r="CJ9" s="73"/>
      <c r="CK9" s="66">
        <v>590000</v>
      </c>
      <c r="CL9" s="73">
        <v>800000</v>
      </c>
      <c r="CM9" s="66">
        <v>1300000</v>
      </c>
      <c r="CN9" s="73"/>
      <c r="CO9" s="73"/>
      <c r="CP9" s="90"/>
      <c r="CQ9" s="68">
        <v>0</v>
      </c>
      <c r="CR9" s="69">
        <f t="shared" si="33"/>
        <v>91.469899904000002</v>
      </c>
      <c r="CS9" s="69">
        <f t="shared" si="34"/>
        <v>1030.7366000000002</v>
      </c>
      <c r="CT9" s="70">
        <f t="shared" si="0"/>
        <v>2680578.0502402568</v>
      </c>
      <c r="CU9" s="70">
        <f t="shared" si="1"/>
        <v>1785020.7678935046</v>
      </c>
      <c r="CV9" s="70">
        <f t="shared" si="35"/>
        <v>-9421.9497597431764</v>
      </c>
      <c r="CW9" s="87" t="s">
        <v>126</v>
      </c>
      <c r="CX9" s="87">
        <v>2920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2"/>
        <v>0</v>
      </c>
      <c r="G10" s="98">
        <f t="shared" si="2"/>
        <v>0</v>
      </c>
      <c r="H10" s="98">
        <v>0</v>
      </c>
      <c r="I10" s="98">
        <v>10</v>
      </c>
      <c r="J10" s="98">
        <f t="shared" si="3"/>
        <v>0</v>
      </c>
      <c r="K10" s="98">
        <f t="shared" si="4"/>
        <v>8.7360000000000024</v>
      </c>
      <c r="L10" s="103">
        <v>97.41</v>
      </c>
      <c r="M10" s="98">
        <f t="shared" si="5"/>
        <v>97.41</v>
      </c>
      <c r="N10" s="99"/>
      <c r="O10" s="99"/>
      <c r="P10" s="98">
        <f t="shared" si="6"/>
        <v>0</v>
      </c>
      <c r="Q10" s="98">
        <f t="shared" si="7"/>
        <v>0</v>
      </c>
      <c r="R10" s="103">
        <v>181.39</v>
      </c>
      <c r="S10" s="98">
        <f t="shared" si="8"/>
        <v>203.1568</v>
      </c>
      <c r="T10" s="103">
        <v>21.52</v>
      </c>
      <c r="U10" s="98">
        <v>32.979999999999997</v>
      </c>
      <c r="V10" s="98">
        <f t="shared" si="9"/>
        <v>24.317599999999999</v>
      </c>
      <c r="W10" s="98">
        <f t="shared" si="10"/>
        <v>36.937600000000003</v>
      </c>
      <c r="X10" s="120">
        <v>0</v>
      </c>
      <c r="Y10" s="120">
        <v>0</v>
      </c>
      <c r="Z10" s="119"/>
      <c r="AA10" s="121">
        <f t="shared" si="11"/>
        <v>0</v>
      </c>
      <c r="AB10" s="121">
        <f t="shared" si="12"/>
        <v>0</v>
      </c>
      <c r="AC10" s="122">
        <v>0</v>
      </c>
      <c r="AD10" s="122">
        <v>0</v>
      </c>
      <c r="AE10" s="121">
        <f t="shared" si="13"/>
        <v>0</v>
      </c>
      <c r="AF10" s="121">
        <f t="shared" si="13"/>
        <v>0</v>
      </c>
      <c r="AG10" s="98">
        <v>0</v>
      </c>
      <c r="AH10" s="98">
        <v>0</v>
      </c>
      <c r="AI10" s="98">
        <f t="shared" si="14"/>
        <v>0</v>
      </c>
      <c r="AJ10" s="98">
        <f t="shared" si="14"/>
        <v>0</v>
      </c>
      <c r="AK10" s="103">
        <v>118.88</v>
      </c>
      <c r="AL10" s="98">
        <v>87.71</v>
      </c>
      <c r="AM10" s="98">
        <f t="shared" si="15"/>
        <v>134.33439999999999</v>
      </c>
      <c r="AN10" s="98">
        <f t="shared" si="16"/>
        <v>98.235200000000006</v>
      </c>
      <c r="AO10" s="98"/>
      <c r="AP10" s="98"/>
      <c r="AQ10" s="131">
        <v>3.1</v>
      </c>
      <c r="AR10" s="131">
        <v>0</v>
      </c>
      <c r="AS10" s="99"/>
      <c r="AT10" s="98">
        <f t="shared" si="17"/>
        <v>0</v>
      </c>
      <c r="AU10" s="99"/>
      <c r="AV10" s="149">
        <f t="shared" si="18"/>
        <v>0</v>
      </c>
      <c r="AW10" s="98">
        <v>41.22</v>
      </c>
      <c r="AX10" s="98">
        <v>40.119999999999997</v>
      </c>
      <c r="AY10" s="99"/>
      <c r="AZ10" s="98">
        <f t="shared" si="19"/>
        <v>0</v>
      </c>
      <c r="BA10" s="99"/>
      <c r="BB10" s="99"/>
      <c r="BC10" s="99"/>
      <c r="BD10" s="99"/>
      <c r="BE10" s="98">
        <f t="shared" si="20"/>
        <v>0</v>
      </c>
      <c r="BF10" s="98">
        <f t="shared" si="21"/>
        <v>0</v>
      </c>
      <c r="BG10" s="98">
        <v>104.65</v>
      </c>
      <c r="BH10" s="98">
        <v>4.99</v>
      </c>
      <c r="BI10" s="98">
        <f t="shared" si="22"/>
        <v>117.20800000000001</v>
      </c>
      <c r="BJ10" s="98">
        <f t="shared" si="23"/>
        <v>5.5888000000000009</v>
      </c>
      <c r="BK10" s="99"/>
      <c r="BL10" s="99"/>
      <c r="BM10" s="98"/>
      <c r="BN10" s="98">
        <f t="shared" si="24"/>
        <v>0</v>
      </c>
      <c r="BO10" s="105">
        <v>202.69</v>
      </c>
      <c r="BP10" s="149">
        <f t="shared" si="25"/>
        <v>227.01280000000003</v>
      </c>
      <c r="BQ10" s="113"/>
      <c r="BR10" s="113"/>
      <c r="BS10" s="104">
        <f t="shared" si="26"/>
        <v>0</v>
      </c>
      <c r="BT10" s="104">
        <f t="shared" si="27"/>
        <v>0</v>
      </c>
      <c r="BU10" s="105">
        <v>0</v>
      </c>
      <c r="BV10" s="105">
        <v>0</v>
      </c>
      <c r="BW10" s="142">
        <f t="shared" si="28"/>
        <v>0</v>
      </c>
      <c r="BX10" s="142">
        <f t="shared" si="29"/>
        <v>0</v>
      </c>
      <c r="BY10" s="111"/>
      <c r="BZ10" s="111"/>
      <c r="CA10" s="142">
        <f t="shared" si="30"/>
        <v>0</v>
      </c>
      <c r="CB10" s="142">
        <f t="shared" si="30"/>
        <v>0</v>
      </c>
      <c r="CC10" s="109"/>
      <c r="CD10" s="109"/>
      <c r="CE10" s="98">
        <f t="shared" si="31"/>
        <v>0</v>
      </c>
      <c r="CF10" s="107">
        <f t="shared" si="31"/>
        <v>0</v>
      </c>
      <c r="CG10" s="89"/>
      <c r="CH10" s="65">
        <f t="shared" si="32"/>
        <v>2447000</v>
      </c>
      <c r="CI10" s="73"/>
      <c r="CJ10" s="73"/>
      <c r="CK10" s="66">
        <v>1022000</v>
      </c>
      <c r="CL10" s="73"/>
      <c r="CM10" s="66">
        <v>1425000</v>
      </c>
      <c r="CN10" s="73"/>
      <c r="CO10" s="73"/>
      <c r="CP10" s="90"/>
      <c r="CQ10" s="68">
        <v>0</v>
      </c>
      <c r="CR10" s="69">
        <f t="shared" si="33"/>
        <v>202.97199999999998</v>
      </c>
      <c r="CS10" s="69">
        <f>SUM(AP10,AR10,G10,Q10,BN10,AZ10,M10,BT10,AN10,S10,AB10,AF10,K10,AJ10,BI10,W10,BB10,BF10,CF10,BP10,BL10,CG10,AT10,AV10,AX10,CB10,BX10)</f>
        <v>828.81640000000004</v>
      </c>
      <c r="CT10" s="70">
        <f t="shared" si="0"/>
        <v>2463507.92784</v>
      </c>
      <c r="CU10" s="70">
        <f t="shared" si="1"/>
        <v>1636769.3793599999</v>
      </c>
      <c r="CV10" s="70">
        <f t="shared" si="35"/>
        <v>16507.927840000018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2"/>
        <v>0</v>
      </c>
      <c r="G11" s="98">
        <f t="shared" si="2"/>
        <v>0</v>
      </c>
      <c r="H11" s="98">
        <v>0</v>
      </c>
      <c r="I11" s="98">
        <v>29.5</v>
      </c>
      <c r="J11" s="98">
        <f t="shared" si="3"/>
        <v>0</v>
      </c>
      <c r="K11" s="98">
        <f t="shared" si="4"/>
        <v>25.771200000000004</v>
      </c>
      <c r="L11" s="103">
        <v>52.97</v>
      </c>
      <c r="M11" s="98">
        <f t="shared" si="5"/>
        <v>52.97</v>
      </c>
      <c r="N11" s="98"/>
      <c r="O11" s="98"/>
      <c r="P11" s="98">
        <f t="shared" si="6"/>
        <v>0</v>
      </c>
      <c r="Q11" s="98">
        <f t="shared" si="7"/>
        <v>0</v>
      </c>
      <c r="R11" s="103">
        <v>51.86</v>
      </c>
      <c r="S11" s="98">
        <f t="shared" si="8"/>
        <v>58.083200000000005</v>
      </c>
      <c r="T11" s="103">
        <v>16.079999999999998</v>
      </c>
      <c r="U11" s="98">
        <v>9.77</v>
      </c>
      <c r="V11" s="98">
        <f t="shared" si="9"/>
        <v>18.170399999999997</v>
      </c>
      <c r="W11" s="98">
        <f t="shared" si="10"/>
        <v>10.942400000000001</v>
      </c>
      <c r="X11" s="120">
        <v>30</v>
      </c>
      <c r="Y11" s="120">
        <v>350</v>
      </c>
      <c r="Z11" s="121"/>
      <c r="AA11" s="121">
        <f t="shared" si="11"/>
        <v>22.5</v>
      </c>
      <c r="AB11" s="121">
        <f t="shared" si="12"/>
        <v>262.5</v>
      </c>
      <c r="AC11" s="123">
        <v>0</v>
      </c>
      <c r="AD11" s="123">
        <v>0</v>
      </c>
      <c r="AE11" s="121">
        <f t="shared" si="13"/>
        <v>0</v>
      </c>
      <c r="AF11" s="121">
        <f t="shared" si="13"/>
        <v>0</v>
      </c>
      <c r="AG11" s="98"/>
      <c r="AH11" s="98"/>
      <c r="AI11" s="98">
        <f t="shared" si="14"/>
        <v>0</v>
      </c>
      <c r="AJ11" s="98">
        <f t="shared" si="14"/>
        <v>0</v>
      </c>
      <c r="AK11" s="103">
        <v>92.6</v>
      </c>
      <c r="AL11" s="98">
        <v>27.09</v>
      </c>
      <c r="AM11" s="98">
        <f t="shared" si="15"/>
        <v>104.63799999999998</v>
      </c>
      <c r="AN11" s="98">
        <f t="shared" si="16"/>
        <v>30.340800000000002</v>
      </c>
      <c r="AO11" s="98"/>
      <c r="AP11" s="98"/>
      <c r="AQ11" s="131">
        <v>122.7</v>
      </c>
      <c r="AR11" s="131">
        <v>47.16</v>
      </c>
      <c r="AS11" s="99"/>
      <c r="AT11" s="98">
        <f t="shared" si="17"/>
        <v>0</v>
      </c>
      <c r="AU11" s="98"/>
      <c r="AV11" s="149">
        <f t="shared" si="18"/>
        <v>0</v>
      </c>
      <c r="AW11" s="98">
        <v>66.88</v>
      </c>
      <c r="AX11" s="98">
        <v>21</v>
      </c>
      <c r="AY11" s="98"/>
      <c r="AZ11" s="98">
        <f t="shared" si="19"/>
        <v>0</v>
      </c>
      <c r="BA11" s="98"/>
      <c r="BB11" s="98"/>
      <c r="BC11" s="98"/>
      <c r="BD11" s="98"/>
      <c r="BE11" s="98">
        <f t="shared" si="20"/>
        <v>0</v>
      </c>
      <c r="BF11" s="98">
        <f t="shared" si="21"/>
        <v>0</v>
      </c>
      <c r="BG11" s="98">
        <v>43.01</v>
      </c>
      <c r="BH11" s="98">
        <v>17.079999999999998</v>
      </c>
      <c r="BI11" s="98">
        <f t="shared" si="22"/>
        <v>48.171199999999999</v>
      </c>
      <c r="BJ11" s="98">
        <f t="shared" si="23"/>
        <v>19.1296</v>
      </c>
      <c r="BK11" s="98"/>
      <c r="BL11" s="98"/>
      <c r="BM11" s="98"/>
      <c r="BN11" s="98">
        <f t="shared" si="24"/>
        <v>0</v>
      </c>
      <c r="BO11" s="105">
        <v>93.66</v>
      </c>
      <c r="BP11" s="149">
        <f t="shared" si="25"/>
        <v>104.89920000000001</v>
      </c>
      <c r="BQ11" s="112">
        <v>0</v>
      </c>
      <c r="BR11" s="112">
        <v>0</v>
      </c>
      <c r="BS11" s="104">
        <f t="shared" si="26"/>
        <v>0</v>
      </c>
      <c r="BT11" s="104">
        <f t="shared" si="27"/>
        <v>0</v>
      </c>
      <c r="BU11" s="105">
        <v>0.73</v>
      </c>
      <c r="BV11" s="105">
        <v>9.8699999999999992</v>
      </c>
      <c r="BW11" s="142">
        <f t="shared" si="28"/>
        <v>0.95873330899999998</v>
      </c>
      <c r="BX11" s="142">
        <f t="shared" si="29"/>
        <v>12.929699999999999</v>
      </c>
      <c r="BY11" s="110"/>
      <c r="BZ11" s="110">
        <v>0</v>
      </c>
      <c r="CA11" s="142">
        <f t="shared" si="30"/>
        <v>0</v>
      </c>
      <c r="CB11" s="142">
        <f t="shared" si="30"/>
        <v>0</v>
      </c>
      <c r="CC11" s="106">
        <v>2737</v>
      </c>
      <c r="CD11" s="106">
        <v>1200</v>
      </c>
      <c r="CE11" s="98">
        <f t="shared" si="31"/>
        <v>136.85</v>
      </c>
      <c r="CF11" s="107">
        <f t="shared" si="31"/>
        <v>60</v>
      </c>
      <c r="CG11" s="89"/>
      <c r="CH11" s="65">
        <f t="shared" si="32"/>
        <v>2840000</v>
      </c>
      <c r="CI11" s="73"/>
      <c r="CJ11" s="73"/>
      <c r="CK11" s="66">
        <v>1630000</v>
      </c>
      <c r="CL11" s="73"/>
      <c r="CM11" s="66">
        <v>1210000</v>
      </c>
      <c r="CN11" s="73"/>
      <c r="CO11" s="73"/>
      <c r="CP11" s="90"/>
      <c r="CQ11" s="68">
        <v>0</v>
      </c>
      <c r="CR11" s="69">
        <f t="shared" si="33"/>
        <v>472.69713330899998</v>
      </c>
      <c r="CS11" s="69">
        <f t="shared" si="34"/>
        <v>734.76769999999999</v>
      </c>
      <c r="CT11" s="70">
        <f t="shared" si="0"/>
        <v>2896462.1086643003</v>
      </c>
      <c r="CU11" s="70">
        <f t="shared" si="1"/>
        <v>1911912.0927095339</v>
      </c>
      <c r="CV11" s="70">
        <f t="shared" si="35"/>
        <v>56462.108664300293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1.4</v>
      </c>
      <c r="E12" s="102">
        <v>165.9</v>
      </c>
      <c r="F12" s="98">
        <f t="shared" si="2"/>
        <v>0.84</v>
      </c>
      <c r="G12" s="98">
        <f t="shared" si="2"/>
        <v>99.54</v>
      </c>
      <c r="H12" s="98"/>
      <c r="I12" s="98"/>
      <c r="J12" s="98">
        <f t="shared" si="3"/>
        <v>0</v>
      </c>
      <c r="K12" s="98">
        <f t="shared" si="4"/>
        <v>0</v>
      </c>
      <c r="L12" s="103">
        <v>66.98</v>
      </c>
      <c r="M12" s="98">
        <f t="shared" si="5"/>
        <v>66.98</v>
      </c>
      <c r="N12" s="99"/>
      <c r="O12" s="99"/>
      <c r="P12" s="98">
        <f t="shared" si="6"/>
        <v>0</v>
      </c>
      <c r="Q12" s="98">
        <f t="shared" si="7"/>
        <v>0</v>
      </c>
      <c r="R12" s="103">
        <v>25.05</v>
      </c>
      <c r="S12" s="98">
        <f t="shared" si="8"/>
        <v>28.056000000000004</v>
      </c>
      <c r="T12" s="103">
        <v>11.64</v>
      </c>
      <c r="U12" s="98">
        <v>30.51</v>
      </c>
      <c r="V12" s="98">
        <f t="shared" si="9"/>
        <v>13.1532</v>
      </c>
      <c r="W12" s="98">
        <f t="shared" si="10"/>
        <v>34.171200000000006</v>
      </c>
      <c r="X12" s="120">
        <v>53</v>
      </c>
      <c r="Y12" s="120">
        <v>229</v>
      </c>
      <c r="Z12" s="119"/>
      <c r="AA12" s="121">
        <f t="shared" si="11"/>
        <v>39.75</v>
      </c>
      <c r="AB12" s="121">
        <f t="shared" si="12"/>
        <v>171.75</v>
      </c>
      <c r="AC12" s="119"/>
      <c r="AD12" s="119"/>
      <c r="AE12" s="121">
        <f t="shared" si="13"/>
        <v>0</v>
      </c>
      <c r="AF12" s="121">
        <f t="shared" si="13"/>
        <v>0</v>
      </c>
      <c r="AG12" s="98"/>
      <c r="AH12" s="98"/>
      <c r="AI12" s="98">
        <f t="shared" si="14"/>
        <v>0</v>
      </c>
      <c r="AJ12" s="98">
        <f t="shared" si="14"/>
        <v>0</v>
      </c>
      <c r="AK12" s="103">
        <v>31.65</v>
      </c>
      <c r="AL12" s="98">
        <v>25.62</v>
      </c>
      <c r="AM12" s="98">
        <f t="shared" si="15"/>
        <v>35.764499999999998</v>
      </c>
      <c r="AN12" s="98">
        <f t="shared" si="16"/>
        <v>28.694400000000005</v>
      </c>
      <c r="AO12" s="98"/>
      <c r="AP12" s="98"/>
      <c r="AQ12" s="131"/>
      <c r="AR12" s="131">
        <v>0</v>
      </c>
      <c r="AS12" s="99"/>
      <c r="AT12" s="98">
        <f t="shared" si="17"/>
        <v>0</v>
      </c>
      <c r="AU12" s="99">
        <v>12.95</v>
      </c>
      <c r="AV12" s="149">
        <f>AU12*$C$3</f>
        <v>14.504000000000001</v>
      </c>
      <c r="AW12" s="98">
        <v>25.79</v>
      </c>
      <c r="AX12" s="98">
        <v>63.36</v>
      </c>
      <c r="AY12" s="99"/>
      <c r="AZ12" s="98">
        <f t="shared" si="19"/>
        <v>0</v>
      </c>
      <c r="BA12" s="99"/>
      <c r="BB12" s="99"/>
      <c r="BC12" s="99"/>
      <c r="BD12" s="99"/>
      <c r="BE12" s="98">
        <f t="shared" si="20"/>
        <v>0</v>
      </c>
      <c r="BF12" s="98">
        <f t="shared" si="21"/>
        <v>0</v>
      </c>
      <c r="BG12" s="98">
        <v>37.340000000000003</v>
      </c>
      <c r="BH12" s="98">
        <v>0</v>
      </c>
      <c r="BI12" s="98">
        <f t="shared" si="22"/>
        <v>41.820800000000006</v>
      </c>
      <c r="BJ12" s="98">
        <f t="shared" si="23"/>
        <v>0</v>
      </c>
      <c r="BK12" s="99"/>
      <c r="BL12" s="99"/>
      <c r="BM12" s="98"/>
      <c r="BN12" s="98">
        <f t="shared" si="24"/>
        <v>0</v>
      </c>
      <c r="BO12" s="105">
        <v>5.87</v>
      </c>
      <c r="BP12" s="149">
        <f t="shared" si="25"/>
        <v>6.5744000000000007</v>
      </c>
      <c r="BQ12" s="113"/>
      <c r="BR12" s="113"/>
      <c r="BS12" s="104">
        <f t="shared" si="26"/>
        <v>0</v>
      </c>
      <c r="BT12" s="104">
        <f t="shared" si="27"/>
        <v>0</v>
      </c>
      <c r="BU12" s="105">
        <v>0</v>
      </c>
      <c r="BV12" s="105">
        <v>1.52</v>
      </c>
      <c r="BW12" s="142">
        <f t="shared" si="28"/>
        <v>0</v>
      </c>
      <c r="BX12" s="142">
        <f t="shared" si="29"/>
        <v>1.9912000000000001</v>
      </c>
      <c r="BY12" s="111"/>
      <c r="BZ12" s="111"/>
      <c r="CA12" s="142">
        <f t="shared" si="30"/>
        <v>0</v>
      </c>
      <c r="CB12" s="142">
        <f t="shared" si="30"/>
        <v>0</v>
      </c>
      <c r="CC12" s="109"/>
      <c r="CD12" s="109"/>
      <c r="CE12" s="98">
        <f t="shared" si="31"/>
        <v>0</v>
      </c>
      <c r="CF12" s="107">
        <f t="shared" si="31"/>
        <v>0</v>
      </c>
      <c r="CG12" s="89"/>
      <c r="CH12" s="65">
        <f t="shared" si="32"/>
        <v>1610000</v>
      </c>
      <c r="CI12" s="73"/>
      <c r="CJ12" s="73"/>
      <c r="CK12" s="66">
        <v>390000</v>
      </c>
      <c r="CL12" s="73"/>
      <c r="CM12" s="66">
        <v>1220000</v>
      </c>
      <c r="CN12" s="73"/>
      <c r="CO12" s="73"/>
      <c r="CP12" s="90"/>
      <c r="CQ12" s="68">
        <v>0</v>
      </c>
      <c r="CR12" s="69">
        <f t="shared" si="33"/>
        <v>115.29769999999999</v>
      </c>
      <c r="CS12" s="69">
        <f t="shared" si="34"/>
        <v>557.44200000000012</v>
      </c>
      <c r="CT12" s="70">
        <f t="shared" si="0"/>
        <v>1597094.7225000004</v>
      </c>
      <c r="CU12" s="70">
        <f t="shared" si="1"/>
        <v>1064729.8150000002</v>
      </c>
      <c r="CV12" s="70">
        <f t="shared" si="35"/>
        <v>-12905.277499999618</v>
      </c>
      <c r="CW12" s="67" t="s">
        <v>135</v>
      </c>
      <c r="CX12" s="116">
        <v>250000</v>
      </c>
    </row>
    <row r="13" spans="1:102">
      <c r="A13" s="18"/>
      <c r="B13" s="94" t="s">
        <v>142</v>
      </c>
      <c r="C13" s="92" t="s">
        <v>143</v>
      </c>
      <c r="D13" s="102">
        <v>0.6</v>
      </c>
      <c r="E13" s="102">
        <v>62.3</v>
      </c>
      <c r="F13" s="98">
        <f t="shared" si="2"/>
        <v>0.36</v>
      </c>
      <c r="G13" s="98">
        <f t="shared" si="2"/>
        <v>37.379999999999995</v>
      </c>
      <c r="H13" s="119"/>
      <c r="I13" s="119"/>
      <c r="J13" s="98">
        <f t="shared" si="3"/>
        <v>0</v>
      </c>
      <c r="K13" s="98">
        <f t="shared" si="4"/>
        <v>0</v>
      </c>
      <c r="L13" s="103">
        <v>17.920000000000002</v>
      </c>
      <c r="M13" s="98">
        <f t="shared" si="5"/>
        <v>17.920000000000002</v>
      </c>
      <c r="N13" s="98">
        <v>0.87</v>
      </c>
      <c r="O13" s="98">
        <v>141.97999999999999</v>
      </c>
      <c r="P13" s="98">
        <f t="shared" si="6"/>
        <v>0.98309999999999986</v>
      </c>
      <c r="Q13" s="98">
        <f t="shared" si="7"/>
        <v>159.01760000000002</v>
      </c>
      <c r="R13" s="103">
        <v>5.54</v>
      </c>
      <c r="S13" s="98">
        <f t="shared" si="8"/>
        <v>6.2048000000000005</v>
      </c>
      <c r="T13" s="103">
        <v>0</v>
      </c>
      <c r="U13" s="98">
        <v>3.01</v>
      </c>
      <c r="V13" s="98">
        <f t="shared" si="9"/>
        <v>0</v>
      </c>
      <c r="W13" s="98">
        <f t="shared" si="10"/>
        <v>3.3712</v>
      </c>
      <c r="X13" s="120">
        <v>0</v>
      </c>
      <c r="Y13" s="120">
        <v>62.4</v>
      </c>
      <c r="Z13" s="110"/>
      <c r="AA13" s="121">
        <f t="shared" si="11"/>
        <v>0</v>
      </c>
      <c r="AB13" s="121">
        <f t="shared" si="12"/>
        <v>46.8</v>
      </c>
      <c r="AC13" s="110"/>
      <c r="AD13" s="110"/>
      <c r="AE13" s="121">
        <f t="shared" si="13"/>
        <v>0</v>
      </c>
      <c r="AF13" s="121">
        <f t="shared" si="13"/>
        <v>0</v>
      </c>
      <c r="AG13" s="98"/>
      <c r="AH13" s="98"/>
      <c r="AI13" s="98">
        <f t="shared" si="14"/>
        <v>0</v>
      </c>
      <c r="AJ13" s="98">
        <f t="shared" si="14"/>
        <v>0</v>
      </c>
      <c r="AK13" s="103">
        <v>2.31</v>
      </c>
      <c r="AL13" s="98">
        <v>59.24</v>
      </c>
      <c r="AM13" s="98">
        <f t="shared" si="15"/>
        <v>2.6102999999999996</v>
      </c>
      <c r="AN13" s="98">
        <f t="shared" si="16"/>
        <v>66.348800000000011</v>
      </c>
      <c r="AO13" s="98"/>
      <c r="AP13" s="98"/>
      <c r="AQ13" s="131">
        <v>0</v>
      </c>
      <c r="AR13" s="131">
        <v>26.07</v>
      </c>
      <c r="AS13" s="99"/>
      <c r="AT13" s="98">
        <f t="shared" si="17"/>
        <v>0</v>
      </c>
      <c r="AU13" s="99">
        <v>24.55</v>
      </c>
      <c r="AV13" s="149">
        <f t="shared" si="18"/>
        <v>27.496000000000002</v>
      </c>
      <c r="AW13" s="98">
        <v>0</v>
      </c>
      <c r="AX13" s="98">
        <v>111.69</v>
      </c>
      <c r="AY13" s="101"/>
      <c r="AZ13" s="98">
        <f t="shared" si="19"/>
        <v>0</v>
      </c>
      <c r="BA13" s="98"/>
      <c r="BB13" s="98"/>
      <c r="BC13" s="99"/>
      <c r="BD13" s="99"/>
      <c r="BE13" s="98">
        <f t="shared" si="20"/>
        <v>0</v>
      </c>
      <c r="BF13" s="98">
        <f t="shared" si="21"/>
        <v>0</v>
      </c>
      <c r="BG13" s="98">
        <v>38.15</v>
      </c>
      <c r="BH13" s="98">
        <v>2.94</v>
      </c>
      <c r="BI13" s="98">
        <f t="shared" si="22"/>
        <v>42.728000000000002</v>
      </c>
      <c r="BJ13" s="98">
        <f t="shared" si="23"/>
        <v>3.2928000000000002</v>
      </c>
      <c r="BK13" s="100"/>
      <c r="BL13" s="100"/>
      <c r="BM13" s="98"/>
      <c r="BN13" s="98">
        <f t="shared" si="24"/>
        <v>0</v>
      </c>
      <c r="BO13" s="105">
        <v>16.57</v>
      </c>
      <c r="BP13" s="149">
        <f t="shared" si="25"/>
        <v>18.558400000000002</v>
      </c>
      <c r="BQ13" s="112"/>
      <c r="BR13" s="112"/>
      <c r="BS13" s="104">
        <f t="shared" si="26"/>
        <v>0</v>
      </c>
      <c r="BT13" s="104">
        <f t="shared" si="27"/>
        <v>0</v>
      </c>
      <c r="BU13" s="105">
        <v>0</v>
      </c>
      <c r="BV13" s="105">
        <v>0</v>
      </c>
      <c r="BW13" s="142">
        <f t="shared" si="28"/>
        <v>0</v>
      </c>
      <c r="BX13" s="142">
        <f t="shared" si="29"/>
        <v>0</v>
      </c>
      <c r="BY13" s="110"/>
      <c r="BZ13" s="110"/>
      <c r="CA13" s="142">
        <f t="shared" si="30"/>
        <v>0</v>
      </c>
      <c r="CB13" s="142">
        <f t="shared" si="30"/>
        <v>0</v>
      </c>
      <c r="CC13" s="106"/>
      <c r="CD13" s="106"/>
      <c r="CE13" s="98">
        <f t="shared" si="31"/>
        <v>0</v>
      </c>
      <c r="CF13" s="107">
        <f t="shared" si="31"/>
        <v>0</v>
      </c>
      <c r="CG13" s="81"/>
      <c r="CH13" s="65">
        <f t="shared" si="32"/>
        <v>1380000</v>
      </c>
      <c r="CI13" s="74"/>
      <c r="CJ13" s="74"/>
      <c r="CK13" s="54"/>
      <c r="CL13" s="74">
        <v>500000</v>
      </c>
      <c r="CM13" s="54">
        <v>880000</v>
      </c>
      <c r="CN13" s="74"/>
      <c r="CO13" s="74"/>
      <c r="CP13" s="90"/>
      <c r="CQ13" s="68">
        <v>0</v>
      </c>
      <c r="CR13" s="69">
        <f t="shared" si="33"/>
        <v>3.9533999999999994</v>
      </c>
      <c r="CS13" s="69">
        <f t="shared" si="34"/>
        <v>563.58479999999997</v>
      </c>
      <c r="CT13" s="70">
        <f t="shared" si="0"/>
        <v>1366762.5658799999</v>
      </c>
      <c r="CU13" s="70">
        <f t="shared" si="1"/>
        <v>907893.76871999993</v>
      </c>
      <c r="CV13" s="70">
        <f t="shared" si="35"/>
        <v>-13237.434120000107</v>
      </c>
      <c r="CW13" s="55" t="s">
        <v>141</v>
      </c>
      <c r="CX13" s="118">
        <f>140000+140000+140000</f>
        <v>420000</v>
      </c>
    </row>
    <row r="14" spans="1:102">
      <c r="A14" s="18"/>
      <c r="B14" s="94" t="s">
        <v>145</v>
      </c>
      <c r="C14" s="92" t="s">
        <v>146</v>
      </c>
      <c r="D14" s="102">
        <v>3.5</v>
      </c>
      <c r="E14" s="102">
        <v>23.9</v>
      </c>
      <c r="F14" s="98">
        <f t="shared" si="2"/>
        <v>2.1</v>
      </c>
      <c r="G14" s="98">
        <f t="shared" si="2"/>
        <v>14.339999999999998</v>
      </c>
      <c r="H14" s="110"/>
      <c r="I14" s="110"/>
      <c r="J14" s="98">
        <f t="shared" si="3"/>
        <v>0</v>
      </c>
      <c r="K14" s="98">
        <f t="shared" si="4"/>
        <v>0</v>
      </c>
      <c r="L14" s="103">
        <v>137.59</v>
      </c>
      <c r="M14" s="98">
        <f t="shared" si="5"/>
        <v>137.59</v>
      </c>
      <c r="N14" s="98"/>
      <c r="O14" s="98"/>
      <c r="P14" s="98">
        <f t="shared" si="6"/>
        <v>0</v>
      </c>
      <c r="Q14" s="98">
        <f t="shared" si="7"/>
        <v>0</v>
      </c>
      <c r="R14" s="103">
        <v>149.69999999999999</v>
      </c>
      <c r="S14" s="98">
        <f t="shared" si="8"/>
        <v>167.66400000000002</v>
      </c>
      <c r="T14" s="103">
        <v>10.98</v>
      </c>
      <c r="U14" s="98">
        <v>8.3699999999999992</v>
      </c>
      <c r="V14" s="98">
        <f t="shared" si="9"/>
        <v>12.407399999999999</v>
      </c>
      <c r="W14" s="98">
        <f t="shared" si="10"/>
        <v>9.3743999999999996</v>
      </c>
      <c r="X14" s="120">
        <v>0</v>
      </c>
      <c r="Y14" s="120">
        <v>0</v>
      </c>
      <c r="Z14" s="110"/>
      <c r="AA14" s="121">
        <f t="shared" si="11"/>
        <v>0</v>
      </c>
      <c r="AB14" s="121">
        <f t="shared" si="12"/>
        <v>0</v>
      </c>
      <c r="AC14" s="110"/>
      <c r="AD14" s="110"/>
      <c r="AE14" s="121">
        <f t="shared" si="13"/>
        <v>0</v>
      </c>
      <c r="AF14" s="121">
        <f t="shared" si="13"/>
        <v>0</v>
      </c>
      <c r="AG14" s="98"/>
      <c r="AH14" s="98"/>
      <c r="AI14" s="98">
        <f t="shared" si="14"/>
        <v>0</v>
      </c>
      <c r="AJ14" s="98">
        <f t="shared" si="14"/>
        <v>0</v>
      </c>
      <c r="AK14" s="103">
        <v>110.04</v>
      </c>
      <c r="AL14" s="98">
        <v>93.57</v>
      </c>
      <c r="AM14" s="98">
        <f t="shared" si="15"/>
        <v>124.34519999999999</v>
      </c>
      <c r="AN14" s="98">
        <f t="shared" si="16"/>
        <v>104.7984</v>
      </c>
      <c r="AO14" s="98"/>
      <c r="AP14" s="98"/>
      <c r="AQ14" s="131">
        <v>0</v>
      </c>
      <c r="AR14" s="131">
        <v>0</v>
      </c>
      <c r="AS14" s="99"/>
      <c r="AT14" s="98">
        <f t="shared" si="17"/>
        <v>0</v>
      </c>
      <c r="AU14" s="99">
        <v>152.85</v>
      </c>
      <c r="AV14" s="149">
        <f t="shared" si="18"/>
        <v>171.19200000000001</v>
      </c>
      <c r="AW14" s="98">
        <v>10.74</v>
      </c>
      <c r="AX14" s="98">
        <v>47.06</v>
      </c>
      <c r="AY14" s="101"/>
      <c r="AZ14" s="98">
        <f t="shared" si="19"/>
        <v>0</v>
      </c>
      <c r="BA14" s="98"/>
      <c r="BB14" s="98"/>
      <c r="BC14" s="99"/>
      <c r="BD14" s="99"/>
      <c r="BE14" s="98">
        <f t="shared" si="20"/>
        <v>0</v>
      </c>
      <c r="BF14" s="98">
        <f t="shared" si="21"/>
        <v>0</v>
      </c>
      <c r="BG14" s="98">
        <v>119.53</v>
      </c>
      <c r="BH14" s="98">
        <v>2.61</v>
      </c>
      <c r="BI14" s="98">
        <f t="shared" si="22"/>
        <v>133.87360000000001</v>
      </c>
      <c r="BJ14" s="98">
        <f t="shared" si="23"/>
        <v>2.9232</v>
      </c>
      <c r="BK14" s="100"/>
      <c r="BL14" s="100"/>
      <c r="BM14" s="98"/>
      <c r="BN14" s="98">
        <f t="shared" si="24"/>
        <v>0</v>
      </c>
      <c r="BO14" s="105">
        <v>141.33000000000001</v>
      </c>
      <c r="BP14" s="149">
        <f t="shared" si="25"/>
        <v>158.28960000000004</v>
      </c>
      <c r="BQ14" s="112"/>
      <c r="BR14" s="112"/>
      <c r="BS14" s="104">
        <f t="shared" si="26"/>
        <v>0</v>
      </c>
      <c r="BT14" s="104">
        <f t="shared" si="27"/>
        <v>0</v>
      </c>
      <c r="BU14" s="105">
        <v>0</v>
      </c>
      <c r="BV14" s="105">
        <v>0</v>
      </c>
      <c r="BW14" s="142">
        <f t="shared" si="28"/>
        <v>0</v>
      </c>
      <c r="BX14" s="142">
        <f t="shared" si="29"/>
        <v>0</v>
      </c>
      <c r="BY14" s="110"/>
      <c r="BZ14" s="110"/>
      <c r="CA14" s="142">
        <f t="shared" si="30"/>
        <v>0</v>
      </c>
      <c r="CB14" s="142">
        <f t="shared" si="30"/>
        <v>0</v>
      </c>
      <c r="CC14" s="106"/>
      <c r="CD14" s="106"/>
      <c r="CE14" s="98">
        <f t="shared" si="31"/>
        <v>0</v>
      </c>
      <c r="CF14" s="107">
        <f t="shared" si="31"/>
        <v>0</v>
      </c>
      <c r="CG14" s="81"/>
      <c r="CH14" s="65">
        <f t="shared" si="32"/>
        <v>2620000</v>
      </c>
      <c r="CI14" s="74"/>
      <c r="CJ14" s="74"/>
      <c r="CK14" s="54">
        <v>1320000</v>
      </c>
      <c r="CL14" s="74"/>
      <c r="CM14" s="54">
        <v>1300000</v>
      </c>
      <c r="CN14" s="74"/>
      <c r="CO14" s="74"/>
      <c r="CP14" s="90"/>
      <c r="CQ14" s="68">
        <v>0</v>
      </c>
      <c r="CR14" s="69">
        <f t="shared" si="33"/>
        <v>149.5926</v>
      </c>
      <c r="CS14" s="69">
        <f t="shared" si="34"/>
        <v>944.18200000000024</v>
      </c>
      <c r="CT14" s="70">
        <f t="shared" si="0"/>
        <v>2609262.0390000008</v>
      </c>
      <c r="CU14" s="70">
        <f t="shared" si="1"/>
        <v>1736595.0572000004</v>
      </c>
      <c r="CV14" s="70">
        <f t="shared" si="35"/>
        <v>-10737.960999999195</v>
      </c>
      <c r="CW14" s="55" t="s">
        <v>144</v>
      </c>
      <c r="CX14" s="118">
        <f>450000+250000+250000+1000000</f>
        <v>1950000</v>
      </c>
    </row>
    <row r="15" spans="1:102">
      <c r="A15" s="132"/>
      <c r="B15" s="94" t="s">
        <v>153</v>
      </c>
      <c r="C15" s="92" t="s">
        <v>154</v>
      </c>
      <c r="D15" s="102">
        <v>11.3</v>
      </c>
      <c r="E15" s="102">
        <v>70.3</v>
      </c>
      <c r="F15" s="98">
        <f t="shared" si="2"/>
        <v>6.78</v>
      </c>
      <c r="G15" s="98">
        <f t="shared" si="2"/>
        <v>42.18</v>
      </c>
      <c r="H15" s="119"/>
      <c r="I15" s="119"/>
      <c r="J15" s="98">
        <f t="shared" si="3"/>
        <v>0</v>
      </c>
      <c r="K15" s="98">
        <f t="shared" si="4"/>
        <v>0</v>
      </c>
      <c r="L15" s="103"/>
      <c r="M15" s="98">
        <f t="shared" si="5"/>
        <v>0</v>
      </c>
      <c r="N15" s="98">
        <v>12.72</v>
      </c>
      <c r="O15" s="98">
        <v>23.59</v>
      </c>
      <c r="P15" s="98">
        <f t="shared" si="6"/>
        <v>14.3736</v>
      </c>
      <c r="Q15" s="98">
        <f t="shared" si="7"/>
        <v>26.420800000000003</v>
      </c>
      <c r="R15" s="103">
        <v>247.52</v>
      </c>
      <c r="S15" s="98">
        <f t="shared" si="8"/>
        <v>277.22240000000005</v>
      </c>
      <c r="T15" s="103">
        <v>25.13</v>
      </c>
      <c r="U15" s="98">
        <v>15.71</v>
      </c>
      <c r="V15" s="98">
        <f t="shared" si="9"/>
        <v>28.396899999999995</v>
      </c>
      <c r="W15" s="98">
        <f t="shared" si="10"/>
        <v>17.595200000000002</v>
      </c>
      <c r="X15" s="120">
        <v>5</v>
      </c>
      <c r="Y15" s="120">
        <v>4</v>
      </c>
      <c r="Z15" s="110"/>
      <c r="AA15" s="121">
        <f t="shared" si="11"/>
        <v>3.75</v>
      </c>
      <c r="AB15" s="121">
        <f t="shared" si="12"/>
        <v>3</v>
      </c>
      <c r="AC15" s="110"/>
      <c r="AD15" s="110"/>
      <c r="AE15" s="121">
        <f t="shared" si="13"/>
        <v>0</v>
      </c>
      <c r="AF15" s="121">
        <f t="shared" si="13"/>
        <v>0</v>
      </c>
      <c r="AG15" s="98"/>
      <c r="AH15" s="98"/>
      <c r="AI15" s="98">
        <f t="shared" si="14"/>
        <v>0</v>
      </c>
      <c r="AJ15" s="98">
        <f t="shared" si="14"/>
        <v>0</v>
      </c>
      <c r="AK15" s="103">
        <v>245.18</v>
      </c>
      <c r="AL15" s="98">
        <v>97.07</v>
      </c>
      <c r="AM15" s="98">
        <f t="shared" si="15"/>
        <v>277.05339999999995</v>
      </c>
      <c r="AN15" s="98">
        <f t="shared" si="16"/>
        <v>108.7184</v>
      </c>
      <c r="AO15" s="98"/>
      <c r="AP15" s="98"/>
      <c r="AQ15" s="131"/>
      <c r="AR15" s="131"/>
      <c r="AS15" s="99"/>
      <c r="AT15" s="98">
        <f t="shared" si="17"/>
        <v>0</v>
      </c>
      <c r="AU15" s="99"/>
      <c r="AV15" s="149">
        <f t="shared" si="18"/>
        <v>0</v>
      </c>
      <c r="AW15" s="98"/>
      <c r="AX15" s="98"/>
      <c r="AY15" s="101"/>
      <c r="AZ15" s="98">
        <f t="shared" si="19"/>
        <v>0</v>
      </c>
      <c r="BA15" s="98"/>
      <c r="BB15" s="98"/>
      <c r="BC15" s="99"/>
      <c r="BD15" s="99"/>
      <c r="BE15" s="98">
        <f t="shared" si="20"/>
        <v>0</v>
      </c>
      <c r="BF15" s="98">
        <f t="shared" si="21"/>
        <v>0</v>
      </c>
      <c r="BG15" s="98">
        <v>139.27000000000001</v>
      </c>
      <c r="BH15" s="98">
        <v>1.26</v>
      </c>
      <c r="BI15" s="98">
        <f t="shared" si="22"/>
        <v>155.98240000000001</v>
      </c>
      <c r="BJ15" s="98">
        <f t="shared" si="23"/>
        <v>1.4112000000000002</v>
      </c>
      <c r="BK15" s="100"/>
      <c r="BL15" s="100"/>
      <c r="BM15" s="98">
        <v>134.63999999999999</v>
      </c>
      <c r="BN15" s="98">
        <f t="shared" si="24"/>
        <v>150.79679999999999</v>
      </c>
      <c r="BO15" s="105">
        <v>447.49</v>
      </c>
      <c r="BP15" s="149">
        <f t="shared" si="25"/>
        <v>501.18880000000007</v>
      </c>
      <c r="BQ15" s="112"/>
      <c r="BR15" s="112"/>
      <c r="BS15" s="104">
        <f t="shared" si="26"/>
        <v>0</v>
      </c>
      <c r="BT15" s="104">
        <f t="shared" si="27"/>
        <v>0</v>
      </c>
      <c r="BU15" s="105">
        <v>8.8000000000000007</v>
      </c>
      <c r="BV15" s="105">
        <v>17.77</v>
      </c>
      <c r="BW15" s="142">
        <f t="shared" si="28"/>
        <v>11.557333040000001</v>
      </c>
      <c r="BX15" s="142">
        <f t="shared" si="29"/>
        <v>23.278700000000001</v>
      </c>
      <c r="BY15" s="110">
        <v>27</v>
      </c>
      <c r="BZ15" s="110">
        <v>47.34</v>
      </c>
      <c r="CA15" s="142">
        <f t="shared" si="30"/>
        <v>13.5</v>
      </c>
      <c r="CB15" s="142">
        <f t="shared" si="30"/>
        <v>23.67</v>
      </c>
      <c r="CC15" s="106">
        <v>2255</v>
      </c>
      <c r="CD15" s="106">
        <f>1222+1633</f>
        <v>2855</v>
      </c>
      <c r="CE15" s="98">
        <f t="shared" si="31"/>
        <v>112.75</v>
      </c>
      <c r="CF15" s="107">
        <f t="shared" si="31"/>
        <v>142.75</v>
      </c>
      <c r="CG15" s="81"/>
      <c r="CH15" s="65">
        <f t="shared" si="32"/>
        <v>4692000</v>
      </c>
      <c r="CI15" s="74"/>
      <c r="CJ15" s="74"/>
      <c r="CK15" s="54">
        <v>2470000</v>
      </c>
      <c r="CL15" s="74"/>
      <c r="CM15" s="54">
        <v>2222000</v>
      </c>
      <c r="CN15" s="74"/>
      <c r="CO15" s="74"/>
      <c r="CP15" s="90"/>
      <c r="CQ15" s="68">
        <v>0</v>
      </c>
      <c r="CR15" s="69">
        <f t="shared" si="33"/>
        <v>468.16123303999996</v>
      </c>
      <c r="CS15" s="69">
        <f t="shared" si="34"/>
        <v>1472.8035000000002</v>
      </c>
      <c r="CT15" s="70">
        <f t="shared" si="0"/>
        <v>4598196.6954285605</v>
      </c>
      <c r="CU15" s="70">
        <f t="shared" si="1"/>
        <v>3064058.2028190405</v>
      </c>
      <c r="CV15" s="70">
        <f t="shared" si="35"/>
        <v>-93803.304571439512</v>
      </c>
      <c r="CW15" s="55" t="s">
        <v>147</v>
      </c>
      <c r="CX15" s="118">
        <v>400000</v>
      </c>
    </row>
    <row r="16" spans="1:102">
      <c r="A16" s="18"/>
      <c r="B16" s="94" t="s">
        <v>157</v>
      </c>
      <c r="C16" s="92" t="s">
        <v>158</v>
      </c>
      <c r="D16" s="102">
        <v>0</v>
      </c>
      <c r="E16" s="102">
        <v>0</v>
      </c>
      <c r="F16" s="98">
        <f t="shared" si="2"/>
        <v>0</v>
      </c>
      <c r="G16" s="98">
        <f t="shared" si="2"/>
        <v>0</v>
      </c>
      <c r="H16" s="110"/>
      <c r="I16" s="110"/>
      <c r="J16" s="98">
        <f t="shared" si="3"/>
        <v>0</v>
      </c>
      <c r="K16" s="98">
        <f t="shared" si="4"/>
        <v>0</v>
      </c>
      <c r="L16" s="103"/>
      <c r="M16" s="98">
        <f t="shared" si="5"/>
        <v>0</v>
      </c>
      <c r="N16" s="98"/>
      <c r="O16" s="98"/>
      <c r="P16" s="98">
        <f t="shared" si="6"/>
        <v>0</v>
      </c>
      <c r="Q16" s="98">
        <f t="shared" si="7"/>
        <v>0</v>
      </c>
      <c r="R16" s="103">
        <v>20.77</v>
      </c>
      <c r="S16" s="98">
        <f t="shared" si="8"/>
        <v>23.262400000000003</v>
      </c>
      <c r="T16" s="103">
        <v>0.43</v>
      </c>
      <c r="U16" s="98">
        <v>31.33</v>
      </c>
      <c r="V16" s="98">
        <f t="shared" si="9"/>
        <v>0.48589999999999994</v>
      </c>
      <c r="W16" s="98">
        <f t="shared" si="10"/>
        <v>35.089600000000004</v>
      </c>
      <c r="X16" s="120">
        <v>0</v>
      </c>
      <c r="Y16" s="120">
        <v>0</v>
      </c>
      <c r="Z16" s="110"/>
      <c r="AA16" s="121">
        <f t="shared" si="11"/>
        <v>0</v>
      </c>
      <c r="AB16" s="121">
        <f t="shared" si="12"/>
        <v>0</v>
      </c>
      <c r="AC16" s="110"/>
      <c r="AD16" s="110"/>
      <c r="AE16" s="121">
        <f t="shared" si="13"/>
        <v>0</v>
      </c>
      <c r="AF16" s="121">
        <f t="shared" si="13"/>
        <v>0</v>
      </c>
      <c r="AG16" s="98">
        <v>0</v>
      </c>
      <c r="AH16" s="98">
        <v>0</v>
      </c>
      <c r="AI16" s="98">
        <f t="shared" si="14"/>
        <v>0</v>
      </c>
      <c r="AJ16" s="98">
        <f t="shared" si="14"/>
        <v>0</v>
      </c>
      <c r="AK16" s="103">
        <v>2.81</v>
      </c>
      <c r="AL16" s="98">
        <v>29.63</v>
      </c>
      <c r="AM16" s="98">
        <f t="shared" si="15"/>
        <v>3.1752999999999996</v>
      </c>
      <c r="AN16" s="98">
        <f t="shared" si="16"/>
        <v>33.185600000000001</v>
      </c>
      <c r="AO16" s="98"/>
      <c r="AP16" s="98"/>
      <c r="AQ16" s="131">
        <v>9.75</v>
      </c>
      <c r="AR16" s="131">
        <v>25.3</v>
      </c>
      <c r="AS16" s="99"/>
      <c r="AT16" s="98">
        <f t="shared" si="17"/>
        <v>0</v>
      </c>
      <c r="AU16" s="99"/>
      <c r="AV16" s="149">
        <f t="shared" si="18"/>
        <v>0</v>
      </c>
      <c r="AW16" s="98">
        <v>21.19</v>
      </c>
      <c r="AX16" s="98">
        <v>67.209999999999994</v>
      </c>
      <c r="AY16" s="101"/>
      <c r="AZ16" s="98">
        <f t="shared" si="19"/>
        <v>0</v>
      </c>
      <c r="BA16" s="98"/>
      <c r="BB16" s="98"/>
      <c r="BC16" s="99"/>
      <c r="BD16" s="99"/>
      <c r="BE16" s="98">
        <f t="shared" si="20"/>
        <v>0</v>
      </c>
      <c r="BF16" s="98">
        <f t="shared" si="21"/>
        <v>0</v>
      </c>
      <c r="BG16" s="99"/>
      <c r="BH16" s="99"/>
      <c r="BI16" s="98">
        <f t="shared" si="22"/>
        <v>0</v>
      </c>
      <c r="BJ16" s="98">
        <f t="shared" si="23"/>
        <v>0</v>
      </c>
      <c r="BK16" s="100"/>
      <c r="BL16" s="100"/>
      <c r="BM16" s="98"/>
      <c r="BN16" s="98">
        <f t="shared" si="24"/>
        <v>0</v>
      </c>
      <c r="BO16" s="105">
        <v>110.09</v>
      </c>
      <c r="BP16" s="149">
        <f t="shared" si="25"/>
        <v>123.30080000000001</v>
      </c>
      <c r="BQ16" s="112"/>
      <c r="BR16" s="112"/>
      <c r="BS16" s="104">
        <f t="shared" si="26"/>
        <v>0</v>
      </c>
      <c r="BT16" s="104">
        <f t="shared" si="27"/>
        <v>0</v>
      </c>
      <c r="BU16" s="105">
        <v>0</v>
      </c>
      <c r="BV16" s="105">
        <v>0</v>
      </c>
      <c r="BW16" s="142">
        <f t="shared" si="28"/>
        <v>0</v>
      </c>
      <c r="BX16" s="142">
        <f t="shared" si="29"/>
        <v>0</v>
      </c>
      <c r="BY16" s="110">
        <v>0</v>
      </c>
      <c r="BZ16" s="110">
        <v>0</v>
      </c>
      <c r="CA16" s="142">
        <f t="shared" si="30"/>
        <v>0</v>
      </c>
      <c r="CB16" s="142">
        <f t="shared" si="30"/>
        <v>0</v>
      </c>
      <c r="CC16" s="106"/>
      <c r="CD16" s="106"/>
      <c r="CE16" s="98">
        <f t="shared" si="31"/>
        <v>0</v>
      </c>
      <c r="CF16" s="107">
        <f t="shared" si="31"/>
        <v>0</v>
      </c>
      <c r="CG16" s="81"/>
      <c r="CH16" s="65">
        <f t="shared" si="32"/>
        <v>814000</v>
      </c>
      <c r="CI16" s="74"/>
      <c r="CJ16" s="74"/>
      <c r="CK16" s="54">
        <v>180000</v>
      </c>
      <c r="CL16" s="74"/>
      <c r="CM16" s="54">
        <v>634000</v>
      </c>
      <c r="CN16" s="74"/>
      <c r="CO16" s="74"/>
      <c r="CP16" s="90"/>
      <c r="CQ16" s="68">
        <v>0</v>
      </c>
      <c r="CR16" s="69">
        <f t="shared" si="33"/>
        <v>34.601199999999999</v>
      </c>
      <c r="CS16" s="69">
        <f t="shared" si="34"/>
        <v>307.34840000000003</v>
      </c>
      <c r="CT16" s="70">
        <f t="shared" si="0"/>
        <v>814256.58024000004</v>
      </c>
      <c r="CU16" s="70">
        <f t="shared" si="1"/>
        <v>542837.72016000003</v>
      </c>
      <c r="CV16" s="70">
        <f t="shared" si="35"/>
        <v>256.58024000003934</v>
      </c>
      <c r="CW16" s="55"/>
      <c r="CX16" s="118"/>
    </row>
    <row r="17" spans="1:102">
      <c r="A17" s="18" t="s">
        <v>166</v>
      </c>
      <c r="B17" s="94" t="s">
        <v>167</v>
      </c>
      <c r="C17" s="92" t="s">
        <v>168</v>
      </c>
      <c r="D17" s="102">
        <v>0</v>
      </c>
      <c r="E17" s="102">
        <v>0</v>
      </c>
      <c r="F17" s="98">
        <f t="shared" si="2"/>
        <v>0</v>
      </c>
      <c r="G17" s="98">
        <f t="shared" si="2"/>
        <v>0</v>
      </c>
      <c r="H17" s="110"/>
      <c r="I17" s="110"/>
      <c r="J17" s="98">
        <f t="shared" si="3"/>
        <v>0</v>
      </c>
      <c r="K17" s="98">
        <f t="shared" si="4"/>
        <v>0</v>
      </c>
      <c r="L17" s="103">
        <v>26.99</v>
      </c>
      <c r="M17" s="98">
        <f t="shared" si="5"/>
        <v>26.99</v>
      </c>
      <c r="N17" s="98"/>
      <c r="O17" s="98"/>
      <c r="P17" s="98">
        <f t="shared" si="6"/>
        <v>0</v>
      </c>
      <c r="Q17" s="98">
        <f t="shared" si="7"/>
        <v>0</v>
      </c>
      <c r="R17" s="103">
        <v>29.58</v>
      </c>
      <c r="S17" s="98">
        <f t="shared" si="8"/>
        <v>33.129600000000003</v>
      </c>
      <c r="T17" s="103">
        <v>0</v>
      </c>
      <c r="U17" s="98">
        <v>2.75</v>
      </c>
      <c r="V17" s="98">
        <f t="shared" si="9"/>
        <v>0</v>
      </c>
      <c r="W17" s="98">
        <f t="shared" si="10"/>
        <v>3.08</v>
      </c>
      <c r="X17" s="120">
        <v>0</v>
      </c>
      <c r="Y17" s="120">
        <v>0</v>
      </c>
      <c r="Z17" s="110"/>
      <c r="AA17" s="121">
        <f t="shared" si="11"/>
        <v>0</v>
      </c>
      <c r="AB17" s="121">
        <f t="shared" si="12"/>
        <v>0</v>
      </c>
      <c r="AC17" s="110"/>
      <c r="AD17" s="110"/>
      <c r="AE17" s="121">
        <f t="shared" si="13"/>
        <v>0</v>
      </c>
      <c r="AF17" s="121">
        <f t="shared" si="13"/>
        <v>0</v>
      </c>
      <c r="AG17" s="98">
        <v>0</v>
      </c>
      <c r="AH17" s="98">
        <v>0</v>
      </c>
      <c r="AI17" s="98">
        <f t="shared" si="14"/>
        <v>0</v>
      </c>
      <c r="AJ17" s="98">
        <f t="shared" si="14"/>
        <v>0</v>
      </c>
      <c r="AK17" s="103">
        <v>24.75</v>
      </c>
      <c r="AL17" s="98">
        <v>22.64</v>
      </c>
      <c r="AM17" s="98">
        <f t="shared" si="15"/>
        <v>27.967499999999998</v>
      </c>
      <c r="AN17" s="98">
        <f t="shared" si="16"/>
        <v>25.356800000000003</v>
      </c>
      <c r="AO17" s="98"/>
      <c r="AP17" s="98"/>
      <c r="AQ17" s="131"/>
      <c r="AR17" s="131"/>
      <c r="AS17" s="99"/>
      <c r="AT17" s="98">
        <f t="shared" si="17"/>
        <v>0</v>
      </c>
      <c r="AU17" s="99"/>
      <c r="AV17" s="149">
        <f t="shared" si="18"/>
        <v>0</v>
      </c>
      <c r="AW17" s="98">
        <v>6.95</v>
      </c>
      <c r="AX17" s="98">
        <v>10.11</v>
      </c>
      <c r="AY17" s="101"/>
      <c r="AZ17" s="98">
        <f t="shared" si="19"/>
        <v>0</v>
      </c>
      <c r="BA17" s="98"/>
      <c r="BB17" s="98"/>
      <c r="BC17" s="99">
        <v>0</v>
      </c>
      <c r="BD17" s="99">
        <v>0</v>
      </c>
      <c r="BE17" s="98">
        <f t="shared" si="20"/>
        <v>0</v>
      </c>
      <c r="BF17" s="98">
        <f t="shared" si="21"/>
        <v>0</v>
      </c>
      <c r="BG17" s="99">
        <v>57.09</v>
      </c>
      <c r="BH17" s="99">
        <v>0</v>
      </c>
      <c r="BI17" s="98">
        <f t="shared" si="22"/>
        <v>63.94080000000001</v>
      </c>
      <c r="BJ17" s="98">
        <f t="shared" si="23"/>
        <v>0</v>
      </c>
      <c r="BK17" s="100"/>
      <c r="BL17" s="100"/>
      <c r="BM17" s="98"/>
      <c r="BN17" s="98">
        <f t="shared" si="24"/>
        <v>0</v>
      </c>
      <c r="BO17" s="105">
        <v>25.13</v>
      </c>
      <c r="BP17" s="149">
        <f t="shared" si="25"/>
        <v>28.145600000000002</v>
      </c>
      <c r="BQ17" s="112"/>
      <c r="BR17" s="112"/>
      <c r="BS17" s="104">
        <f t="shared" si="26"/>
        <v>0</v>
      </c>
      <c r="BT17" s="104">
        <f t="shared" si="27"/>
        <v>0</v>
      </c>
      <c r="BU17" s="105">
        <v>0</v>
      </c>
      <c r="BV17" s="105">
        <v>0</v>
      </c>
      <c r="BW17" s="142">
        <f t="shared" si="28"/>
        <v>0</v>
      </c>
      <c r="BX17" s="142">
        <f t="shared" si="29"/>
        <v>0</v>
      </c>
      <c r="BY17" s="110"/>
      <c r="BZ17" s="110"/>
      <c r="CA17" s="142">
        <f t="shared" si="30"/>
        <v>0</v>
      </c>
      <c r="CB17" s="142">
        <f t="shared" si="30"/>
        <v>0</v>
      </c>
      <c r="CC17" s="106"/>
      <c r="CD17" s="106"/>
      <c r="CE17" s="98">
        <f t="shared" si="31"/>
        <v>0</v>
      </c>
      <c r="CF17" s="107">
        <f t="shared" si="31"/>
        <v>0</v>
      </c>
      <c r="CG17" s="81"/>
      <c r="CH17" s="65">
        <f t="shared" si="32"/>
        <v>535000</v>
      </c>
      <c r="CI17" s="74"/>
      <c r="CJ17" s="74"/>
      <c r="CK17" s="54">
        <v>310000</v>
      </c>
      <c r="CL17" s="74">
        <f>140000</f>
        <v>140000</v>
      </c>
      <c r="CM17" s="54">
        <v>85000</v>
      </c>
      <c r="CN17" s="74"/>
      <c r="CO17" s="74"/>
      <c r="CP17" s="90"/>
      <c r="CQ17" s="68">
        <v>0</v>
      </c>
      <c r="CR17" s="69">
        <f t="shared" si="33"/>
        <v>34.917499999999997</v>
      </c>
      <c r="CS17" s="69">
        <f t="shared" si="34"/>
        <v>190.75280000000004</v>
      </c>
      <c r="CT17" s="70">
        <f t="shared" si="0"/>
        <v>536130.55398000008</v>
      </c>
      <c r="CU17" s="70">
        <f t="shared" si="1"/>
        <v>357420.36932000006</v>
      </c>
      <c r="CV17" s="70">
        <f t="shared" si="35"/>
        <v>1130.5539800000843</v>
      </c>
      <c r="CW17" s="55"/>
      <c r="CX17" s="118"/>
    </row>
    <row r="18" spans="1:102">
      <c r="A18" s="18"/>
      <c r="B18" s="94" t="s">
        <v>178</v>
      </c>
      <c r="C18" s="92" t="s">
        <v>179</v>
      </c>
      <c r="D18" s="102">
        <v>0</v>
      </c>
      <c r="E18" s="102">
        <v>0</v>
      </c>
      <c r="F18" s="98">
        <f t="shared" si="2"/>
        <v>0</v>
      </c>
      <c r="G18" s="98">
        <f t="shared" si="2"/>
        <v>0</v>
      </c>
      <c r="H18" s="110"/>
      <c r="I18" s="110"/>
      <c r="J18" s="98">
        <f t="shared" si="3"/>
        <v>0</v>
      </c>
      <c r="K18" s="98">
        <f t="shared" si="4"/>
        <v>0</v>
      </c>
      <c r="L18" s="103">
        <v>234.16</v>
      </c>
      <c r="M18" s="98">
        <f t="shared" si="5"/>
        <v>234.16</v>
      </c>
      <c r="N18" s="98"/>
      <c r="O18" s="98"/>
      <c r="P18" s="98">
        <f t="shared" si="6"/>
        <v>0</v>
      </c>
      <c r="Q18" s="98">
        <f t="shared" si="7"/>
        <v>0</v>
      </c>
      <c r="R18" s="103">
        <v>0</v>
      </c>
      <c r="S18" s="98">
        <f t="shared" si="8"/>
        <v>0</v>
      </c>
      <c r="T18" s="103">
        <v>0.88</v>
      </c>
      <c r="U18" s="98">
        <v>3.88</v>
      </c>
      <c r="V18" s="98">
        <f t="shared" si="9"/>
        <v>0.99439999999999995</v>
      </c>
      <c r="W18" s="98">
        <f t="shared" si="10"/>
        <v>4.3456000000000001</v>
      </c>
      <c r="X18" s="120">
        <v>0</v>
      </c>
      <c r="Y18" s="120">
        <v>0</v>
      </c>
      <c r="Z18" s="110"/>
      <c r="AA18" s="121">
        <f t="shared" si="11"/>
        <v>0</v>
      </c>
      <c r="AB18" s="121">
        <f t="shared" si="12"/>
        <v>0</v>
      </c>
      <c r="AC18" s="110"/>
      <c r="AD18" s="110"/>
      <c r="AE18" s="121">
        <f t="shared" si="13"/>
        <v>0</v>
      </c>
      <c r="AF18" s="121">
        <f t="shared" si="13"/>
        <v>0</v>
      </c>
      <c r="AG18" s="98">
        <v>0</v>
      </c>
      <c r="AH18" s="98">
        <v>0</v>
      </c>
      <c r="AI18" s="98">
        <f t="shared" si="14"/>
        <v>0</v>
      </c>
      <c r="AJ18" s="98">
        <f t="shared" si="14"/>
        <v>0</v>
      </c>
      <c r="AK18" s="103">
        <v>13.88</v>
      </c>
      <c r="AL18" s="98">
        <v>31.03</v>
      </c>
      <c r="AM18" s="98">
        <f t="shared" si="15"/>
        <v>15.6844</v>
      </c>
      <c r="AN18" s="98">
        <f t="shared" si="16"/>
        <v>34.753600000000006</v>
      </c>
      <c r="AO18" s="98">
        <v>0</v>
      </c>
      <c r="AP18" s="98">
        <v>0</v>
      </c>
      <c r="AQ18" s="131">
        <v>628.38</v>
      </c>
      <c r="AR18" s="131">
        <v>285.60000000000002</v>
      </c>
      <c r="AS18" s="99"/>
      <c r="AT18" s="98">
        <f t="shared" si="17"/>
        <v>0</v>
      </c>
      <c r="AU18" s="99"/>
      <c r="AV18" s="149">
        <f t="shared" si="18"/>
        <v>0</v>
      </c>
      <c r="AW18" s="98">
        <v>0</v>
      </c>
      <c r="AX18" s="98">
        <v>0</v>
      </c>
      <c r="AY18" s="101"/>
      <c r="AZ18" s="98">
        <f t="shared" si="19"/>
        <v>0</v>
      </c>
      <c r="BA18" s="98"/>
      <c r="BB18" s="98"/>
      <c r="BC18" s="99"/>
      <c r="BD18" s="99"/>
      <c r="BE18" s="98">
        <f t="shared" si="20"/>
        <v>0</v>
      </c>
      <c r="BF18" s="98">
        <f t="shared" si="21"/>
        <v>0</v>
      </c>
      <c r="BG18" s="99"/>
      <c r="BH18" s="99"/>
      <c r="BI18" s="98">
        <f t="shared" si="22"/>
        <v>0</v>
      </c>
      <c r="BJ18" s="98">
        <f t="shared" si="23"/>
        <v>0</v>
      </c>
      <c r="BK18" s="100"/>
      <c r="BL18" s="100"/>
      <c r="BM18" s="98"/>
      <c r="BN18" s="98">
        <f t="shared" si="24"/>
        <v>0</v>
      </c>
      <c r="BO18" s="173"/>
      <c r="BP18" s="149">
        <f t="shared" si="25"/>
        <v>0</v>
      </c>
      <c r="BQ18" s="112"/>
      <c r="BR18" s="112"/>
      <c r="BS18" s="104">
        <f t="shared" si="26"/>
        <v>0</v>
      </c>
      <c r="BT18" s="104">
        <f t="shared" si="27"/>
        <v>0</v>
      </c>
      <c r="BU18" s="105">
        <v>0</v>
      </c>
      <c r="BV18" s="105">
        <v>0</v>
      </c>
      <c r="BW18" s="142">
        <f t="shared" si="28"/>
        <v>0</v>
      </c>
      <c r="BX18" s="142">
        <f t="shared" si="29"/>
        <v>0</v>
      </c>
      <c r="BY18" s="110"/>
      <c r="BZ18" s="110"/>
      <c r="CA18" s="142">
        <f t="shared" si="30"/>
        <v>0</v>
      </c>
      <c r="CB18" s="142">
        <f t="shared" si="30"/>
        <v>0</v>
      </c>
      <c r="CC18" s="106"/>
      <c r="CD18" s="106"/>
      <c r="CE18" s="98">
        <f t="shared" si="31"/>
        <v>0</v>
      </c>
      <c r="CF18" s="107">
        <f t="shared" si="31"/>
        <v>0</v>
      </c>
      <c r="CG18" s="81"/>
      <c r="CH18" s="65">
        <f t="shared" si="32"/>
        <v>2820000</v>
      </c>
      <c r="CI18" s="74"/>
      <c r="CJ18" s="74"/>
      <c r="CK18" s="54">
        <v>1620000</v>
      </c>
      <c r="CL18" s="74">
        <f>400000+500000</f>
        <v>900000</v>
      </c>
      <c r="CM18" s="54">
        <v>300000</v>
      </c>
      <c r="CN18" s="74"/>
      <c r="CO18" s="74"/>
      <c r="CP18" s="90"/>
      <c r="CQ18" s="68">
        <v>0</v>
      </c>
      <c r="CR18" s="69">
        <f t="shared" si="33"/>
        <v>645.05880000000002</v>
      </c>
      <c r="CS18" s="69">
        <f t="shared" si="34"/>
        <v>558.85919999999999</v>
      </c>
      <c r="CT18" s="70">
        <f t="shared" si="0"/>
        <v>2813107.2559199999</v>
      </c>
      <c r="CU18" s="70">
        <f t="shared" si="1"/>
        <v>1875404.8372800001</v>
      </c>
      <c r="CV18" s="70">
        <f t="shared" si="35"/>
        <v>-6892.7440800000913</v>
      </c>
      <c r="CW18" s="55"/>
      <c r="CX18" s="118"/>
    </row>
    <row r="19" spans="1:102">
      <c r="A19" s="18"/>
      <c r="B19" s="94" t="s">
        <v>186</v>
      </c>
      <c r="C19" s="92" t="s">
        <v>187</v>
      </c>
      <c r="D19" s="102">
        <v>0</v>
      </c>
      <c r="E19" s="102">
        <v>0</v>
      </c>
      <c r="F19" s="98">
        <f t="shared" si="2"/>
        <v>0</v>
      </c>
      <c r="G19" s="98">
        <f t="shared" si="2"/>
        <v>0</v>
      </c>
      <c r="H19" s="110"/>
      <c r="I19" s="110"/>
      <c r="J19" s="98">
        <f t="shared" si="3"/>
        <v>0</v>
      </c>
      <c r="K19" s="98">
        <f t="shared" si="4"/>
        <v>0</v>
      </c>
      <c r="L19" s="103"/>
      <c r="M19" s="98">
        <f t="shared" si="5"/>
        <v>0</v>
      </c>
      <c r="N19" s="98">
        <v>0</v>
      </c>
      <c r="O19" s="98">
        <v>0</v>
      </c>
      <c r="P19" s="98">
        <f t="shared" si="6"/>
        <v>0</v>
      </c>
      <c r="Q19" s="98">
        <f t="shared" si="7"/>
        <v>0</v>
      </c>
      <c r="R19" s="103">
        <v>31.92</v>
      </c>
      <c r="S19" s="98">
        <f t="shared" si="8"/>
        <v>35.750400000000006</v>
      </c>
      <c r="T19" s="103">
        <v>9.59</v>
      </c>
      <c r="U19" s="98">
        <v>10.06</v>
      </c>
      <c r="V19" s="98">
        <f t="shared" si="9"/>
        <v>10.836699999999999</v>
      </c>
      <c r="W19" s="98">
        <f t="shared" si="10"/>
        <v>11.267200000000001</v>
      </c>
      <c r="X19" s="120">
        <v>0</v>
      </c>
      <c r="Y19" s="120">
        <v>0</v>
      </c>
      <c r="Z19" s="110"/>
      <c r="AA19" s="121">
        <f t="shared" si="11"/>
        <v>0</v>
      </c>
      <c r="AB19" s="121">
        <f t="shared" si="12"/>
        <v>0</v>
      </c>
      <c r="AC19" s="110"/>
      <c r="AD19" s="110"/>
      <c r="AE19" s="121">
        <f t="shared" si="13"/>
        <v>0</v>
      </c>
      <c r="AF19" s="121">
        <f t="shared" si="13"/>
        <v>0</v>
      </c>
      <c r="AG19" s="98">
        <v>0</v>
      </c>
      <c r="AH19" s="98">
        <v>0</v>
      </c>
      <c r="AI19" s="98">
        <f t="shared" si="14"/>
        <v>0</v>
      </c>
      <c r="AJ19" s="98">
        <f t="shared" si="14"/>
        <v>0</v>
      </c>
      <c r="AK19" s="103">
        <v>30.33</v>
      </c>
      <c r="AL19" s="98">
        <v>59.36</v>
      </c>
      <c r="AM19" s="98">
        <f t="shared" si="15"/>
        <v>34.272899999999993</v>
      </c>
      <c r="AN19" s="98">
        <f t="shared" si="16"/>
        <v>66.483200000000011</v>
      </c>
      <c r="AO19" s="98"/>
      <c r="AP19" s="98"/>
      <c r="AQ19" s="131">
        <v>0</v>
      </c>
      <c r="AR19" s="131">
        <v>0</v>
      </c>
      <c r="AS19" s="99"/>
      <c r="AT19" s="98">
        <f t="shared" si="17"/>
        <v>0</v>
      </c>
      <c r="AU19" s="99">
        <v>2.9</v>
      </c>
      <c r="AV19" s="149">
        <f t="shared" si="18"/>
        <v>3.2480000000000002</v>
      </c>
      <c r="AW19" s="98">
        <v>37.18</v>
      </c>
      <c r="AX19" s="98">
        <v>14.28</v>
      </c>
      <c r="AY19" s="101"/>
      <c r="AZ19" s="98">
        <f t="shared" si="19"/>
        <v>0</v>
      </c>
      <c r="BA19" s="98"/>
      <c r="BB19" s="98"/>
      <c r="BC19" s="99"/>
      <c r="BD19" s="99"/>
      <c r="BE19" s="98">
        <f t="shared" si="20"/>
        <v>0</v>
      </c>
      <c r="BF19" s="98">
        <f t="shared" si="21"/>
        <v>0</v>
      </c>
      <c r="BG19" s="99">
        <v>122.36</v>
      </c>
      <c r="BH19" s="99">
        <v>19.010000000000002</v>
      </c>
      <c r="BI19" s="98">
        <f t="shared" si="22"/>
        <v>137.04320000000001</v>
      </c>
      <c r="BJ19" s="98">
        <f t="shared" si="23"/>
        <v>21.291200000000003</v>
      </c>
      <c r="BK19" s="100"/>
      <c r="BL19" s="100"/>
      <c r="BM19" s="98"/>
      <c r="BN19" s="98">
        <f t="shared" si="24"/>
        <v>0</v>
      </c>
      <c r="BO19" s="105">
        <v>13.98</v>
      </c>
      <c r="BP19" s="149">
        <f t="shared" si="25"/>
        <v>15.657600000000002</v>
      </c>
      <c r="BQ19" s="112"/>
      <c r="BR19" s="112"/>
      <c r="BS19" s="104">
        <f t="shared" si="26"/>
        <v>0</v>
      </c>
      <c r="BT19" s="104">
        <f t="shared" si="27"/>
        <v>0</v>
      </c>
      <c r="BU19" s="105">
        <v>0</v>
      </c>
      <c r="BV19" s="105">
        <v>0</v>
      </c>
      <c r="BW19" s="142">
        <f t="shared" si="28"/>
        <v>0</v>
      </c>
      <c r="BX19" s="142">
        <f t="shared" si="29"/>
        <v>0</v>
      </c>
      <c r="BY19" s="110"/>
      <c r="BZ19" s="110"/>
      <c r="CA19" s="142">
        <f t="shared" si="30"/>
        <v>0</v>
      </c>
      <c r="CB19" s="142">
        <f t="shared" si="30"/>
        <v>0</v>
      </c>
      <c r="CC19" s="106"/>
      <c r="CD19" s="106"/>
      <c r="CE19" s="98">
        <f t="shared" si="31"/>
        <v>0</v>
      </c>
      <c r="CF19" s="107">
        <f t="shared" si="31"/>
        <v>0</v>
      </c>
      <c r="CG19" s="81"/>
      <c r="CH19" s="65">
        <f t="shared" si="32"/>
        <v>1000000</v>
      </c>
      <c r="CI19" s="74"/>
      <c r="CJ19" s="74">
        <v>370000</v>
      </c>
      <c r="CK19" s="54">
        <v>120000</v>
      </c>
      <c r="CL19" s="74">
        <v>350000</v>
      </c>
      <c r="CM19" s="54">
        <v>160000</v>
      </c>
      <c r="CN19" s="74"/>
      <c r="CO19" s="74">
        <v>0</v>
      </c>
      <c r="CP19" s="90"/>
      <c r="CQ19" s="68">
        <v>0</v>
      </c>
      <c r="CR19" s="69">
        <f t="shared" si="33"/>
        <v>82.289599999999993</v>
      </c>
      <c r="CS19" s="69">
        <f t="shared" si="34"/>
        <v>283.7296</v>
      </c>
      <c r="CT19" s="70">
        <f t="shared" si="0"/>
        <v>930578.64815999998</v>
      </c>
      <c r="CU19" s="70">
        <f t="shared" si="1"/>
        <v>599169.08464000002</v>
      </c>
      <c r="CV19" s="70">
        <f t="shared" si="35"/>
        <v>-69421.351840000018</v>
      </c>
      <c r="CW19" s="55"/>
      <c r="CX19" s="118"/>
    </row>
    <row r="20" spans="1:102">
      <c r="A20" s="18"/>
      <c r="B20" s="94" t="s">
        <v>193</v>
      </c>
      <c r="C20" s="92" t="s">
        <v>194</v>
      </c>
      <c r="D20" s="102">
        <v>0</v>
      </c>
      <c r="E20" s="102">
        <v>0</v>
      </c>
      <c r="F20" s="98">
        <f t="shared" ref="F20:G24" si="36">SUM((D20*2)*0.3)</f>
        <v>0</v>
      </c>
      <c r="G20" s="98">
        <f t="shared" si="36"/>
        <v>0</v>
      </c>
      <c r="H20" s="110"/>
      <c r="I20" s="110"/>
      <c r="J20" s="98">
        <f t="shared" si="3"/>
        <v>0</v>
      </c>
      <c r="K20" s="98">
        <f t="shared" si="4"/>
        <v>0</v>
      </c>
      <c r="L20" s="103"/>
      <c r="M20" s="98">
        <f t="shared" si="5"/>
        <v>0</v>
      </c>
      <c r="N20" s="98"/>
      <c r="O20" s="98"/>
      <c r="P20" s="98">
        <f t="shared" si="6"/>
        <v>0</v>
      </c>
      <c r="Q20" s="98">
        <f t="shared" si="7"/>
        <v>0</v>
      </c>
      <c r="R20" s="103">
        <v>249.61</v>
      </c>
      <c r="S20" s="98">
        <f t="shared" si="8"/>
        <v>279.56320000000005</v>
      </c>
      <c r="T20" s="103">
        <v>0</v>
      </c>
      <c r="U20" s="98">
        <v>0</v>
      </c>
      <c r="V20" s="98">
        <f t="shared" si="9"/>
        <v>0</v>
      </c>
      <c r="W20" s="98">
        <f t="shared" si="10"/>
        <v>0</v>
      </c>
      <c r="X20" s="120">
        <v>0</v>
      </c>
      <c r="Y20" s="120">
        <v>0</v>
      </c>
      <c r="Z20" s="110"/>
      <c r="AA20" s="121">
        <f t="shared" si="11"/>
        <v>0</v>
      </c>
      <c r="AB20" s="121">
        <f t="shared" si="12"/>
        <v>0</v>
      </c>
      <c r="AC20" s="110"/>
      <c r="AD20" s="110"/>
      <c r="AE20" s="121">
        <f t="shared" si="13"/>
        <v>0</v>
      </c>
      <c r="AF20" s="121">
        <f t="shared" si="13"/>
        <v>0</v>
      </c>
      <c r="AG20" s="98">
        <v>0</v>
      </c>
      <c r="AH20" s="98">
        <v>0</v>
      </c>
      <c r="AI20" s="98">
        <f t="shared" si="14"/>
        <v>0</v>
      </c>
      <c r="AJ20" s="98">
        <f t="shared" si="14"/>
        <v>0</v>
      </c>
      <c r="AK20" s="103">
        <v>343.86</v>
      </c>
      <c r="AL20" s="98">
        <v>189.46</v>
      </c>
      <c r="AM20" s="98">
        <f t="shared" si="15"/>
        <v>388.56180000000001</v>
      </c>
      <c r="AN20" s="98">
        <f t="shared" si="16"/>
        <v>212.19520000000003</v>
      </c>
      <c r="AO20" s="98"/>
      <c r="AP20" s="98"/>
      <c r="AQ20" s="131"/>
      <c r="AR20" s="131"/>
      <c r="AS20" s="99"/>
      <c r="AT20" s="98">
        <f t="shared" si="17"/>
        <v>0</v>
      </c>
      <c r="AU20" s="99"/>
      <c r="AV20" s="149">
        <f t="shared" si="18"/>
        <v>0</v>
      </c>
      <c r="AW20" s="98">
        <v>241.64</v>
      </c>
      <c r="AX20" s="98">
        <v>215.76</v>
      </c>
      <c r="AY20" s="101"/>
      <c r="AZ20" s="98">
        <f t="shared" si="19"/>
        <v>0</v>
      </c>
      <c r="BA20" s="98"/>
      <c r="BB20" s="98"/>
      <c r="BC20" s="99">
        <v>57.5</v>
      </c>
      <c r="BD20" s="99">
        <v>12</v>
      </c>
      <c r="BE20" s="98">
        <f t="shared" si="20"/>
        <v>47.058</v>
      </c>
      <c r="BF20" s="98">
        <f t="shared" si="21"/>
        <v>9.7463999999999995</v>
      </c>
      <c r="BG20" s="99"/>
      <c r="BH20" s="99"/>
      <c r="BI20" s="98">
        <f t="shared" si="22"/>
        <v>0</v>
      </c>
      <c r="BJ20" s="98">
        <f t="shared" si="23"/>
        <v>0</v>
      </c>
      <c r="BK20" s="100"/>
      <c r="BL20" s="100"/>
      <c r="BM20" s="98">
        <v>63.38</v>
      </c>
      <c r="BN20" s="98">
        <f t="shared" si="24"/>
        <v>70.985600000000005</v>
      </c>
      <c r="BO20" s="105">
        <v>365.58</v>
      </c>
      <c r="BP20" s="149">
        <f t="shared" si="25"/>
        <v>409.44960000000003</v>
      </c>
      <c r="BQ20" s="112"/>
      <c r="BR20" s="112"/>
      <c r="BS20" s="104">
        <f t="shared" si="26"/>
        <v>0</v>
      </c>
      <c r="BT20" s="104">
        <f t="shared" si="27"/>
        <v>0</v>
      </c>
      <c r="BU20" s="105">
        <v>0</v>
      </c>
      <c r="BV20" s="105">
        <v>0</v>
      </c>
      <c r="BW20" s="142">
        <f t="shared" si="28"/>
        <v>0</v>
      </c>
      <c r="BX20" s="142">
        <f t="shared" si="29"/>
        <v>0</v>
      </c>
      <c r="BY20" s="110"/>
      <c r="BZ20" s="110"/>
      <c r="CA20" s="142">
        <f t="shared" si="30"/>
        <v>0</v>
      </c>
      <c r="CB20" s="142">
        <f t="shared" si="30"/>
        <v>0</v>
      </c>
      <c r="CC20" s="106"/>
      <c r="CD20" s="106"/>
      <c r="CE20" s="98">
        <f t="shared" si="31"/>
        <v>0</v>
      </c>
      <c r="CF20" s="107">
        <f t="shared" si="31"/>
        <v>0</v>
      </c>
      <c r="CG20" s="81"/>
      <c r="CH20" s="65">
        <f t="shared" si="32"/>
        <v>4410000</v>
      </c>
      <c r="CI20" s="74"/>
      <c r="CJ20" s="74"/>
      <c r="CK20" s="54">
        <v>2070000</v>
      </c>
      <c r="CL20" s="74"/>
      <c r="CM20" s="54">
        <v>2340000</v>
      </c>
      <c r="CN20" s="74"/>
      <c r="CO20" s="74"/>
      <c r="CP20" s="90"/>
      <c r="CQ20" s="68">
        <v>0</v>
      </c>
      <c r="CR20" s="69">
        <f t="shared" si="33"/>
        <v>677.25980000000004</v>
      </c>
      <c r="CS20" s="69">
        <f t="shared" si="34"/>
        <v>1197.7000000000003</v>
      </c>
      <c r="CT20" s="70">
        <f t="shared" si="0"/>
        <v>4414667.0022000009</v>
      </c>
      <c r="CU20" s="70">
        <f t="shared" si="1"/>
        <v>2943111.3348000008</v>
      </c>
      <c r="CV20" s="70">
        <f t="shared" si="35"/>
        <v>4667.0022000009194</v>
      </c>
      <c r="CW20" s="55"/>
      <c r="CX20" s="118"/>
    </row>
    <row r="21" spans="1:102">
      <c r="A21" s="171" t="s">
        <v>199</v>
      </c>
      <c r="B21" s="169" t="s">
        <v>200</v>
      </c>
      <c r="C21" s="170" t="s">
        <v>201</v>
      </c>
      <c r="D21" s="102">
        <v>0</v>
      </c>
      <c r="E21" s="102">
        <v>0</v>
      </c>
      <c r="F21" s="98">
        <f t="shared" si="36"/>
        <v>0</v>
      </c>
      <c r="G21" s="98">
        <f t="shared" si="36"/>
        <v>0</v>
      </c>
      <c r="H21" s="110">
        <v>73</v>
      </c>
      <c r="I21" s="110">
        <v>38</v>
      </c>
      <c r="J21" s="98">
        <f t="shared" si="3"/>
        <v>64.342200000000005</v>
      </c>
      <c r="K21" s="98">
        <f t="shared" si="4"/>
        <v>33.196800000000003</v>
      </c>
      <c r="L21" s="103">
        <v>183.73</v>
      </c>
      <c r="M21" s="98">
        <f t="shared" si="5"/>
        <v>183.73</v>
      </c>
      <c r="N21" s="98"/>
      <c r="O21" s="98"/>
      <c r="P21" s="98">
        <f t="shared" si="6"/>
        <v>0</v>
      </c>
      <c r="Q21" s="98">
        <f t="shared" si="7"/>
        <v>0</v>
      </c>
      <c r="R21" s="103">
        <v>29.23</v>
      </c>
      <c r="S21" s="98">
        <f t="shared" si="8"/>
        <v>32.7376</v>
      </c>
      <c r="T21" s="103">
        <v>32.31</v>
      </c>
      <c r="U21" s="98">
        <v>6.47</v>
      </c>
      <c r="V21" s="98">
        <f t="shared" si="9"/>
        <v>36.510300000000001</v>
      </c>
      <c r="W21" s="98">
        <f t="shared" si="10"/>
        <v>7.2464000000000004</v>
      </c>
      <c r="X21" s="120">
        <v>2234.61</v>
      </c>
      <c r="Y21" s="120">
        <v>356.31</v>
      </c>
      <c r="Z21" s="110"/>
      <c r="AA21" s="121">
        <f t="shared" si="11"/>
        <v>1675.9575</v>
      </c>
      <c r="AB21" s="121">
        <f t="shared" si="12"/>
        <v>267.23250000000002</v>
      </c>
      <c r="AC21" s="110"/>
      <c r="AD21" s="110"/>
      <c r="AE21" s="121">
        <f t="shared" si="13"/>
        <v>0</v>
      </c>
      <c r="AF21" s="121">
        <f t="shared" si="13"/>
        <v>0</v>
      </c>
      <c r="AG21" s="98">
        <v>0</v>
      </c>
      <c r="AH21" s="98">
        <v>0</v>
      </c>
      <c r="AI21" s="98">
        <f t="shared" si="14"/>
        <v>0</v>
      </c>
      <c r="AJ21" s="98">
        <f t="shared" si="14"/>
        <v>0</v>
      </c>
      <c r="AK21" s="103">
        <v>51.84</v>
      </c>
      <c r="AL21" s="98">
        <v>11.07</v>
      </c>
      <c r="AM21" s="98">
        <f t="shared" si="15"/>
        <v>58.5792</v>
      </c>
      <c r="AN21" s="98">
        <f t="shared" si="16"/>
        <v>12.398400000000002</v>
      </c>
      <c r="AO21" s="98"/>
      <c r="AP21" s="98"/>
      <c r="AQ21" s="131"/>
      <c r="AR21" s="131"/>
      <c r="AS21" s="99"/>
      <c r="AT21" s="98">
        <f t="shared" si="17"/>
        <v>0</v>
      </c>
      <c r="AU21" s="99">
        <v>0</v>
      </c>
      <c r="AV21" s="149">
        <f t="shared" si="18"/>
        <v>0</v>
      </c>
      <c r="AW21" s="98">
        <v>34.71</v>
      </c>
      <c r="AX21" s="98">
        <v>18.59</v>
      </c>
      <c r="AY21" s="101"/>
      <c r="AZ21" s="98">
        <f t="shared" si="19"/>
        <v>0</v>
      </c>
      <c r="BA21" s="98"/>
      <c r="BB21" s="98"/>
      <c r="BC21" s="99"/>
      <c r="BD21" s="99"/>
      <c r="BE21" s="98">
        <f t="shared" si="20"/>
        <v>0</v>
      </c>
      <c r="BF21" s="98">
        <f t="shared" si="21"/>
        <v>0</v>
      </c>
      <c r="BG21" s="99"/>
      <c r="BH21" s="99"/>
      <c r="BI21" s="98">
        <f t="shared" si="22"/>
        <v>0</v>
      </c>
      <c r="BJ21" s="98">
        <f t="shared" si="23"/>
        <v>0</v>
      </c>
      <c r="BK21" s="100"/>
      <c r="BL21" s="100"/>
      <c r="BM21" s="98"/>
      <c r="BN21" s="98">
        <f t="shared" si="24"/>
        <v>0</v>
      </c>
      <c r="BO21" s="105">
        <v>68.47</v>
      </c>
      <c r="BP21" s="149">
        <f t="shared" si="25"/>
        <v>76.686400000000006</v>
      </c>
      <c r="BQ21" s="112"/>
      <c r="BR21" s="112"/>
      <c r="BS21" s="104">
        <f t="shared" si="26"/>
        <v>0</v>
      </c>
      <c r="BT21" s="104">
        <f t="shared" si="27"/>
        <v>0</v>
      </c>
      <c r="BU21" s="105">
        <v>0</v>
      </c>
      <c r="BV21" s="105">
        <v>0</v>
      </c>
      <c r="BW21" s="142">
        <f t="shared" si="28"/>
        <v>0</v>
      </c>
      <c r="BX21" s="142">
        <f t="shared" si="29"/>
        <v>0</v>
      </c>
      <c r="BY21" s="110">
        <v>0</v>
      </c>
      <c r="BZ21" s="110">
        <v>0</v>
      </c>
      <c r="CA21" s="142">
        <f t="shared" si="30"/>
        <v>0</v>
      </c>
      <c r="CB21" s="142">
        <f t="shared" si="30"/>
        <v>0</v>
      </c>
      <c r="CC21" s="106"/>
      <c r="CD21" s="106"/>
      <c r="CE21" s="98">
        <f t="shared" si="31"/>
        <v>0</v>
      </c>
      <c r="CF21" s="107">
        <f t="shared" si="31"/>
        <v>0</v>
      </c>
      <c r="CG21" s="81"/>
      <c r="CH21" s="65">
        <f t="shared" si="32"/>
        <v>6760000</v>
      </c>
      <c r="CI21" s="74"/>
      <c r="CJ21" s="74"/>
      <c r="CK21" s="54">
        <v>5490000</v>
      </c>
      <c r="CL21" s="74"/>
      <c r="CM21" s="54">
        <v>1020000</v>
      </c>
      <c r="CN21" s="74">
        <v>250000</v>
      </c>
      <c r="CO21" s="74"/>
      <c r="CP21" s="90"/>
      <c r="CQ21" s="68">
        <v>0</v>
      </c>
      <c r="CR21" s="69">
        <f>SUM(AO21,AQ21,F21,P21,BS21,AM21,AA21,AE21,J21,AI21,V21,BA21,BE21,CE21,AW21,CA21,BW21)</f>
        <v>1870.0991999999999</v>
      </c>
      <c r="CS21" s="69">
        <f t="shared" si="34"/>
        <v>631.81810000000007</v>
      </c>
      <c r="CT21" s="70">
        <f>(((CR21*$A$2)+(CS21*$A$3))*0.7)+((BJ21*$A$3)*0.75)</f>
        <v>6756998.7762199994</v>
      </c>
      <c r="CU21" s="70">
        <f>((CR21*$A$2)+(CS21*$A$3))*0.3+((BJ21*$A$3)*0.25)</f>
        <v>2895856.6183799999</v>
      </c>
      <c r="CV21" s="70">
        <f t="shared" si="35"/>
        <v>-3001.2237800005823</v>
      </c>
      <c r="CW21" s="55"/>
      <c r="CX21" s="118"/>
    </row>
    <row r="22" spans="1:102">
      <c r="A22" s="18"/>
      <c r="B22" s="94" t="s">
        <v>202</v>
      </c>
      <c r="C22" s="92" t="s">
        <v>203</v>
      </c>
      <c r="D22" s="102">
        <v>0</v>
      </c>
      <c r="E22" s="102">
        <v>0</v>
      </c>
      <c r="F22" s="98">
        <f t="shared" ref="F22:F23" si="37">SUM((D22*2)*0.3)</f>
        <v>0</v>
      </c>
      <c r="G22" s="98">
        <f t="shared" ref="G22:G23" si="38">SUM((E22*2)*0.3)</f>
        <v>0</v>
      </c>
      <c r="H22" s="110">
        <v>0</v>
      </c>
      <c r="I22" s="110">
        <v>0</v>
      </c>
      <c r="J22" s="98">
        <f t="shared" ref="J22:J23" si="39">SUM(H22*0.78)*$C$2</f>
        <v>0</v>
      </c>
      <c r="K22" s="98">
        <f t="shared" ref="K22:K23" si="40">SUM(I22*0.78)*$C$3</f>
        <v>0</v>
      </c>
      <c r="L22" s="103">
        <v>0</v>
      </c>
      <c r="M22" s="98">
        <f t="shared" ref="M22:M23" si="41">L22</f>
        <v>0</v>
      </c>
      <c r="N22" s="98"/>
      <c r="O22" s="98"/>
      <c r="P22" s="98">
        <f t="shared" ref="P22:P23" si="42">N22*$C$2</f>
        <v>0</v>
      </c>
      <c r="Q22" s="98">
        <f t="shared" ref="Q22:Q23" si="43">O22*$C$3</f>
        <v>0</v>
      </c>
      <c r="R22" s="103">
        <v>58.41</v>
      </c>
      <c r="S22" s="98">
        <f t="shared" ref="S22:S23" si="44">R22*$C$3</f>
        <v>65.419200000000004</v>
      </c>
      <c r="T22" s="108">
        <v>0</v>
      </c>
      <c r="U22" s="99">
        <v>4.33</v>
      </c>
      <c r="V22" s="98">
        <f t="shared" ref="V22:V23" si="45">SUM(T22*($C$2))</f>
        <v>0</v>
      </c>
      <c r="W22" s="98">
        <f t="shared" ref="W22:W23" si="46">SUM(U22*($C$3))</f>
        <v>4.8496000000000006</v>
      </c>
      <c r="X22" s="120">
        <v>0</v>
      </c>
      <c r="Y22" s="120">
        <v>0</v>
      </c>
      <c r="Z22" s="110"/>
      <c r="AA22" s="121">
        <f t="shared" ref="AA22:AA23" si="47">SUM(X22*0.75)+(Z22*0.75)</f>
        <v>0</v>
      </c>
      <c r="AB22" s="121">
        <f t="shared" ref="AB22:AB23" si="48">(Y22*0.75)+(Z22*0.75)</f>
        <v>0</v>
      </c>
      <c r="AC22" s="110"/>
      <c r="AD22" s="110"/>
      <c r="AE22" s="121">
        <f t="shared" ref="AE22:AE23" si="49">AC22*0.75</f>
        <v>0</v>
      </c>
      <c r="AF22" s="121">
        <f t="shared" ref="AF22:AF23" si="50">AD22*0.75</f>
        <v>0</v>
      </c>
      <c r="AG22" s="98">
        <v>0</v>
      </c>
      <c r="AH22" s="98">
        <v>0</v>
      </c>
      <c r="AI22" s="98">
        <f t="shared" ref="AI22:AI23" si="51">AG22*0.75</f>
        <v>0</v>
      </c>
      <c r="AJ22" s="98">
        <f t="shared" ref="AJ22:AJ23" si="52">AH22*0.75</f>
        <v>0</v>
      </c>
      <c r="AK22" s="103"/>
      <c r="AL22" s="98"/>
      <c r="AM22" s="98">
        <f t="shared" ref="AM22:AM23" si="53">AK22*$C$2</f>
        <v>0</v>
      </c>
      <c r="AN22" s="98">
        <f t="shared" ref="AN22:AN23" si="54">AL22*$C$3</f>
        <v>0</v>
      </c>
      <c r="AO22" s="98"/>
      <c r="AP22" s="98"/>
      <c r="AQ22" s="131"/>
      <c r="AR22" s="131"/>
      <c r="AS22" s="99"/>
      <c r="AT22" s="98">
        <f t="shared" ref="AT22:AT23" si="55">AS22*$C$3</f>
        <v>0</v>
      </c>
      <c r="AU22" s="99"/>
      <c r="AV22" s="149">
        <f t="shared" ref="AV22:AV23" si="56">AU22*$C$3</f>
        <v>0</v>
      </c>
      <c r="AW22" s="99">
        <v>0</v>
      </c>
      <c r="AX22" s="99">
        <v>34.85</v>
      </c>
      <c r="AY22" s="101"/>
      <c r="AZ22" s="98">
        <f t="shared" ref="AZ22:AZ23" si="57">AY22*$D$2</f>
        <v>0</v>
      </c>
      <c r="BA22" s="98"/>
      <c r="BB22" s="98"/>
      <c r="BC22" s="99"/>
      <c r="BD22" s="99"/>
      <c r="BE22" s="98">
        <f t="shared" ref="BE22:BE23" si="58">SUM(BC22*0.62)*$B$2</f>
        <v>0</v>
      </c>
      <c r="BF22" s="98">
        <f t="shared" ref="BF22:BF23" si="59">SUM(BD22*0.62)*$B$3</f>
        <v>0</v>
      </c>
      <c r="BG22" s="99"/>
      <c r="BH22" s="99"/>
      <c r="BI22" s="98">
        <f t="shared" ref="BI22:BI23" si="60">(BG22*$C$3)</f>
        <v>0</v>
      </c>
      <c r="BJ22" s="98">
        <f t="shared" ref="BJ22:BJ23" si="61">BH22*$C$3</f>
        <v>0</v>
      </c>
      <c r="BK22" s="100"/>
      <c r="BL22" s="100"/>
      <c r="BM22" s="98"/>
      <c r="BN22" s="98">
        <f t="shared" ref="BN22:BN23" si="62">BM22*$C$3</f>
        <v>0</v>
      </c>
      <c r="BO22" s="105">
        <v>102.8</v>
      </c>
      <c r="BP22" s="149">
        <f t="shared" ref="BP22:BP23" si="63">BO22*$C$3</f>
        <v>115.13600000000001</v>
      </c>
      <c r="BQ22" s="112"/>
      <c r="BR22" s="112"/>
      <c r="BS22" s="104">
        <f t="shared" ref="BS22:BS23" si="64">(BQ22/$D$2)*$C$2</f>
        <v>0</v>
      </c>
      <c r="BT22" s="104">
        <f t="shared" ref="BT22:BT23" si="65">(BR22/$D$3)*$C$3</f>
        <v>0</v>
      </c>
      <c r="BU22" s="105">
        <v>0</v>
      </c>
      <c r="BV22" s="105">
        <v>0</v>
      </c>
      <c r="BW22" s="142">
        <f t="shared" ref="BW22:BW23" si="66">BU22*$E$2</f>
        <v>0</v>
      </c>
      <c r="BX22" s="142">
        <f t="shared" ref="BX22:BX23" si="67">BV22*$E$3</f>
        <v>0</v>
      </c>
      <c r="BY22" s="110"/>
      <c r="BZ22" s="110"/>
      <c r="CA22" s="142">
        <f t="shared" ref="CA22:CA23" si="68">BY22/2</f>
        <v>0</v>
      </c>
      <c r="CB22" s="142">
        <f t="shared" ref="CB22:CB23" si="69">BZ22/2</f>
        <v>0</v>
      </c>
      <c r="CC22" s="106"/>
      <c r="CD22" s="106"/>
      <c r="CE22" s="98">
        <f t="shared" ref="CE22:CE23" si="70">CC22*0.05</f>
        <v>0</v>
      </c>
      <c r="CF22" s="107">
        <f t="shared" ref="CF22:CF23" si="71">CD22*0.05</f>
        <v>0</v>
      </c>
      <c r="CG22" s="81"/>
      <c r="CH22" s="65">
        <f t="shared" ref="CH22:CH23" si="72">SUM(CI22:CO22)</f>
        <v>525000</v>
      </c>
      <c r="CI22" s="74"/>
      <c r="CJ22" s="74"/>
      <c r="CK22" s="54"/>
      <c r="CL22" s="74"/>
      <c r="CM22" s="54">
        <v>525000</v>
      </c>
      <c r="CN22" s="74"/>
      <c r="CO22" s="74"/>
      <c r="CP22" s="90"/>
      <c r="CQ22" s="68">
        <v>0</v>
      </c>
      <c r="CR22" s="69">
        <f t="shared" ref="CR22:CR23" si="73">SUM(AO22,AQ22,F22,P22,BS22,AM22,AA22,AE22,J22,AI22,V22,BA22,BE22,CE22,AW22,CA22,BW22)</f>
        <v>0</v>
      </c>
      <c r="CS22" s="69">
        <f>SUM(AP22,AR22,G22,Q22,BN22,AZ22,M22,BT22,AN22,S22,AB22,AF22,K22,AJ22,BI22,W22,BB22,BF22,CF22,BP22,BL22,CG22,AT22,AV22,AX22,CB22,BX22)</f>
        <v>220.25480000000002</v>
      </c>
      <c r="CT22" s="70">
        <f t="shared" ref="CT22:CT23" si="74">(((CR22*$A$2)+(CS22*$A$3))*0.6)+((BJ22*$A$3)*0.75)</f>
        <v>526761.37968000001</v>
      </c>
      <c r="CU22" s="70">
        <f t="shared" ref="CU22:CU23" si="75">((CR22*$A$2)+(CS22*$A$3))*0.4+((BJ22*$A$3)*0.25)</f>
        <v>351174.25312000001</v>
      </c>
      <c r="CV22" s="70">
        <f t="shared" ref="CV22:CV23" si="76">CT22-CH22</f>
        <v>1761.3796800000127</v>
      </c>
      <c r="CW22" s="55"/>
      <c r="CX22" s="118"/>
    </row>
    <row r="23" spans="1:102">
      <c r="A23" s="18"/>
      <c r="B23" s="94" t="s">
        <v>204</v>
      </c>
      <c r="C23" s="178" t="s">
        <v>205</v>
      </c>
      <c r="D23" s="102">
        <v>0</v>
      </c>
      <c r="E23" s="102">
        <v>0</v>
      </c>
      <c r="F23" s="98">
        <f t="shared" si="37"/>
        <v>0</v>
      </c>
      <c r="G23" s="98">
        <f t="shared" si="38"/>
        <v>0</v>
      </c>
      <c r="H23" s="110"/>
      <c r="I23" s="110"/>
      <c r="J23" s="98">
        <f t="shared" si="39"/>
        <v>0</v>
      </c>
      <c r="K23" s="98">
        <f t="shared" si="40"/>
        <v>0</v>
      </c>
      <c r="L23" s="103">
        <v>0</v>
      </c>
      <c r="M23" s="98">
        <f t="shared" si="41"/>
        <v>0</v>
      </c>
      <c r="N23" s="98"/>
      <c r="O23" s="98"/>
      <c r="P23" s="98">
        <f t="shared" si="42"/>
        <v>0</v>
      </c>
      <c r="Q23" s="98">
        <f t="shared" si="43"/>
        <v>0</v>
      </c>
      <c r="R23" s="103">
        <v>0</v>
      </c>
      <c r="S23" s="98">
        <f t="shared" si="44"/>
        <v>0</v>
      </c>
      <c r="T23" s="108">
        <v>0</v>
      </c>
      <c r="U23" s="99">
        <v>0</v>
      </c>
      <c r="V23" s="98">
        <f t="shared" si="45"/>
        <v>0</v>
      </c>
      <c r="W23" s="98">
        <f t="shared" si="46"/>
        <v>0</v>
      </c>
      <c r="X23" s="120">
        <v>0</v>
      </c>
      <c r="Y23" s="120">
        <v>0</v>
      </c>
      <c r="Z23" s="110"/>
      <c r="AA23" s="121">
        <f t="shared" si="47"/>
        <v>0</v>
      </c>
      <c r="AB23" s="121">
        <f t="shared" si="48"/>
        <v>0</v>
      </c>
      <c r="AC23" s="110"/>
      <c r="AD23" s="110"/>
      <c r="AE23" s="121">
        <f t="shared" si="49"/>
        <v>0</v>
      </c>
      <c r="AF23" s="121">
        <f t="shared" si="50"/>
        <v>0</v>
      </c>
      <c r="AG23" s="98">
        <v>0</v>
      </c>
      <c r="AH23" s="98">
        <v>0</v>
      </c>
      <c r="AI23" s="98">
        <f t="shared" si="51"/>
        <v>0</v>
      </c>
      <c r="AJ23" s="98">
        <f t="shared" si="52"/>
        <v>0</v>
      </c>
      <c r="AK23" s="103">
        <v>0</v>
      </c>
      <c r="AL23" s="98">
        <v>26.53</v>
      </c>
      <c r="AM23" s="98">
        <f t="shared" si="53"/>
        <v>0</v>
      </c>
      <c r="AN23" s="98">
        <f t="shared" si="54"/>
        <v>29.713600000000003</v>
      </c>
      <c r="AO23" s="98"/>
      <c r="AP23" s="98"/>
      <c r="AQ23" s="131"/>
      <c r="AR23" s="131"/>
      <c r="AS23" s="99"/>
      <c r="AT23" s="98">
        <f t="shared" si="55"/>
        <v>0</v>
      </c>
      <c r="AU23" s="99"/>
      <c r="AV23" s="149">
        <f t="shared" si="56"/>
        <v>0</v>
      </c>
      <c r="AW23" s="99">
        <v>0</v>
      </c>
      <c r="AX23" s="99">
        <v>0</v>
      </c>
      <c r="AY23" s="101"/>
      <c r="AZ23" s="98">
        <f t="shared" si="57"/>
        <v>0</v>
      </c>
      <c r="BA23" s="98"/>
      <c r="BB23" s="98"/>
      <c r="BC23" s="99"/>
      <c r="BD23" s="99"/>
      <c r="BE23" s="98">
        <f t="shared" si="58"/>
        <v>0</v>
      </c>
      <c r="BF23" s="98">
        <f t="shared" si="59"/>
        <v>0</v>
      </c>
      <c r="BG23" s="99"/>
      <c r="BH23" s="99"/>
      <c r="BI23" s="98">
        <f t="shared" si="60"/>
        <v>0</v>
      </c>
      <c r="BJ23" s="98">
        <f t="shared" si="61"/>
        <v>0</v>
      </c>
      <c r="BK23" s="100"/>
      <c r="BL23" s="100"/>
      <c r="BM23" s="98"/>
      <c r="BN23" s="98">
        <f t="shared" si="62"/>
        <v>0</v>
      </c>
      <c r="BO23" s="105">
        <v>0</v>
      </c>
      <c r="BP23" s="149">
        <f t="shared" si="63"/>
        <v>0</v>
      </c>
      <c r="BQ23" s="112"/>
      <c r="BR23" s="112"/>
      <c r="BS23" s="104">
        <f t="shared" si="64"/>
        <v>0</v>
      </c>
      <c r="BT23" s="104">
        <f t="shared" si="65"/>
        <v>0</v>
      </c>
      <c r="BU23" s="105">
        <v>0</v>
      </c>
      <c r="BV23" s="105">
        <v>0</v>
      </c>
      <c r="BW23" s="142">
        <f t="shared" si="66"/>
        <v>0</v>
      </c>
      <c r="BX23" s="142">
        <f t="shared" si="67"/>
        <v>0</v>
      </c>
      <c r="BY23" s="110"/>
      <c r="BZ23" s="110"/>
      <c r="CA23" s="142">
        <f t="shared" si="68"/>
        <v>0</v>
      </c>
      <c r="CB23" s="142">
        <f t="shared" si="69"/>
        <v>0</v>
      </c>
      <c r="CC23" s="106"/>
      <c r="CD23" s="106"/>
      <c r="CE23" s="98">
        <f t="shared" si="70"/>
        <v>0</v>
      </c>
      <c r="CF23" s="107">
        <f t="shared" si="71"/>
        <v>0</v>
      </c>
      <c r="CG23" s="81"/>
      <c r="CH23" s="65">
        <f t="shared" si="72"/>
        <v>70000</v>
      </c>
      <c r="CI23" s="74"/>
      <c r="CJ23" s="74"/>
      <c r="CK23" s="54"/>
      <c r="CL23" s="74"/>
      <c r="CM23" s="54">
        <v>70000</v>
      </c>
      <c r="CN23" s="74"/>
      <c r="CO23" s="74"/>
      <c r="CP23" s="90"/>
      <c r="CQ23" s="68">
        <v>0</v>
      </c>
      <c r="CR23" s="69">
        <f t="shared" si="73"/>
        <v>0</v>
      </c>
      <c r="CS23" s="69">
        <f>SUM(AP23,AR23,G23,Q23,BN23,AZ23,M23,BT23,AN23,S23,AB23,AF23,K23,AJ23,BI23,W23,BB23,BF23,CF23,BP23,BL23,CG23,AT23,AV23,AX23,CB23,BX23)</f>
        <v>29.713600000000003</v>
      </c>
      <c r="CT23" s="70">
        <f t="shared" si="74"/>
        <v>71063.045760000008</v>
      </c>
      <c r="CU23" s="70">
        <f t="shared" si="75"/>
        <v>47375.363840000005</v>
      </c>
      <c r="CV23" s="70">
        <f t="shared" si="76"/>
        <v>1063.0457600000082</v>
      </c>
      <c r="CW23" s="55"/>
      <c r="CX23" s="118"/>
    </row>
    <row r="24" spans="1:102">
      <c r="A24" s="18"/>
      <c r="B24" s="94"/>
      <c r="C24" s="92"/>
      <c r="D24" s="102">
        <v>0</v>
      </c>
      <c r="E24" s="102">
        <v>0</v>
      </c>
      <c r="F24" s="98">
        <f t="shared" si="36"/>
        <v>0</v>
      </c>
      <c r="G24" s="98">
        <f t="shared" si="36"/>
        <v>0</v>
      </c>
      <c r="H24" s="110"/>
      <c r="I24" s="110"/>
      <c r="J24" s="98">
        <f t="shared" si="3"/>
        <v>0</v>
      </c>
      <c r="K24" s="98">
        <f t="shared" si="4"/>
        <v>0</v>
      </c>
      <c r="L24" s="103">
        <v>0</v>
      </c>
      <c r="M24" s="98">
        <f t="shared" si="5"/>
        <v>0</v>
      </c>
      <c r="N24" s="98"/>
      <c r="O24" s="98"/>
      <c r="P24" s="98">
        <f t="shared" si="6"/>
        <v>0</v>
      </c>
      <c r="Q24" s="98">
        <f t="shared" si="7"/>
        <v>0</v>
      </c>
      <c r="R24" s="103">
        <v>0</v>
      </c>
      <c r="S24" s="98">
        <f t="shared" si="8"/>
        <v>0</v>
      </c>
      <c r="T24" s="108">
        <v>0</v>
      </c>
      <c r="U24" s="99">
        <v>0</v>
      </c>
      <c r="V24" s="98">
        <f t="shared" si="9"/>
        <v>0</v>
      </c>
      <c r="W24" s="98">
        <f t="shared" si="10"/>
        <v>0</v>
      </c>
      <c r="X24" s="120">
        <v>0</v>
      </c>
      <c r="Y24" s="120">
        <v>0</v>
      </c>
      <c r="Z24" s="110"/>
      <c r="AA24" s="121">
        <f t="shared" si="11"/>
        <v>0</v>
      </c>
      <c r="AB24" s="121">
        <f t="shared" si="12"/>
        <v>0</v>
      </c>
      <c r="AC24" s="110"/>
      <c r="AD24" s="110"/>
      <c r="AE24" s="121">
        <f t="shared" si="13"/>
        <v>0</v>
      </c>
      <c r="AF24" s="121">
        <f t="shared" si="13"/>
        <v>0</v>
      </c>
      <c r="AG24" s="98">
        <v>0</v>
      </c>
      <c r="AH24" s="98">
        <v>0</v>
      </c>
      <c r="AI24" s="98">
        <f t="shared" si="14"/>
        <v>0</v>
      </c>
      <c r="AJ24" s="98">
        <f t="shared" si="14"/>
        <v>0</v>
      </c>
      <c r="AK24" s="103"/>
      <c r="AL24" s="98"/>
      <c r="AM24" s="98">
        <f t="shared" si="15"/>
        <v>0</v>
      </c>
      <c r="AN24" s="98">
        <f t="shared" si="16"/>
        <v>0</v>
      </c>
      <c r="AO24" s="98"/>
      <c r="AP24" s="98"/>
      <c r="AQ24" s="131"/>
      <c r="AR24" s="131"/>
      <c r="AS24" s="99"/>
      <c r="AT24" s="98">
        <f t="shared" si="17"/>
        <v>0</v>
      </c>
      <c r="AU24" s="99"/>
      <c r="AV24" s="149">
        <f t="shared" si="18"/>
        <v>0</v>
      </c>
      <c r="AW24" s="99">
        <v>0</v>
      </c>
      <c r="AX24" s="99">
        <v>0</v>
      </c>
      <c r="AY24" s="101"/>
      <c r="AZ24" s="98">
        <f t="shared" si="19"/>
        <v>0</v>
      </c>
      <c r="BA24" s="98"/>
      <c r="BB24" s="98"/>
      <c r="BC24" s="99"/>
      <c r="BD24" s="99"/>
      <c r="BE24" s="98">
        <f t="shared" si="20"/>
        <v>0</v>
      </c>
      <c r="BF24" s="98">
        <f t="shared" si="21"/>
        <v>0</v>
      </c>
      <c r="BG24" s="99"/>
      <c r="BH24" s="99"/>
      <c r="BI24" s="98">
        <f t="shared" si="22"/>
        <v>0</v>
      </c>
      <c r="BJ24" s="98">
        <f t="shared" si="23"/>
        <v>0</v>
      </c>
      <c r="BK24" s="100"/>
      <c r="BL24" s="100"/>
      <c r="BM24" s="98"/>
      <c r="BN24" s="98">
        <f t="shared" si="24"/>
        <v>0</v>
      </c>
      <c r="BO24" s="105">
        <v>0</v>
      </c>
      <c r="BP24" s="149">
        <f t="shared" si="25"/>
        <v>0</v>
      </c>
      <c r="BQ24" s="112"/>
      <c r="BR24" s="112"/>
      <c r="BS24" s="104">
        <f t="shared" si="26"/>
        <v>0</v>
      </c>
      <c r="BT24" s="104">
        <f t="shared" si="27"/>
        <v>0</v>
      </c>
      <c r="BU24" s="105">
        <v>0</v>
      </c>
      <c r="BV24" s="105">
        <v>0</v>
      </c>
      <c r="BW24" s="142">
        <f t="shared" si="28"/>
        <v>0</v>
      </c>
      <c r="BX24" s="142">
        <f t="shared" si="29"/>
        <v>0</v>
      </c>
      <c r="BY24" s="110"/>
      <c r="BZ24" s="110"/>
      <c r="CA24" s="142">
        <f t="shared" si="30"/>
        <v>0</v>
      </c>
      <c r="CB24" s="142">
        <f t="shared" si="30"/>
        <v>0</v>
      </c>
      <c r="CC24" s="106"/>
      <c r="CD24" s="106"/>
      <c r="CE24" s="98">
        <f t="shared" si="31"/>
        <v>0</v>
      </c>
      <c r="CF24" s="107">
        <f t="shared" si="31"/>
        <v>0</v>
      </c>
      <c r="CG24" s="81"/>
      <c r="CH24" s="65">
        <f t="shared" si="32"/>
        <v>0</v>
      </c>
      <c r="CI24" s="74"/>
      <c r="CJ24" s="74"/>
      <c r="CK24" s="54"/>
      <c r="CL24" s="74"/>
      <c r="CM24" s="54"/>
      <c r="CN24" s="74"/>
      <c r="CO24" s="74"/>
      <c r="CP24" s="90"/>
      <c r="CQ24" s="68">
        <v>0</v>
      </c>
      <c r="CR24" s="69">
        <f t="shared" si="33"/>
        <v>0</v>
      </c>
      <c r="CS24" s="69">
        <f>SUM(AP24,AR24,G24,Q24,BN24,AZ24,M24,BT24,AN24,S24,AB24,AF24,K24,AJ24,BI24,W24,BB24,BF24,CF24,BP24,BL24,CG24,AT24,AV24,AX24,CB24,BX24)</f>
        <v>0</v>
      </c>
      <c r="CT24" s="70">
        <f t="shared" si="0"/>
        <v>0</v>
      </c>
      <c r="CU24" s="70">
        <f t="shared" si="1"/>
        <v>0</v>
      </c>
      <c r="CV24" s="70">
        <f t="shared" si="35"/>
        <v>0</v>
      </c>
      <c r="CW24" s="55"/>
      <c r="CX24" s="118"/>
    </row>
    <row r="25" spans="1:102" s="5" customFormat="1" ht="44.25" customHeight="1">
      <c r="A25" s="19"/>
      <c r="B25" s="38"/>
      <c r="C25" s="20" t="s">
        <v>172</v>
      </c>
      <c r="D25" s="77">
        <f t="shared" ref="D25:BO25" si="77">SUM(D7:D24)</f>
        <v>16.8</v>
      </c>
      <c r="E25" s="77">
        <f t="shared" si="77"/>
        <v>322.39999999999998</v>
      </c>
      <c r="F25" s="77">
        <f t="shared" si="77"/>
        <v>10.08</v>
      </c>
      <c r="G25" s="77">
        <f t="shared" si="77"/>
        <v>193.44000000000003</v>
      </c>
      <c r="H25" s="77">
        <f t="shared" si="77"/>
        <v>98</v>
      </c>
      <c r="I25" s="77">
        <f t="shared" si="77"/>
        <v>102.5</v>
      </c>
      <c r="J25" s="77">
        <f t="shared" si="77"/>
        <v>86.377200000000002</v>
      </c>
      <c r="K25" s="77">
        <f t="shared" si="77"/>
        <v>89.544000000000011</v>
      </c>
      <c r="L25" s="77">
        <f t="shared" si="77"/>
        <v>982.06000000000006</v>
      </c>
      <c r="M25" s="77">
        <f t="shared" si="77"/>
        <v>982.06000000000006</v>
      </c>
      <c r="N25" s="77">
        <f t="shared" si="77"/>
        <v>79.710000000000008</v>
      </c>
      <c r="O25" s="77">
        <f t="shared" si="77"/>
        <v>200.26</v>
      </c>
      <c r="P25" s="77">
        <f t="shared" si="77"/>
        <v>90.072299999999984</v>
      </c>
      <c r="Q25" s="77">
        <f t="shared" si="77"/>
        <v>224.29120000000003</v>
      </c>
      <c r="R25" s="77">
        <f t="shared" si="77"/>
        <v>1137.7900000000002</v>
      </c>
      <c r="S25" s="77">
        <f t="shared" si="77"/>
        <v>1274.3248000000001</v>
      </c>
      <c r="T25" s="77">
        <f t="shared" si="77"/>
        <v>365.35999999999996</v>
      </c>
      <c r="U25" s="77">
        <f t="shared" si="77"/>
        <v>379.54999999999995</v>
      </c>
      <c r="V25" s="77">
        <f t="shared" si="77"/>
        <v>412.85679999999991</v>
      </c>
      <c r="W25" s="77">
        <f t="shared" si="77"/>
        <v>425.09599999999995</v>
      </c>
      <c r="X25" s="77">
        <f t="shared" si="77"/>
        <v>2356.0100000000002</v>
      </c>
      <c r="Y25" s="77">
        <f t="shared" si="77"/>
        <v>1325.21</v>
      </c>
      <c r="Z25" s="77">
        <f t="shared" si="77"/>
        <v>0</v>
      </c>
      <c r="AA25" s="77">
        <f t="shared" si="77"/>
        <v>1767.0074999999999</v>
      </c>
      <c r="AB25" s="77">
        <f t="shared" si="77"/>
        <v>993.90750000000003</v>
      </c>
      <c r="AC25" s="77">
        <f t="shared" si="77"/>
        <v>0</v>
      </c>
      <c r="AD25" s="77">
        <f t="shared" si="77"/>
        <v>0</v>
      </c>
      <c r="AE25" s="77">
        <f t="shared" si="77"/>
        <v>0</v>
      </c>
      <c r="AF25" s="77">
        <f t="shared" si="77"/>
        <v>0</v>
      </c>
      <c r="AG25" s="77">
        <f t="shared" si="77"/>
        <v>0</v>
      </c>
      <c r="AH25" s="77">
        <f t="shared" si="77"/>
        <v>0</v>
      </c>
      <c r="AI25" s="77">
        <f t="shared" si="77"/>
        <v>0</v>
      </c>
      <c r="AJ25" s="77">
        <f t="shared" si="77"/>
        <v>0</v>
      </c>
      <c r="AK25" s="77">
        <f t="shared" si="77"/>
        <v>1312.2699999999998</v>
      </c>
      <c r="AL25" s="77">
        <f t="shared" si="77"/>
        <v>872.33</v>
      </c>
      <c r="AM25" s="77">
        <f t="shared" si="77"/>
        <v>1482.8650999999998</v>
      </c>
      <c r="AN25" s="77">
        <f t="shared" si="77"/>
        <v>977.00960000000021</v>
      </c>
      <c r="AO25" s="77">
        <f t="shared" si="77"/>
        <v>0</v>
      </c>
      <c r="AP25" s="77">
        <f t="shared" si="77"/>
        <v>0</v>
      </c>
      <c r="AQ25" s="77">
        <f t="shared" si="77"/>
        <v>763.93000000000006</v>
      </c>
      <c r="AR25" s="77">
        <f t="shared" si="77"/>
        <v>384.13</v>
      </c>
      <c r="AS25" s="77">
        <f t="shared" si="77"/>
        <v>0</v>
      </c>
      <c r="AT25" s="77">
        <f t="shared" si="77"/>
        <v>0</v>
      </c>
      <c r="AU25" s="77">
        <f t="shared" si="77"/>
        <v>193.25</v>
      </c>
      <c r="AV25" s="77">
        <f t="shared" si="77"/>
        <v>216.44</v>
      </c>
      <c r="AW25" s="77">
        <f t="shared" si="77"/>
        <v>508.87999999999994</v>
      </c>
      <c r="AX25" s="77">
        <f t="shared" si="77"/>
        <v>738.59</v>
      </c>
      <c r="AY25" s="77">
        <f t="shared" si="77"/>
        <v>0</v>
      </c>
      <c r="AZ25" s="77">
        <f t="shared" si="77"/>
        <v>0</v>
      </c>
      <c r="BA25" s="77">
        <f t="shared" si="77"/>
        <v>147.84</v>
      </c>
      <c r="BB25" s="77">
        <f t="shared" si="77"/>
        <v>96.36</v>
      </c>
      <c r="BC25" s="77">
        <f t="shared" si="77"/>
        <v>90.87</v>
      </c>
      <c r="BD25" s="77">
        <f t="shared" si="77"/>
        <v>130.30000000000001</v>
      </c>
      <c r="BE25" s="77">
        <f t="shared" si="77"/>
        <v>74.368008000000003</v>
      </c>
      <c r="BF25" s="77">
        <f t="shared" si="77"/>
        <v>105.82966</v>
      </c>
      <c r="BG25" s="77">
        <f t="shared" si="77"/>
        <v>775.67</v>
      </c>
      <c r="BH25" s="77">
        <f t="shared" si="77"/>
        <v>56.05</v>
      </c>
      <c r="BI25" s="77">
        <f t="shared" si="77"/>
        <v>868.75040000000013</v>
      </c>
      <c r="BJ25" s="77">
        <f t="shared" si="77"/>
        <v>62.77600000000001</v>
      </c>
      <c r="BK25" s="77">
        <f t="shared" si="77"/>
        <v>0</v>
      </c>
      <c r="BL25" s="77">
        <f t="shared" si="77"/>
        <v>0</v>
      </c>
      <c r="BM25" s="77">
        <f t="shared" si="77"/>
        <v>283.64</v>
      </c>
      <c r="BN25" s="77">
        <f t="shared" si="77"/>
        <v>317.67680000000001</v>
      </c>
      <c r="BO25" s="77">
        <f t="shared" si="77"/>
        <v>2461.48</v>
      </c>
      <c r="BP25" s="77">
        <f t="shared" ref="BP25:CP25" si="78">SUM(BP7:BP24)</f>
        <v>2756.8576000000003</v>
      </c>
      <c r="BQ25" s="114">
        <f t="shared" si="78"/>
        <v>0</v>
      </c>
      <c r="BR25" s="77">
        <f t="shared" si="78"/>
        <v>0</v>
      </c>
      <c r="BS25" s="77">
        <f t="shared" si="78"/>
        <v>0</v>
      </c>
      <c r="BT25" s="77">
        <f t="shared" si="78"/>
        <v>0</v>
      </c>
      <c r="BU25" s="77">
        <f t="shared" si="78"/>
        <v>12.790000000000001</v>
      </c>
      <c r="BV25" s="77">
        <f t="shared" si="78"/>
        <v>41.56</v>
      </c>
      <c r="BW25" s="77">
        <f t="shared" si="78"/>
        <v>16.797532907000001</v>
      </c>
      <c r="BX25" s="77">
        <f t="shared" si="78"/>
        <v>54.443599999999996</v>
      </c>
      <c r="BY25" s="77">
        <f t="shared" si="78"/>
        <v>181</v>
      </c>
      <c r="BZ25" s="77">
        <f t="shared" si="78"/>
        <v>762.96999999999991</v>
      </c>
      <c r="CA25" s="77">
        <f t="shared" si="78"/>
        <v>90.5</v>
      </c>
      <c r="CB25" s="77">
        <f t="shared" si="78"/>
        <v>381.48499999999996</v>
      </c>
      <c r="CC25" s="77">
        <f t="shared" si="78"/>
        <v>4992</v>
      </c>
      <c r="CD25" s="77">
        <f t="shared" si="78"/>
        <v>4055</v>
      </c>
      <c r="CE25" s="77">
        <f t="shared" si="78"/>
        <v>249.6</v>
      </c>
      <c r="CF25" s="77">
        <f t="shared" si="78"/>
        <v>202.75</v>
      </c>
      <c r="CG25" s="77">
        <f t="shared" si="78"/>
        <v>0</v>
      </c>
      <c r="CH25" s="77">
        <f t="shared" si="78"/>
        <v>41353000</v>
      </c>
      <c r="CI25" s="77">
        <f t="shared" si="78"/>
        <v>0</v>
      </c>
      <c r="CJ25" s="77">
        <f t="shared" si="78"/>
        <v>370000</v>
      </c>
      <c r="CK25" s="77">
        <f t="shared" si="78"/>
        <v>19872000</v>
      </c>
      <c r="CL25" s="77">
        <f t="shared" si="78"/>
        <v>3090000</v>
      </c>
      <c r="CM25" s="77">
        <f t="shared" si="78"/>
        <v>17771000</v>
      </c>
      <c r="CN25" s="77">
        <f t="shared" si="78"/>
        <v>250000</v>
      </c>
      <c r="CO25" s="77">
        <f t="shared" si="78"/>
        <v>0</v>
      </c>
      <c r="CP25" s="77">
        <f t="shared" si="78"/>
        <v>0</v>
      </c>
      <c r="CR25" s="5">
        <f>SUM(CR7:CR24)</f>
        <v>5701.1744409069997</v>
      </c>
      <c r="CS25" s="5">
        <f>SUM(CS7:CS24)</f>
        <v>11282.986160000002</v>
      </c>
      <c r="CT25" s="6">
        <f>SUM(CT7:CT24)</f>
        <v>41187332.386952125</v>
      </c>
      <c r="CU25" s="6">
        <f>SUM(CU7:CU24)</f>
        <v>25786856.074868083</v>
      </c>
      <c r="CV25" s="5">
        <f>SUM(CV7:CV24)</f>
        <v>-165667.613047875</v>
      </c>
      <c r="CW25" s="56" t="s">
        <v>173</v>
      </c>
      <c r="CX25" s="57">
        <f>SUM(CX6:CX24)</f>
        <v>12590070</v>
      </c>
    </row>
    <row r="26" spans="1:102" ht="26.25">
      <c r="B26" s="39"/>
      <c r="CW26" s="58" t="s">
        <v>174</v>
      </c>
      <c r="CX26" s="47">
        <f>CU25</f>
        <v>25786856.074868083</v>
      </c>
    </row>
    <row r="27" spans="1:102" ht="28.5">
      <c r="CW27" s="59" t="s">
        <v>175</v>
      </c>
      <c r="CX27" s="76">
        <f>CX26-CX25</f>
        <v>13196786.074868083</v>
      </c>
    </row>
    <row r="28" spans="1:102">
      <c r="B28" s="1"/>
      <c r="H28" s="10"/>
      <c r="I28" s="10"/>
      <c r="J28" s="10"/>
      <c r="K28" s="10"/>
      <c r="L28" s="88"/>
      <c r="M28" s="10"/>
      <c r="N28" s="10"/>
      <c r="O28" s="10"/>
      <c r="BT28" s="7"/>
      <c r="BX28" s="7"/>
      <c r="CB28" s="7"/>
      <c r="CC28" s="8"/>
      <c r="CD28" s="5"/>
      <c r="CE28" s="5"/>
    </row>
    <row r="29" spans="1:102">
      <c r="A29" s="12"/>
      <c r="B29" s="1"/>
      <c r="C29" s="40"/>
      <c r="D29" s="40"/>
      <c r="E29" s="40"/>
      <c r="F29" s="40"/>
      <c r="G29" s="40"/>
      <c r="H29" s="40"/>
    </row>
    <row r="30" spans="1:102" ht="52.5" customHeight="1">
      <c r="A30" s="12"/>
      <c r="B30" s="1"/>
      <c r="C30" s="40"/>
      <c r="D30" s="13"/>
      <c r="E30" s="40"/>
      <c r="F30" s="41"/>
      <c r="G30" s="42"/>
      <c r="H30" s="40"/>
      <c r="V30" s="10"/>
      <c r="W30" s="10"/>
      <c r="X30" s="10"/>
      <c r="Y30" s="10"/>
      <c r="Z30" s="10"/>
      <c r="AA30" s="10"/>
      <c r="AB30" s="10"/>
      <c r="AC30" s="10"/>
      <c r="AD30" s="10"/>
    </row>
    <row r="31" spans="1:102">
      <c r="A31" s="12"/>
      <c r="B31" s="1"/>
      <c r="C31" s="40"/>
      <c r="D31" s="13"/>
      <c r="E31" s="40"/>
      <c r="F31" s="42"/>
      <c r="G31" s="42"/>
      <c r="H31" s="40"/>
      <c r="Q31" s="40"/>
      <c r="R31" s="40"/>
      <c r="S31" s="40"/>
      <c r="T31" s="40"/>
      <c r="U31" s="40"/>
      <c r="V31" s="40"/>
      <c r="CL31" s="1">
        <v>2</v>
      </c>
    </row>
    <row r="32" spans="1:102">
      <c r="A32" s="12"/>
      <c r="B32" s="1"/>
      <c r="C32" s="40"/>
      <c r="D32" s="13"/>
      <c r="E32" s="40"/>
      <c r="F32" s="42"/>
      <c r="G32" s="42"/>
      <c r="H32" s="40"/>
      <c r="Q32" s="40"/>
      <c r="R32" s="13"/>
      <c r="S32" s="40"/>
      <c r="T32" s="41"/>
      <c r="U32" s="42"/>
      <c r="V32" s="40"/>
    </row>
    <row r="33" spans="1:22">
      <c r="A33" s="12"/>
      <c r="B33" s="1"/>
      <c r="C33" s="40"/>
      <c r="D33" s="40"/>
      <c r="E33" s="40"/>
      <c r="F33" s="40"/>
      <c r="G33" s="40"/>
      <c r="H33" s="40"/>
      <c r="Q33" s="40"/>
      <c r="R33" s="13"/>
      <c r="S33" s="40"/>
      <c r="T33" s="42"/>
      <c r="U33" s="42"/>
      <c r="V33" s="40"/>
    </row>
    <row r="34" spans="1:22" ht="20.25" customHeight="1">
      <c r="A34" s="12"/>
      <c r="B34" s="1"/>
      <c r="C34" s="40"/>
      <c r="D34" s="14"/>
      <c r="E34" s="40"/>
      <c r="F34" s="42"/>
      <c r="G34" s="42"/>
      <c r="H34" s="40"/>
      <c r="Q34" s="40"/>
      <c r="R34" s="13"/>
      <c r="S34" s="40"/>
      <c r="T34" s="42"/>
      <c r="U34" s="42"/>
      <c r="V34" s="40"/>
    </row>
    <row r="35" spans="1:22" ht="18" customHeight="1">
      <c r="A35" s="12"/>
      <c r="B35" s="1"/>
      <c r="C35" s="40"/>
      <c r="D35" s="40"/>
      <c r="E35" s="40"/>
      <c r="F35" s="40"/>
      <c r="G35" s="40"/>
      <c r="H35" s="40"/>
      <c r="Q35" s="40"/>
      <c r="R35" s="40"/>
      <c r="S35" s="40"/>
      <c r="T35" s="40"/>
      <c r="U35" s="40"/>
      <c r="V35" s="40"/>
    </row>
    <row r="36" spans="1:22">
      <c r="A36" s="12"/>
      <c r="B36" s="1"/>
      <c r="C36" s="40"/>
      <c r="D36" s="40"/>
      <c r="E36" s="40"/>
      <c r="F36" s="40"/>
      <c r="G36" s="40"/>
      <c r="H36" s="40"/>
      <c r="Q36" s="40"/>
      <c r="R36" s="14"/>
      <c r="S36" s="40"/>
      <c r="T36" s="42"/>
      <c r="U36" s="42"/>
      <c r="V36" s="40"/>
    </row>
    <row r="37" spans="1:22">
      <c r="A37" s="12"/>
      <c r="B37" s="1"/>
      <c r="Q37" s="40"/>
      <c r="R37" s="40"/>
      <c r="S37" s="40"/>
      <c r="T37" s="40"/>
      <c r="U37" s="40"/>
      <c r="V37" s="40"/>
    </row>
    <row r="38" spans="1:22">
      <c r="A38" s="12"/>
      <c r="B38" s="1"/>
      <c r="Q38" s="40"/>
      <c r="R38" s="40"/>
      <c r="S38" s="40"/>
      <c r="T38" s="40"/>
      <c r="U38" s="40"/>
      <c r="V38" s="40"/>
    </row>
    <row r="39" spans="1:22">
      <c r="A39" s="12"/>
      <c r="B39" s="1"/>
    </row>
    <row r="40" spans="1:22">
      <c r="A40" s="12"/>
      <c r="B40" s="1"/>
    </row>
    <row r="41" spans="1:22" ht="21" customHeight="1">
      <c r="A41" s="12"/>
      <c r="B41" s="1"/>
    </row>
    <row r="42" spans="1:22">
      <c r="A42" s="12"/>
      <c r="B42" s="1"/>
    </row>
    <row r="43" spans="1:22" ht="20.25" customHeight="1">
      <c r="A43" s="12"/>
      <c r="B43" s="1"/>
    </row>
    <row r="44" spans="1:22">
      <c r="B44" s="1"/>
      <c r="H44" s="10"/>
      <c r="I44" s="10"/>
      <c r="J44" s="10"/>
      <c r="K44" s="10"/>
      <c r="L44" s="10"/>
      <c r="M44" s="10"/>
      <c r="N44" s="10"/>
      <c r="O44" s="10"/>
    </row>
    <row r="45" spans="1:22">
      <c r="B45" s="1"/>
      <c r="C45" s="40"/>
      <c r="D45" s="40"/>
      <c r="E45" s="40"/>
      <c r="F45" s="40"/>
      <c r="G45" s="40"/>
      <c r="H45" s="40"/>
    </row>
    <row r="46" spans="1:22">
      <c r="B46" s="1"/>
      <c r="C46" s="40"/>
      <c r="D46" s="13"/>
      <c r="E46" s="40"/>
      <c r="F46" s="41"/>
      <c r="G46" s="42"/>
      <c r="H46" s="40"/>
    </row>
    <row r="47" spans="1:22">
      <c r="B47" s="1"/>
      <c r="C47" s="40"/>
      <c r="D47" s="13"/>
      <c r="E47" s="40"/>
      <c r="F47" s="42"/>
      <c r="G47" s="42"/>
      <c r="H47" s="40"/>
    </row>
    <row r="48" spans="1:22">
      <c r="B48" s="1"/>
      <c r="C48" s="40"/>
      <c r="D48" s="13"/>
      <c r="E48" s="40"/>
      <c r="F48" s="42"/>
      <c r="G48" s="42"/>
      <c r="H48" s="40"/>
    </row>
    <row r="49" spans="1:11" ht="21.75" customHeight="1">
      <c r="B49" s="1"/>
      <c r="C49" s="40"/>
      <c r="D49" s="40"/>
      <c r="E49" s="40"/>
      <c r="F49" s="40"/>
      <c r="G49" s="40"/>
      <c r="H49" s="40"/>
    </row>
    <row r="50" spans="1:11" ht="21.75" customHeight="1">
      <c r="B50" s="1"/>
      <c r="C50" s="40"/>
      <c r="D50" s="14"/>
      <c r="E50" s="40"/>
      <c r="F50" s="42"/>
      <c r="G50" s="42"/>
      <c r="H50" s="40"/>
    </row>
    <row r="51" spans="1:11" ht="21.75" customHeight="1">
      <c r="B51" s="1"/>
    </row>
    <row r="52" spans="1:11" ht="21.75" customHeight="1">
      <c r="B52" s="1"/>
    </row>
    <row r="53" spans="1:11" ht="21.75" customHeight="1">
      <c r="B53" s="1"/>
    </row>
    <row r="54" spans="1:11" ht="21.75" customHeight="1">
      <c r="B54" s="1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A58" s="12"/>
      <c r="B58" s="1"/>
    </row>
    <row r="59" spans="1:11" ht="21.75" customHeight="1">
      <c r="A59" s="12"/>
      <c r="B59" s="1"/>
    </row>
    <row r="60" spans="1:11" ht="21.75" customHeight="1">
      <c r="B60" s="1"/>
      <c r="K60" s="11"/>
    </row>
    <row r="61" spans="1:11" ht="21.75" customHeight="1">
      <c r="B61" s="1"/>
      <c r="K61" s="11"/>
    </row>
    <row r="62" spans="1:11">
      <c r="B62" s="1"/>
      <c r="K62" s="11"/>
    </row>
    <row r="63" spans="1:11">
      <c r="B63" s="1"/>
      <c r="K63" s="11"/>
    </row>
    <row r="64" spans="1:11">
      <c r="B64" s="1"/>
      <c r="K64" s="11"/>
    </row>
    <row r="65" spans="2:35">
      <c r="B65" s="1"/>
      <c r="K65" s="16"/>
    </row>
    <row r="66" spans="2:35">
      <c r="B66" s="1"/>
      <c r="K66" s="12"/>
    </row>
    <row r="67" spans="2:35">
      <c r="B67" s="1"/>
    </row>
    <row r="68" spans="2:35">
      <c r="B68" s="1"/>
    </row>
    <row r="69" spans="2:35">
      <c r="B69" s="9"/>
      <c r="C69" s="9"/>
      <c r="D69" s="9"/>
      <c r="E69" s="9"/>
      <c r="F69" s="9"/>
      <c r="G69" s="9"/>
      <c r="H69" s="9"/>
      <c r="I69" s="9"/>
      <c r="J69" s="9"/>
    </row>
    <row r="70" spans="2:35">
      <c r="B70" s="1"/>
    </row>
    <row r="71" spans="2:35" ht="46.5" customHeight="1">
      <c r="B71" s="1"/>
      <c r="K71" s="9"/>
      <c r="U71" s="9"/>
      <c r="V71" s="9"/>
      <c r="W71" s="9"/>
      <c r="X71" s="9"/>
      <c r="Y71" s="9"/>
      <c r="Z71" s="9"/>
      <c r="AA71" s="9"/>
      <c r="AB71" s="9"/>
      <c r="AC71" s="9"/>
      <c r="AD71" s="9"/>
      <c r="AI71" s="17"/>
    </row>
    <row r="72" spans="2:35" ht="21.75" customHeight="1">
      <c r="B72" s="1"/>
    </row>
    <row r="73" spans="2:35">
      <c r="B73" s="1"/>
      <c r="M73" s="9"/>
      <c r="N73" s="9"/>
      <c r="O73" s="9"/>
      <c r="P73" s="9"/>
      <c r="Q73" s="9"/>
      <c r="R73" s="9"/>
      <c r="S73" s="9"/>
      <c r="T73" s="9"/>
    </row>
    <row r="74" spans="2:35">
      <c r="B74" s="1"/>
    </row>
    <row r="75" spans="2:35">
      <c r="B75" s="1"/>
    </row>
    <row r="76" spans="2:35">
      <c r="B76" s="1"/>
    </row>
    <row r="77" spans="2:35">
      <c r="B77" s="1"/>
    </row>
    <row r="78" spans="2:35">
      <c r="B78" s="1"/>
    </row>
    <row r="79" spans="2:35">
      <c r="B79" s="1"/>
    </row>
    <row r="80" spans="2:35">
      <c r="B80" s="1"/>
    </row>
    <row r="81" spans="1:12">
      <c r="B81" s="1"/>
    </row>
    <row r="82" spans="1:12">
      <c r="B82" s="1"/>
    </row>
    <row r="83" spans="1:12">
      <c r="B83" s="1"/>
    </row>
    <row r="84" spans="1:12">
      <c r="B84" s="1"/>
    </row>
    <row r="85" spans="1:12">
      <c r="B85" s="1"/>
    </row>
    <row r="86" spans="1:12">
      <c r="B86" s="1"/>
    </row>
    <row r="87" spans="1:12">
      <c r="B87" s="1"/>
    </row>
    <row r="88" spans="1:12">
      <c r="B88" s="1"/>
    </row>
    <row r="89" spans="1:12">
      <c r="B89" s="1"/>
    </row>
    <row r="90" spans="1:12">
      <c r="B90" s="1"/>
    </row>
    <row r="91" spans="1:12">
      <c r="B91" s="1"/>
      <c r="D91" s="9"/>
      <c r="E91" s="9"/>
      <c r="F91" s="9"/>
      <c r="G91" s="9"/>
      <c r="H91" s="9"/>
      <c r="I91" s="9"/>
      <c r="J91" s="9"/>
      <c r="K91" s="9"/>
      <c r="L91" s="9"/>
    </row>
    <row r="92" spans="1:12">
      <c r="B92" s="1"/>
    </row>
    <row r="93" spans="1:12">
      <c r="A93" s="9"/>
      <c r="B93" s="9"/>
      <c r="C93" s="9"/>
    </row>
    <row r="94" spans="1:12">
      <c r="B94" s="1"/>
    </row>
    <row r="95" spans="1:12">
      <c r="B95" s="1"/>
    </row>
    <row r="96" spans="1:12">
      <c r="B96" s="1"/>
    </row>
    <row r="97" spans="2:9">
      <c r="B97" s="1"/>
    </row>
    <row r="98" spans="2:9">
      <c r="B98" s="1"/>
    </row>
    <row r="99" spans="2:9">
      <c r="B99" s="1"/>
    </row>
    <row r="100" spans="2:9">
      <c r="B100" s="1"/>
    </row>
    <row r="101" spans="2:9">
      <c r="B101" s="1"/>
    </row>
    <row r="102" spans="2:9">
      <c r="B102" s="1"/>
    </row>
    <row r="103" spans="2:9">
      <c r="B103" s="1"/>
    </row>
    <row r="104" spans="2:9">
      <c r="B104" s="1"/>
    </row>
    <row r="105" spans="2:9">
      <c r="B105" s="1"/>
    </row>
    <row r="106" spans="2:9">
      <c r="B106" s="1"/>
    </row>
    <row r="107" spans="2:9">
      <c r="B107" s="1"/>
    </row>
    <row r="108" spans="2:9">
      <c r="B108" s="1"/>
    </row>
    <row r="109" spans="2:9">
      <c r="B109" s="1"/>
    </row>
    <row r="110" spans="2:9">
      <c r="B110" s="1"/>
    </row>
    <row r="111" spans="2:9">
      <c r="B111" s="1"/>
    </row>
    <row r="112" spans="2:9">
      <c r="B112" s="1"/>
      <c r="D112" s="9"/>
      <c r="E112" s="9"/>
      <c r="F112" s="9"/>
      <c r="G112" s="9"/>
      <c r="H112" s="9"/>
      <c r="I112" s="9"/>
    </row>
    <row r="113" spans="1:12">
      <c r="B113" s="1"/>
      <c r="J113" s="9"/>
      <c r="K113" s="9"/>
      <c r="L113" s="9"/>
    </row>
    <row r="114" spans="1:12">
      <c r="A114" s="9"/>
      <c r="B114" s="9"/>
      <c r="C114" s="9"/>
    </row>
    <row r="115" spans="1:12">
      <c r="B115" s="1"/>
    </row>
    <row r="116" spans="1:12">
      <c r="B116" s="1"/>
    </row>
  </sheetData>
  <mergeCells count="27"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T5:W5"/>
    <mergeCell ref="D5:G5"/>
    <mergeCell ref="H5:K5"/>
    <mergeCell ref="L5:M5"/>
    <mergeCell ref="N5:Q5"/>
    <mergeCell ref="R5:S5"/>
  </mergeCells>
  <conditionalFormatting sqref="CT7:CV24">
    <cfRule type="cellIs" dxfId="124" priority="28" operator="lessThan">
      <formula>0</formula>
    </cfRule>
    <cfRule type="cellIs" dxfId="123" priority="29" operator="greaterThan">
      <formula>0</formula>
    </cfRule>
  </conditionalFormatting>
  <conditionalFormatting sqref="CR7:CS24">
    <cfRule type="cellIs" dxfId="122" priority="24" operator="greaterThan">
      <formula>1000</formula>
    </cfRule>
    <cfRule type="cellIs" dxfId="121" priority="25" operator="between">
      <formula>500</formula>
      <formula>1000</formula>
    </cfRule>
    <cfRule type="cellIs" dxfId="120" priority="26" operator="between">
      <formula>300</formula>
      <formula>500</formula>
    </cfRule>
    <cfRule type="cellIs" dxfId="119" priority="27" operator="lessThan">
      <formula>300</formula>
    </cfRule>
  </conditionalFormatting>
  <conditionalFormatting sqref="AI71">
    <cfRule type="cellIs" dxfId="118" priority="23" operator="greaterThanOrEqual">
      <formula>10</formula>
    </cfRule>
  </conditionalFormatting>
  <conditionalFormatting sqref="B117:B1048576 B6 C5 B13:B50">
    <cfRule type="duplicateValues" dxfId="117" priority="22"/>
  </conditionalFormatting>
  <conditionalFormatting sqref="C13:C24">
    <cfRule type="containsText" dxfId="116" priority="21" operator="containsText" text="@">
      <formula>NOT(ISERROR(SEARCH("@",C13)))</formula>
    </cfRule>
  </conditionalFormatting>
  <conditionalFormatting sqref="B13:B24">
    <cfRule type="notContainsBlanks" dxfId="115" priority="20">
      <formula>LEN(TRIM(B13))&gt;0</formula>
    </cfRule>
  </conditionalFormatting>
  <conditionalFormatting sqref="Z7:AN7 CH6:CO7 D7:M7 P7:W7 AC8:AD8 AU7:AX7 Z8:Z11 AY8:AY11 AA8:AB12 AZ8:BF12 CA8:CV12 AE8:AJ12 B15:C15 BI7:CG7 C8:R8 CP7:CV7 AM15:BF15 CP14:XFD15 AM16:BN16 BP16:XFD17 BP10:BZ12 BP9:BX9 BI8:BX8 BY8:BZ9 A13:C14 AM8:AP14 CP13:CX13 CY7:XFD13 AQ7:AR14 AY13:BF14 BP13:CO15 BI9:BN15 BA7:BB7 AS8:AX14 Z21:AV21 AY17:BN17 BG7:BH15 BO9:BO17 S8:S19 F9:R19 Z13:AJ20 AK8:AL20 AM17:AV20 F20:S21 A16:C21 D9:E21 T8:W21 AY18:XFD21 AW17:AX21 Z22:XFD24 A22:W24">
    <cfRule type="expression" dxfId="114" priority="19">
      <formula>CELL("row")=ROW()</formula>
    </cfRule>
  </conditionalFormatting>
  <conditionalFormatting sqref="A1">
    <cfRule type="expression" dxfId="113" priority="18">
      <formula>CELL("row")=ROW()</formula>
    </cfRule>
  </conditionalFormatting>
  <conditionalFormatting sqref="C7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{257BDDCC-C7F4-4095-9ED7-1D98794EE6B1}</x14:id>
        </ext>
      </extLst>
    </cfRule>
  </conditionalFormatting>
  <conditionalFormatting sqref="AS7:AT7 AY7:AZ7 N7:O7 AO7:AP7 BC7:BF7">
    <cfRule type="expression" dxfId="112" priority="16">
      <formula>CELL("row")=ROW()</formula>
    </cfRule>
  </conditionalFormatting>
  <conditionalFormatting sqref="C31">
    <cfRule type="duplicateValues" dxfId="111" priority="15"/>
  </conditionalFormatting>
  <conditionalFormatting sqref="C31">
    <cfRule type="containsText" dxfId="110" priority="14" operator="containsText" text="@">
      <formula>NOT(ISERROR(SEARCH("@",C31)))</formula>
    </cfRule>
  </conditionalFormatting>
  <conditionalFormatting sqref="C31">
    <cfRule type="expression" dxfId="109" priority="13">
      <formula>CELL("row")=ROW()</formula>
    </cfRule>
  </conditionalFormatting>
  <conditionalFormatting sqref="C32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{6E2020A3-B61D-4135-9B9A-5714F04A8FC9}</x14:id>
        </ext>
      </extLst>
    </cfRule>
  </conditionalFormatting>
  <conditionalFormatting sqref="C34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{76D8BA44-19A1-4C7E-96E4-185C19467A28}</x14:id>
        </ext>
      </extLst>
    </cfRule>
  </conditionalFormatting>
  <conditionalFormatting sqref="C39">
    <cfRule type="containsText" dxfId="108" priority="10" operator="containsText" text="@">
      <formula>NOT(ISERROR(SEARCH("@",C39)))</formula>
    </cfRule>
  </conditionalFormatting>
  <conditionalFormatting sqref="C39">
    <cfRule type="expression" dxfId="107" priority="9">
      <formula>CELL("row")=ROW()</formula>
    </cfRule>
  </conditionalFormatting>
  <conditionalFormatting sqref="C40">
    <cfRule type="duplicateValues" dxfId="106" priority="8"/>
  </conditionalFormatting>
  <conditionalFormatting sqref="C40">
    <cfRule type="containsText" dxfId="105" priority="7" operator="containsText" text="@">
      <formula>NOT(ISERROR(SEARCH("@",C40)))</formula>
    </cfRule>
  </conditionalFormatting>
  <conditionalFormatting sqref="C40">
    <cfRule type="expression" dxfId="104" priority="6">
      <formula>CELL("row")=ROW()</formula>
    </cfRule>
  </conditionalFormatting>
  <conditionalFormatting sqref="C42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{481D04B1-4FA6-4F62-9F3F-791B063D2BE7}</x14:id>
        </ext>
      </extLst>
    </cfRule>
  </conditionalFormatting>
  <conditionalFormatting sqref="C46">
    <cfRule type="duplicateValues" dxfId="103" priority="4"/>
  </conditionalFormatting>
  <conditionalFormatting sqref="C46">
    <cfRule type="containsText" dxfId="102" priority="3" operator="containsText" text="@">
      <formula>NOT(ISERROR(SEARCH("@",C46)))</formula>
    </cfRule>
  </conditionalFormatting>
  <conditionalFormatting sqref="C46">
    <cfRule type="expression" dxfId="101" priority="2">
      <formula>CELL("row")=ROW()</formula>
    </cfRule>
  </conditionalFormatting>
  <conditionalFormatting sqref="AY12 Z12 AC12:AD12">
    <cfRule type="expression" dxfId="100" priority="1">
      <formula>CELL("row")=ROW()</formula>
    </cfRule>
  </conditionalFormatting>
  <conditionalFormatting sqref="CT7:CT24">
    <cfRule type="colorScale" priority="3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C23" r:id="rId1" display="ludovicare@tuemailya.com" xr:uid="{CAC682B8-4793-4B63-ACAA-66ED755CC2A1}"/>
  </hyperlinks>
  <pageMargins left="0.25" right="0.25" top="0.75" bottom="0.75" header="0.3" footer="0.3"/>
  <pageSetup paperSize="138" scale="13" orientation="landscape" horizontalDpi="1200" verticalDpi="1200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7BDDCC-C7F4-4095-9ED7-1D98794EE6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6E2020A3-B61D-4135-9B9A-5714F04A8F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C32</xm:sqref>
        </x14:conditionalFormatting>
        <x14:conditionalFormatting xmlns:xm="http://schemas.microsoft.com/office/excel/2006/main">
          <x14:cfRule type="dataBar" id="{76D8BA44-19A1-4C7E-96E4-185C19467A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C34</xm:sqref>
        </x14:conditionalFormatting>
        <x14:conditionalFormatting xmlns:xm="http://schemas.microsoft.com/office/excel/2006/main">
          <x14:cfRule type="dataBar" id="{481D04B1-4FA6-4F62-9F3F-791B063D2B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39578-8C5D-47C1-86F5-1AE0CDF6A8B8}">
  <sheetPr codeName="Hoja41">
    <pageSetUpPr fitToPage="1"/>
  </sheetPr>
  <dimension ref="A1:CX116"/>
  <sheetViews>
    <sheetView zoomScaleNormal="100" zoomScaleSheetLayoutView="70" workbookViewId="0">
      <pane xSplit="3" topLeftCell="CK1" activePane="topRight" state="frozen"/>
      <selection pane="topRight" activeCell="CR7" sqref="CR7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4" width="15" style="1" bestFit="1" customWidth="1"/>
    <col min="25" max="25" width="14.7109375" style="1" customWidth="1"/>
    <col min="26" max="26" width="15" style="1" hidden="1" customWidth="1"/>
    <col min="27" max="27" width="12.85546875" style="1" hidden="1" customWidth="1"/>
    <col min="28" max="28" width="13.140625" style="1" hidden="1" customWidth="1"/>
    <col min="29" max="29" width="12.85546875" style="1" hidden="1" customWidth="1"/>
    <col min="30" max="30" width="9.5703125" style="1" hidden="1" customWidth="1"/>
    <col min="31" max="32" width="8.42578125" style="1" hidden="1" customWidth="1"/>
    <col min="33" max="33" width="15.7109375" style="1" hidden="1" customWidth="1"/>
    <col min="34" max="34" width="13.7109375" style="1" hidden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hidden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2.85546875" style="1" bestFit="1" customWidth="1"/>
    <col min="57" max="57" width="15.7109375" style="1" customWidth="1"/>
    <col min="58" max="58" width="14.140625" style="1" customWidth="1"/>
    <col min="59" max="59" width="13.42578125" style="1" customWidth="1"/>
    <col min="60" max="60" width="13.5703125" style="1" customWidth="1"/>
    <col min="61" max="61" width="14.85546875" style="1" customWidth="1"/>
    <col min="62" max="62" width="11.28515625" style="1" customWidth="1"/>
    <col min="63" max="63" width="10.5703125" style="1" hidden="1" customWidth="1"/>
    <col min="64" max="64" width="12.7109375" style="1" hidden="1" customWidth="1"/>
    <col min="65" max="66" width="18.140625" style="1" customWidth="1"/>
    <col min="67" max="67" width="22.7109375" style="1" customWidth="1"/>
    <col min="68" max="68" width="14.28515625" style="1" customWidth="1"/>
    <col min="69" max="69" width="16.28515625" style="1" customWidth="1"/>
    <col min="70" max="70" width="15.7109375" style="1" customWidth="1"/>
    <col min="71" max="71" width="11.5703125" style="1" customWidth="1"/>
    <col min="72" max="72" width="12.140625" style="1" customWidth="1"/>
    <col min="73" max="73" width="15.140625" style="1" customWidth="1"/>
    <col min="74" max="74" width="15.7109375" style="1" customWidth="1"/>
    <col min="75" max="75" width="13" style="1" customWidth="1"/>
    <col min="76" max="76" width="13.28515625" style="1" customWidth="1"/>
    <col min="77" max="77" width="15.140625" style="1" customWidth="1"/>
    <col min="78" max="78" width="15.7109375" style="1" customWidth="1"/>
    <col min="79" max="79" width="13.85546875" style="1" customWidth="1"/>
    <col min="80" max="80" width="15.85546875" style="1" customWidth="1"/>
    <col min="81" max="82" width="14.28515625" style="1" bestFit="1" customWidth="1"/>
    <col min="83" max="84" width="12.140625" style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83">
        <v>3819</v>
      </c>
      <c r="B2" s="184">
        <v>1.32</v>
      </c>
      <c r="C2" s="185">
        <v>1.1299999999999999</v>
      </c>
      <c r="D2" s="186">
        <v>395.32</v>
      </c>
      <c r="E2" s="186">
        <v>1.3133333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187">
        <v>3818</v>
      </c>
      <c r="B3" s="188">
        <v>1.32</v>
      </c>
      <c r="C3" s="188">
        <v>1.1399999999999999</v>
      </c>
      <c r="D3" s="189">
        <v>395.32</v>
      </c>
      <c r="E3" s="189">
        <v>1.31</v>
      </c>
      <c r="F3" s="32"/>
      <c r="H3" s="32"/>
      <c r="L3" s="32"/>
      <c r="T3" s="43"/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A4" s="172" t="s">
        <v>197</v>
      </c>
      <c r="BO4" s="78" t="s">
        <v>10</v>
      </c>
      <c r="CH4" s="80"/>
    </row>
    <row r="5" spans="1:102" s="4" customFormat="1" ht="43.5" customHeigh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19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198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148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141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141" t="s">
        <v>112</v>
      </c>
      <c r="BX6" s="141" t="s">
        <v>112</v>
      </c>
      <c r="BY6" s="82" t="s">
        <v>45</v>
      </c>
      <c r="BZ6" s="82" t="s">
        <v>46</v>
      </c>
      <c r="CA6" s="141" t="s">
        <v>53</v>
      </c>
      <c r="CB6" s="141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>
        <v>0</v>
      </c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4835079</v>
      </c>
    </row>
    <row r="7" spans="1:102">
      <c r="A7" s="44"/>
      <c r="B7" s="45" t="s">
        <v>118</v>
      </c>
      <c r="C7" s="46" t="s">
        <v>119</v>
      </c>
      <c r="D7" s="102">
        <v>0</v>
      </c>
      <c r="E7" s="102">
        <v>0</v>
      </c>
      <c r="F7" s="98">
        <f>SUM((D7*2)*0.3)</f>
        <v>0</v>
      </c>
      <c r="G7" s="98">
        <f>SUM((E7*2)*0.3)</f>
        <v>0</v>
      </c>
      <c r="H7" s="98">
        <v>0</v>
      </c>
      <c r="I7" s="98">
        <v>33</v>
      </c>
      <c r="J7" s="98">
        <f>SUM(H7*0.78)*$C$2</f>
        <v>0</v>
      </c>
      <c r="K7" s="98">
        <f>SUM(I7*0.78)*$C$3</f>
        <v>29.343599999999999</v>
      </c>
      <c r="L7" s="103">
        <v>43.27</v>
      </c>
      <c r="M7" s="98">
        <f>L7</f>
        <v>43.27</v>
      </c>
      <c r="N7" s="98">
        <v>57.09</v>
      </c>
      <c r="O7" s="98">
        <v>34.75</v>
      </c>
      <c r="P7" s="98">
        <f>N7*$C$2</f>
        <v>64.511700000000005</v>
      </c>
      <c r="Q7" s="98">
        <f>O7*$C$3</f>
        <v>39.614999999999995</v>
      </c>
      <c r="R7" s="103">
        <v>45.61</v>
      </c>
      <c r="S7" s="98">
        <f>R7*$C$3</f>
        <v>51.995399999999997</v>
      </c>
      <c r="T7" s="103">
        <v>76.88</v>
      </c>
      <c r="U7" s="98">
        <v>39.46</v>
      </c>
      <c r="V7" s="98">
        <f>SUM(T7*($C$2))</f>
        <v>86.87439999999998</v>
      </c>
      <c r="W7" s="98">
        <f>SUM(U7*($C$3))</f>
        <v>44.984399999999994</v>
      </c>
      <c r="X7" s="120">
        <v>0</v>
      </c>
      <c r="Y7" s="120">
        <v>31</v>
      </c>
      <c r="Z7" s="121"/>
      <c r="AA7" s="121">
        <f>SUM(X7*0.75)+(Z7*0.75)</f>
        <v>0</v>
      </c>
      <c r="AB7" s="121">
        <f>(Y7*0.75)+(Z7*0.75)</f>
        <v>23.25</v>
      </c>
      <c r="AC7" s="121">
        <v>0</v>
      </c>
      <c r="AD7" s="121">
        <v>0</v>
      </c>
      <c r="AE7" s="121">
        <f>AC7*0.75</f>
        <v>0</v>
      </c>
      <c r="AF7" s="121">
        <f>AD7*0.75</f>
        <v>0</v>
      </c>
      <c r="AG7" s="98"/>
      <c r="AH7" s="98"/>
      <c r="AI7" s="98">
        <f>AG7*0.75</f>
        <v>0</v>
      </c>
      <c r="AJ7" s="98">
        <f>AH7*0.75</f>
        <v>0</v>
      </c>
      <c r="AK7" s="103">
        <v>99.48</v>
      </c>
      <c r="AL7" s="98">
        <v>50.74</v>
      </c>
      <c r="AM7" s="98">
        <f>AK7*$C$2</f>
        <v>112.41239999999999</v>
      </c>
      <c r="AN7" s="98">
        <f>AL7*$C$3</f>
        <v>57.843599999999995</v>
      </c>
      <c r="AO7" s="98"/>
      <c r="AP7" s="98"/>
      <c r="AQ7" s="130"/>
      <c r="AR7" s="130"/>
      <c r="AS7" s="98"/>
      <c r="AT7" s="98">
        <f>AS7*$C$3</f>
        <v>0</v>
      </c>
      <c r="AU7" s="98"/>
      <c r="AV7" s="149">
        <f>AU7*$C$3</f>
        <v>0</v>
      </c>
      <c r="AW7" s="98">
        <v>45.64</v>
      </c>
      <c r="AX7" s="98">
        <v>51.04</v>
      </c>
      <c r="AY7" s="98"/>
      <c r="AZ7" s="98">
        <f>AY7*$D$2</f>
        <v>0</v>
      </c>
      <c r="BA7" s="99">
        <v>147.29</v>
      </c>
      <c r="BB7" s="99">
        <v>78.02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>BH7*$C$3</f>
        <v>0</v>
      </c>
      <c r="BK7" s="98"/>
      <c r="BL7" s="98"/>
      <c r="BM7" s="98">
        <v>178.71</v>
      </c>
      <c r="BN7" s="98">
        <f>BM7*$C$3</f>
        <v>203.7294</v>
      </c>
      <c r="BO7" s="105">
        <v>29.6</v>
      </c>
      <c r="BP7" s="149">
        <f>BO7*$C$3</f>
        <v>33.744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42">
        <f>BU7*$E$2</f>
        <v>0</v>
      </c>
      <c r="BX7" s="142">
        <f>BV7*$E$3</f>
        <v>0</v>
      </c>
      <c r="BY7" s="110">
        <v>14.54</v>
      </c>
      <c r="BZ7" s="110">
        <v>137.80000000000001</v>
      </c>
      <c r="CA7" s="142">
        <f>BY7/2</f>
        <v>7.27</v>
      </c>
      <c r="CB7" s="142">
        <f>BZ7/2</f>
        <v>68.900000000000006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2725000</v>
      </c>
      <c r="CI7" s="72"/>
      <c r="CJ7" s="72"/>
      <c r="CK7" s="53">
        <v>1600000</v>
      </c>
      <c r="CL7" s="72"/>
      <c r="CM7" s="53">
        <v>1125000</v>
      </c>
      <c r="CN7" s="72"/>
      <c r="CO7" s="72">
        <v>0</v>
      </c>
      <c r="CP7" s="90"/>
      <c r="CQ7" s="68">
        <v>0</v>
      </c>
      <c r="CR7" s="69">
        <f>SUM(AO7,AQ7,F7,P7,BS7,AM7,AA7,AE7,J7,AI7,V7,BA7,BE7,CE7,AW7,CA7,BW7)</f>
        <v>463.99849999999992</v>
      </c>
      <c r="CS7" s="69">
        <f>SUM(AP7,AR7,G7,Q7,BN7,AZ7,M7,BT7,AN7,S7,AB7,AF7,K7,AJ7,BI7,W7,BB7,BF7,CF7,BP7,BL7,CG7,AT7,AV7,AX7,CB7,BX7)</f>
        <v>725.73539999999991</v>
      </c>
      <c r="CT7" s="70">
        <f t="shared" ref="CT7:CT24" si="0">(((CR7*$A$2)+(CS7*$A$3))*0.6)+((BJ7*$A$3)*0.75)</f>
        <v>2725720.8172199996</v>
      </c>
      <c r="CU7" s="70">
        <f t="shared" ref="CU7:CU24" si="1">((CR7*$A$2)+(CS7*$A$3))*0.4+((BJ7*$A$3)*0.25)</f>
        <v>1817147.2114800001</v>
      </c>
      <c r="CV7" s="143">
        <f>CT7-CH7</f>
        <v>720.81721999961883</v>
      </c>
      <c r="CW7" s="1" t="s">
        <v>120</v>
      </c>
      <c r="CX7" s="126">
        <v>1153626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ref="F8:G22" si="2">SUM((D8*2)*0.3)</f>
        <v>0</v>
      </c>
      <c r="G8" s="98">
        <f t="shared" si="2"/>
        <v>0</v>
      </c>
      <c r="H8" s="98">
        <v>10</v>
      </c>
      <c r="I8" s="98">
        <v>0</v>
      </c>
      <c r="J8" s="98">
        <f t="shared" ref="J8:J24" si="3">SUM(H8*0.78)*$C$2</f>
        <v>8.8140000000000001</v>
      </c>
      <c r="K8" s="98">
        <f t="shared" ref="K8:K24" si="4">SUM(I8*0.78)*$C$3</f>
        <v>0</v>
      </c>
      <c r="L8" s="103">
        <v>58.79</v>
      </c>
      <c r="M8" s="98">
        <f t="shared" ref="M8:M24" si="5">L8</f>
        <v>58.79</v>
      </c>
      <c r="N8" s="99"/>
      <c r="O8" s="99"/>
      <c r="P8" s="98">
        <f t="shared" ref="P8:P24" si="6">N8*$C$2</f>
        <v>0</v>
      </c>
      <c r="Q8" s="98">
        <f t="shared" ref="Q8:Q24" si="7">O8*$C$3</f>
        <v>0</v>
      </c>
      <c r="R8" s="103"/>
      <c r="S8" s="98">
        <f t="shared" ref="S8:S24" si="8">R8*$C$3</f>
        <v>0</v>
      </c>
      <c r="T8" s="103">
        <v>27.42</v>
      </c>
      <c r="U8" s="98">
        <v>20.14</v>
      </c>
      <c r="V8" s="98">
        <f t="shared" ref="V8:V24" si="9">SUM(T8*($C$2))</f>
        <v>30.9846</v>
      </c>
      <c r="W8" s="98">
        <f t="shared" ref="W8:W24" si="10">SUM(U8*($C$3))</f>
        <v>22.959599999999998</v>
      </c>
      <c r="X8" s="120">
        <v>26</v>
      </c>
      <c r="Y8" s="120">
        <v>79.5</v>
      </c>
      <c r="Z8" s="119"/>
      <c r="AA8" s="121">
        <f t="shared" ref="AA8:AA24" si="11">SUM(X8*0.75)+(Z8*0.75)</f>
        <v>19.5</v>
      </c>
      <c r="AB8" s="121">
        <f t="shared" ref="AB8:AB24" si="12">(Y8*0.75)+(Z8*0.75)</f>
        <v>59.625</v>
      </c>
      <c r="AC8" s="119"/>
      <c r="AD8" s="119"/>
      <c r="AE8" s="121">
        <f t="shared" ref="AE8:AF24" si="13">AC8*0.75</f>
        <v>0</v>
      </c>
      <c r="AF8" s="121">
        <f t="shared" si="13"/>
        <v>0</v>
      </c>
      <c r="AG8" s="98"/>
      <c r="AH8" s="98"/>
      <c r="AI8" s="98">
        <f t="shared" ref="AI8:AJ24" si="14">AG8*0.75</f>
        <v>0</v>
      </c>
      <c r="AJ8" s="98">
        <f t="shared" si="14"/>
        <v>0</v>
      </c>
      <c r="AK8" s="103">
        <v>30.95</v>
      </c>
      <c r="AL8" s="98">
        <v>27.5</v>
      </c>
      <c r="AM8" s="98">
        <f t="shared" ref="AM8:AM24" si="15">AK8*$C$2</f>
        <v>34.973499999999994</v>
      </c>
      <c r="AN8" s="98">
        <f t="shared" ref="AN8:AN24" si="16">AL8*$C$3</f>
        <v>31.349999999999998</v>
      </c>
      <c r="AO8" s="99">
        <v>0</v>
      </c>
      <c r="AP8" s="99">
        <v>0</v>
      </c>
      <c r="AQ8" s="131"/>
      <c r="AR8" s="131"/>
      <c r="AS8" s="99"/>
      <c r="AT8" s="98">
        <f t="shared" ref="AT8:AT24" si="17">AS8*$C$3</f>
        <v>0</v>
      </c>
      <c r="AU8" s="99"/>
      <c r="AV8" s="149">
        <f t="shared" ref="AV8:AV24" si="18">AU8*$C$3</f>
        <v>0</v>
      </c>
      <c r="AW8" s="98">
        <v>41.31</v>
      </c>
      <c r="AX8" s="98">
        <v>76.83</v>
      </c>
      <c r="AY8" s="99"/>
      <c r="AZ8" s="98">
        <f t="shared" ref="AZ8:AZ24" si="19">AY8*$D$2</f>
        <v>0</v>
      </c>
      <c r="BA8" s="99"/>
      <c r="BB8" s="99"/>
      <c r="BC8" s="99">
        <v>43.4</v>
      </c>
      <c r="BD8" s="99">
        <v>5.82</v>
      </c>
      <c r="BE8" s="98">
        <f t="shared" ref="BE8:BE24" si="20">SUM(BC8*0.62)*$B$2</f>
        <v>35.518560000000001</v>
      </c>
      <c r="BF8" s="98">
        <f t="shared" ref="BF8:BF24" si="21">SUM(BD8*0.62)*$B$3</f>
        <v>4.7630880000000007</v>
      </c>
      <c r="BG8" s="98">
        <v>29.76</v>
      </c>
      <c r="BH8" s="98">
        <v>0</v>
      </c>
      <c r="BI8" s="98">
        <f t="shared" ref="BI8:BI24" si="22">(BG8*$C$3)</f>
        <v>33.926400000000001</v>
      </c>
      <c r="BJ8" s="98">
        <f t="shared" ref="BJ8:BJ24" si="23">BH8*$C$3</f>
        <v>0</v>
      </c>
      <c r="BK8" s="99"/>
      <c r="BL8" s="99"/>
      <c r="BM8" s="99">
        <v>68.53</v>
      </c>
      <c r="BN8" s="98">
        <f t="shared" ref="BN8:BN24" si="24">BM8*$C$3</f>
        <v>78.124199999999988</v>
      </c>
      <c r="BO8" s="105">
        <v>163.41</v>
      </c>
      <c r="BP8" s="149">
        <f t="shared" ref="BP8:BP24" si="25">BO8*$C$3</f>
        <v>186.28739999999999</v>
      </c>
      <c r="BQ8" s="113">
        <v>0</v>
      </c>
      <c r="BR8" s="113">
        <v>0</v>
      </c>
      <c r="BS8" s="104">
        <f t="shared" ref="BS8:BS24" si="26">(BQ8/$D$2)*$C$2</f>
        <v>0</v>
      </c>
      <c r="BT8" s="104">
        <f t="shared" ref="BT8:BT24" si="27">(BR8/$D$3)*$C$3</f>
        <v>0</v>
      </c>
      <c r="BU8" s="105">
        <v>0.38</v>
      </c>
      <c r="BV8" s="105">
        <v>0.38</v>
      </c>
      <c r="BW8" s="142">
        <f t="shared" ref="BW8:BW24" si="28">BU8*$E$2</f>
        <v>0.499066654</v>
      </c>
      <c r="BX8" s="142">
        <f t="shared" ref="BX8:BX24" si="29">BV8*$E$3</f>
        <v>0.49780000000000002</v>
      </c>
      <c r="BY8" s="110">
        <v>11.64</v>
      </c>
      <c r="BZ8" s="110">
        <v>479.1</v>
      </c>
      <c r="CA8" s="142">
        <f t="shared" ref="CA8:CB24" si="30">BY8/2</f>
        <v>5.82</v>
      </c>
      <c r="CB8" s="142">
        <f t="shared" si="30"/>
        <v>239.55</v>
      </c>
      <c r="CC8" s="109">
        <v>0</v>
      </c>
      <c r="CD8" s="109">
        <v>0</v>
      </c>
      <c r="CE8" s="98">
        <f t="shared" ref="CE8:CF24" si="31">CC8*0.05</f>
        <v>0</v>
      </c>
      <c r="CF8" s="107">
        <f t="shared" si="31"/>
        <v>0</v>
      </c>
      <c r="CG8" s="81"/>
      <c r="CH8" s="65">
        <f t="shared" ref="CH8:CH24" si="32">SUM(CI8:CO8)</f>
        <v>2222000</v>
      </c>
      <c r="CI8" s="73"/>
      <c r="CJ8" s="125"/>
      <c r="CK8" s="66">
        <v>850000</v>
      </c>
      <c r="CL8" s="73"/>
      <c r="CM8" s="66">
        <v>1322000</v>
      </c>
      <c r="CN8" s="73"/>
      <c r="CO8" s="73">
        <v>50000</v>
      </c>
      <c r="CP8" s="90"/>
      <c r="CQ8" s="68">
        <v>0</v>
      </c>
      <c r="CR8" s="69">
        <f t="shared" ref="CR8:CR24" si="33">SUM(AO8,AQ8,F8,P8,BS8,AM8,AA8,AE8,J8,AI8,V8,BA8,BE8,CE8,AW8,CA8,BW8)</f>
        <v>177.41972665399999</v>
      </c>
      <c r="CS8" s="69">
        <f t="shared" ref="CS8:CS21" si="34">SUM(AP8,AR8,G8,Q8,BN8,AZ8,M8,BT8,AN8,S8,AB8,AF8,K8,AJ8,BI8,W8,BB8,BF8,CF8,BP8,BL8,CG8,AT8,AV8,AX8,CB8,BX8)</f>
        <v>792.70348799999999</v>
      </c>
      <c r="CT8" s="70">
        <f t="shared" si="0"/>
        <v>2222464.7119653756</v>
      </c>
      <c r="CU8" s="70">
        <f t="shared" si="1"/>
        <v>1481643.1413102504</v>
      </c>
      <c r="CV8" s="70">
        <f t="shared" ref="CV8:CV24" si="35">CT8-CH8</f>
        <v>464.71196537557989</v>
      </c>
      <c r="CW8" s="15" t="s">
        <v>123</v>
      </c>
      <c r="CX8" s="127">
        <v>170300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2"/>
        <v>0</v>
      </c>
      <c r="G9" s="98">
        <f t="shared" si="2"/>
        <v>0</v>
      </c>
      <c r="H9" s="98"/>
      <c r="I9" s="98"/>
      <c r="J9" s="98">
        <f t="shared" si="3"/>
        <v>0</v>
      </c>
      <c r="K9" s="98">
        <f t="shared" si="4"/>
        <v>0</v>
      </c>
      <c r="L9" s="103">
        <v>17.03</v>
      </c>
      <c r="M9" s="98">
        <f t="shared" si="5"/>
        <v>17.03</v>
      </c>
      <c r="N9" s="98"/>
      <c r="O9" s="98"/>
      <c r="P9" s="98">
        <f t="shared" si="6"/>
        <v>0</v>
      </c>
      <c r="Q9" s="98">
        <f t="shared" si="7"/>
        <v>0</v>
      </c>
      <c r="R9" s="103">
        <v>40.479999999999997</v>
      </c>
      <c r="S9" s="98">
        <f t="shared" si="8"/>
        <v>46.147199999999991</v>
      </c>
      <c r="T9" s="103">
        <v>8.4499999999999993</v>
      </c>
      <c r="U9" s="98">
        <v>0.78</v>
      </c>
      <c r="V9" s="98">
        <f t="shared" si="9"/>
        <v>9.5484999999999989</v>
      </c>
      <c r="W9" s="98">
        <f t="shared" si="10"/>
        <v>0.88919999999999999</v>
      </c>
      <c r="X9" s="120">
        <v>98.4</v>
      </c>
      <c r="Y9" s="120">
        <v>45</v>
      </c>
      <c r="Z9" s="121"/>
      <c r="AA9" s="121">
        <f t="shared" si="11"/>
        <v>73.800000000000011</v>
      </c>
      <c r="AB9" s="121">
        <f t="shared" si="12"/>
        <v>33.75</v>
      </c>
      <c r="AC9" s="123">
        <v>0</v>
      </c>
      <c r="AD9" s="123">
        <v>0</v>
      </c>
      <c r="AE9" s="121">
        <f t="shared" si="13"/>
        <v>0</v>
      </c>
      <c r="AF9" s="121">
        <f t="shared" si="13"/>
        <v>0</v>
      </c>
      <c r="AG9" s="98"/>
      <c r="AH9" s="98"/>
      <c r="AI9" s="98">
        <f t="shared" si="14"/>
        <v>0</v>
      </c>
      <c r="AJ9" s="98">
        <f t="shared" si="14"/>
        <v>0</v>
      </c>
      <c r="AK9" s="103">
        <v>14.34</v>
      </c>
      <c r="AL9" s="98">
        <v>10.83</v>
      </c>
      <c r="AM9" s="98">
        <f t="shared" si="15"/>
        <v>16.204199999999997</v>
      </c>
      <c r="AN9" s="98">
        <f t="shared" si="16"/>
        <v>12.3462</v>
      </c>
      <c r="AO9" s="98"/>
      <c r="AP9" s="98"/>
      <c r="AQ9" s="130"/>
      <c r="AR9" s="130"/>
      <c r="AS9" s="99"/>
      <c r="AT9" s="98">
        <f t="shared" si="17"/>
        <v>0</v>
      </c>
      <c r="AU9" s="98"/>
      <c r="AV9" s="149">
        <f t="shared" si="18"/>
        <v>0</v>
      </c>
      <c r="AW9" s="98">
        <v>0</v>
      </c>
      <c r="AX9" s="98">
        <v>0</v>
      </c>
      <c r="AY9" s="98"/>
      <c r="AZ9" s="98">
        <f t="shared" si="19"/>
        <v>0</v>
      </c>
      <c r="BA9" s="98"/>
      <c r="BB9" s="98"/>
      <c r="BC9" s="98"/>
      <c r="BD9" s="98"/>
      <c r="BE9" s="98">
        <f t="shared" si="20"/>
        <v>0</v>
      </c>
      <c r="BF9" s="98">
        <f t="shared" si="21"/>
        <v>0</v>
      </c>
      <c r="BG9" s="98">
        <v>33.9</v>
      </c>
      <c r="BH9" s="98">
        <v>0</v>
      </c>
      <c r="BI9" s="98">
        <f t="shared" si="22"/>
        <v>38.645999999999994</v>
      </c>
      <c r="BJ9" s="98">
        <f t="shared" si="23"/>
        <v>0</v>
      </c>
      <c r="BK9" s="98"/>
      <c r="BL9" s="98"/>
      <c r="BM9" s="98"/>
      <c r="BN9" s="98">
        <f t="shared" si="24"/>
        <v>0</v>
      </c>
      <c r="BO9" s="105">
        <v>247.02</v>
      </c>
      <c r="BP9" s="149">
        <f t="shared" si="25"/>
        <v>281.6028</v>
      </c>
      <c r="BQ9" s="112">
        <v>0</v>
      </c>
      <c r="BR9" s="112">
        <v>0</v>
      </c>
      <c r="BS9" s="104">
        <f>(BQ9/$D$2)*$C$2</f>
        <v>0</v>
      </c>
      <c r="BT9" s="104">
        <f t="shared" si="27"/>
        <v>0</v>
      </c>
      <c r="BU9" s="105">
        <v>2.5</v>
      </c>
      <c r="BV9" s="105">
        <v>2.75</v>
      </c>
      <c r="BW9" s="142">
        <f t="shared" si="28"/>
        <v>3.2833332500000001</v>
      </c>
      <c r="BX9" s="142">
        <f t="shared" si="29"/>
        <v>3.6025</v>
      </c>
      <c r="BY9" s="110">
        <v>1.19</v>
      </c>
      <c r="BZ9" s="110">
        <v>4.4000000000000004</v>
      </c>
      <c r="CA9" s="142">
        <f t="shared" si="30"/>
        <v>0.59499999999999997</v>
      </c>
      <c r="CB9" s="142">
        <f t="shared" si="30"/>
        <v>2.2000000000000002</v>
      </c>
      <c r="CC9" s="106"/>
      <c r="CD9" s="106"/>
      <c r="CE9" s="98">
        <f t="shared" si="31"/>
        <v>0</v>
      </c>
      <c r="CF9" s="107">
        <f t="shared" si="31"/>
        <v>0</v>
      </c>
      <c r="CG9" s="89"/>
      <c r="CH9" s="65">
        <f t="shared" si="32"/>
        <v>1237000</v>
      </c>
      <c r="CI9" s="73"/>
      <c r="CJ9" s="73"/>
      <c r="CK9" s="66">
        <v>415000</v>
      </c>
      <c r="CL9" s="73"/>
      <c r="CM9" s="66">
        <v>822000</v>
      </c>
      <c r="CN9" s="73"/>
      <c r="CO9" s="73"/>
      <c r="CP9" s="90"/>
      <c r="CQ9" s="68">
        <v>0</v>
      </c>
      <c r="CR9" s="69">
        <f t="shared" si="33"/>
        <v>103.43103325000001</v>
      </c>
      <c r="CS9" s="69">
        <f t="shared" si="34"/>
        <v>436.21389999999997</v>
      </c>
      <c r="CT9" s="70">
        <f t="shared" si="0"/>
        <v>1236280.6717090497</v>
      </c>
      <c r="CU9" s="70">
        <f t="shared" si="1"/>
        <v>824187.11447269993</v>
      </c>
      <c r="CV9" s="70">
        <f t="shared" si="35"/>
        <v>-719.32829095027409</v>
      </c>
      <c r="CW9" s="87" t="s">
        <v>126</v>
      </c>
      <c r="CX9" s="87">
        <v>2920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2"/>
        <v>0</v>
      </c>
      <c r="G10" s="98">
        <f t="shared" si="2"/>
        <v>0</v>
      </c>
      <c r="H10" s="98">
        <v>0</v>
      </c>
      <c r="I10" s="98">
        <v>25</v>
      </c>
      <c r="J10" s="98">
        <f t="shared" si="3"/>
        <v>0</v>
      </c>
      <c r="K10" s="98">
        <f t="shared" si="4"/>
        <v>22.229999999999997</v>
      </c>
      <c r="L10" s="103">
        <v>158.12</v>
      </c>
      <c r="M10" s="98">
        <f t="shared" si="5"/>
        <v>158.12</v>
      </c>
      <c r="N10" s="99"/>
      <c r="O10" s="99"/>
      <c r="P10" s="98">
        <f t="shared" si="6"/>
        <v>0</v>
      </c>
      <c r="Q10" s="98">
        <f t="shared" si="7"/>
        <v>0</v>
      </c>
      <c r="R10" s="103">
        <v>137.07</v>
      </c>
      <c r="S10" s="98">
        <f t="shared" si="8"/>
        <v>156.25979999999998</v>
      </c>
      <c r="T10" s="103">
        <v>26.07</v>
      </c>
      <c r="U10" s="98">
        <v>18.55</v>
      </c>
      <c r="V10" s="98">
        <f t="shared" si="9"/>
        <v>29.459099999999996</v>
      </c>
      <c r="W10" s="98">
        <f t="shared" si="10"/>
        <v>21.146999999999998</v>
      </c>
      <c r="X10" s="120">
        <v>0</v>
      </c>
      <c r="Y10" s="120">
        <v>0</v>
      </c>
      <c r="Z10" s="119"/>
      <c r="AA10" s="121">
        <f t="shared" si="11"/>
        <v>0</v>
      </c>
      <c r="AB10" s="121">
        <f t="shared" si="12"/>
        <v>0</v>
      </c>
      <c r="AC10" s="122">
        <v>0</v>
      </c>
      <c r="AD10" s="122">
        <v>0</v>
      </c>
      <c r="AE10" s="121">
        <f t="shared" si="13"/>
        <v>0</v>
      </c>
      <c r="AF10" s="121">
        <f t="shared" si="13"/>
        <v>0</v>
      </c>
      <c r="AG10" s="98">
        <v>0</v>
      </c>
      <c r="AH10" s="98">
        <v>0</v>
      </c>
      <c r="AI10" s="98">
        <f t="shared" si="14"/>
        <v>0</v>
      </c>
      <c r="AJ10" s="98">
        <f t="shared" si="14"/>
        <v>0</v>
      </c>
      <c r="AK10" s="103">
        <v>125.21</v>
      </c>
      <c r="AL10" s="98">
        <v>148.66</v>
      </c>
      <c r="AM10" s="98">
        <f t="shared" si="15"/>
        <v>141.48729999999998</v>
      </c>
      <c r="AN10" s="98">
        <f t="shared" si="16"/>
        <v>169.47239999999999</v>
      </c>
      <c r="AO10" s="98"/>
      <c r="AP10" s="98"/>
      <c r="AQ10" s="131">
        <v>0</v>
      </c>
      <c r="AR10" s="131">
        <v>0</v>
      </c>
      <c r="AS10" s="99"/>
      <c r="AT10" s="98">
        <f t="shared" si="17"/>
        <v>0</v>
      </c>
      <c r="AU10" s="99"/>
      <c r="AV10" s="149">
        <f t="shared" si="18"/>
        <v>0</v>
      </c>
      <c r="AW10" s="98">
        <v>66.39</v>
      </c>
      <c r="AX10" s="98">
        <v>61.85</v>
      </c>
      <c r="AY10" s="99"/>
      <c r="AZ10" s="98">
        <f t="shared" si="19"/>
        <v>0</v>
      </c>
      <c r="BA10" s="99"/>
      <c r="BB10" s="99"/>
      <c r="BC10" s="99"/>
      <c r="BD10" s="99"/>
      <c r="BE10" s="98">
        <f t="shared" si="20"/>
        <v>0</v>
      </c>
      <c r="BF10" s="98">
        <f t="shared" si="21"/>
        <v>0</v>
      </c>
      <c r="BG10" s="98">
        <v>198.39</v>
      </c>
      <c r="BH10" s="98">
        <v>0</v>
      </c>
      <c r="BI10" s="98">
        <f t="shared" si="22"/>
        <v>226.16459999999998</v>
      </c>
      <c r="BJ10" s="98">
        <f t="shared" si="23"/>
        <v>0</v>
      </c>
      <c r="BK10" s="99"/>
      <c r="BL10" s="99"/>
      <c r="BM10" s="98"/>
      <c r="BN10" s="98">
        <f t="shared" si="24"/>
        <v>0</v>
      </c>
      <c r="BO10" s="105">
        <v>132.11000000000001</v>
      </c>
      <c r="BP10" s="149">
        <f t="shared" si="25"/>
        <v>150.6054</v>
      </c>
      <c r="BQ10" s="113"/>
      <c r="BR10" s="113"/>
      <c r="BS10" s="104">
        <f t="shared" si="26"/>
        <v>0</v>
      </c>
      <c r="BT10" s="104">
        <f t="shared" si="27"/>
        <v>0</v>
      </c>
      <c r="BU10" s="105">
        <v>0</v>
      </c>
      <c r="BV10" s="105">
        <v>0</v>
      </c>
      <c r="BW10" s="142">
        <f t="shared" si="28"/>
        <v>0</v>
      </c>
      <c r="BX10" s="142">
        <f t="shared" si="29"/>
        <v>0</v>
      </c>
      <c r="BY10" s="111"/>
      <c r="BZ10" s="111"/>
      <c r="CA10" s="142">
        <f t="shared" si="30"/>
        <v>0</v>
      </c>
      <c r="CB10" s="142">
        <f t="shared" si="30"/>
        <v>0</v>
      </c>
      <c r="CC10" s="109"/>
      <c r="CD10" s="109"/>
      <c r="CE10" s="98">
        <f t="shared" si="31"/>
        <v>0</v>
      </c>
      <c r="CF10" s="107">
        <f t="shared" si="31"/>
        <v>0</v>
      </c>
      <c r="CG10" s="89"/>
      <c r="CH10" s="65">
        <f t="shared" si="32"/>
        <v>2760000</v>
      </c>
      <c r="CI10" s="73"/>
      <c r="CJ10" s="73"/>
      <c r="CK10" s="66">
        <v>1490000</v>
      </c>
      <c r="CL10" s="73"/>
      <c r="CM10" s="66">
        <v>1270000</v>
      </c>
      <c r="CN10" s="73"/>
      <c r="CO10" s="73"/>
      <c r="CP10" s="90"/>
      <c r="CQ10" s="68">
        <v>0</v>
      </c>
      <c r="CR10" s="69">
        <f t="shared" si="33"/>
        <v>237.33639999999997</v>
      </c>
      <c r="CS10" s="69">
        <f>SUM(AP10,AR10,G10,Q10,BN10,AZ10,M10,BT10,AN10,S10,AB10,AF10,K10,AJ10,BI10,W10,BB10,BF10,CF10,BP10,BL10,CG10,AT10,AV10,AX10,CB10,BX10)</f>
        <v>965.84920000000011</v>
      </c>
      <c r="CT10" s="70">
        <f t="shared" si="0"/>
        <v>2756399.97432</v>
      </c>
      <c r="CU10" s="70">
        <f t="shared" si="1"/>
        <v>1837599.98288</v>
      </c>
      <c r="CV10" s="70">
        <f t="shared" si="35"/>
        <v>-3600.0256799999624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2"/>
        <v>0</v>
      </c>
      <c r="G11" s="98">
        <f t="shared" si="2"/>
        <v>0</v>
      </c>
      <c r="H11" s="98">
        <v>0</v>
      </c>
      <c r="I11" s="98">
        <v>0</v>
      </c>
      <c r="J11" s="98">
        <f t="shared" si="3"/>
        <v>0</v>
      </c>
      <c r="K11" s="98">
        <f t="shared" si="4"/>
        <v>0</v>
      </c>
      <c r="L11" s="103">
        <v>42.3</v>
      </c>
      <c r="M11" s="98">
        <f t="shared" si="5"/>
        <v>42.3</v>
      </c>
      <c r="N11" s="98"/>
      <c r="O11" s="98"/>
      <c r="P11" s="98">
        <f t="shared" si="6"/>
        <v>0</v>
      </c>
      <c r="Q11" s="98">
        <f t="shared" si="7"/>
        <v>0</v>
      </c>
      <c r="R11" s="103">
        <v>78.41</v>
      </c>
      <c r="S11" s="98">
        <f t="shared" si="8"/>
        <v>89.387399999999985</v>
      </c>
      <c r="T11" s="103">
        <v>14.27</v>
      </c>
      <c r="U11" s="98">
        <v>10.79</v>
      </c>
      <c r="V11" s="98">
        <f t="shared" si="9"/>
        <v>16.1251</v>
      </c>
      <c r="W11" s="98">
        <f t="shared" si="10"/>
        <v>12.300599999999998</v>
      </c>
      <c r="X11" s="120">
        <v>178</v>
      </c>
      <c r="Y11" s="120">
        <v>271</v>
      </c>
      <c r="Z11" s="121"/>
      <c r="AA11" s="121">
        <f t="shared" si="11"/>
        <v>133.5</v>
      </c>
      <c r="AB11" s="121">
        <f t="shared" si="12"/>
        <v>203.25</v>
      </c>
      <c r="AC11" s="123">
        <v>0</v>
      </c>
      <c r="AD11" s="123">
        <v>0</v>
      </c>
      <c r="AE11" s="121">
        <f t="shared" si="13"/>
        <v>0</v>
      </c>
      <c r="AF11" s="121">
        <f t="shared" si="13"/>
        <v>0</v>
      </c>
      <c r="AG11" s="98"/>
      <c r="AH11" s="98"/>
      <c r="AI11" s="98">
        <f t="shared" si="14"/>
        <v>0</v>
      </c>
      <c r="AJ11" s="98">
        <f t="shared" si="14"/>
        <v>0</v>
      </c>
      <c r="AK11" s="103">
        <v>59.36</v>
      </c>
      <c r="AL11" s="98">
        <v>81.28</v>
      </c>
      <c r="AM11" s="98">
        <f t="shared" si="15"/>
        <v>67.076799999999992</v>
      </c>
      <c r="AN11" s="98">
        <f t="shared" si="16"/>
        <v>92.659199999999998</v>
      </c>
      <c r="AO11" s="98"/>
      <c r="AP11" s="98"/>
      <c r="AQ11" s="131">
        <v>18.41</v>
      </c>
      <c r="AR11" s="131">
        <v>82.32</v>
      </c>
      <c r="AS11" s="99"/>
      <c r="AT11" s="98">
        <f t="shared" si="17"/>
        <v>0</v>
      </c>
      <c r="AU11" s="98"/>
      <c r="AV11" s="149">
        <f t="shared" si="18"/>
        <v>0</v>
      </c>
      <c r="AW11" s="98">
        <v>55.83</v>
      </c>
      <c r="AX11" s="98">
        <v>90.51</v>
      </c>
      <c r="AY11" s="98"/>
      <c r="AZ11" s="98">
        <f t="shared" si="19"/>
        <v>0</v>
      </c>
      <c r="BA11" s="98"/>
      <c r="BB11" s="98"/>
      <c r="BC11" s="98"/>
      <c r="BD11" s="98"/>
      <c r="BE11" s="98">
        <f t="shared" si="20"/>
        <v>0</v>
      </c>
      <c r="BF11" s="98">
        <f t="shared" si="21"/>
        <v>0</v>
      </c>
      <c r="BG11" s="98">
        <v>61.9</v>
      </c>
      <c r="BH11" s="98">
        <v>21.96</v>
      </c>
      <c r="BI11" s="98">
        <f t="shared" si="22"/>
        <v>70.565999999999988</v>
      </c>
      <c r="BJ11" s="98">
        <f t="shared" si="23"/>
        <v>25.034399999999998</v>
      </c>
      <c r="BK11" s="98"/>
      <c r="BL11" s="98"/>
      <c r="BM11" s="98">
        <v>112.56</v>
      </c>
      <c r="BN11" s="98">
        <f t="shared" si="24"/>
        <v>128.3184</v>
      </c>
      <c r="BO11" s="105">
        <v>84.01</v>
      </c>
      <c r="BP11" s="149">
        <f t="shared" si="25"/>
        <v>95.7714</v>
      </c>
      <c r="BQ11" s="112">
        <v>0</v>
      </c>
      <c r="BR11" s="112">
        <v>0</v>
      </c>
      <c r="BS11" s="104">
        <f t="shared" si="26"/>
        <v>0</v>
      </c>
      <c r="BT11" s="104">
        <f t="shared" si="27"/>
        <v>0</v>
      </c>
      <c r="BU11" s="105">
        <v>1</v>
      </c>
      <c r="BV11" s="105">
        <v>11.28</v>
      </c>
      <c r="BW11" s="142">
        <f t="shared" si="28"/>
        <v>1.3133333</v>
      </c>
      <c r="BX11" s="142">
        <f t="shared" si="29"/>
        <v>14.7768</v>
      </c>
      <c r="BY11" s="110">
        <v>0</v>
      </c>
      <c r="BZ11" s="110">
        <v>0</v>
      </c>
      <c r="CA11" s="142">
        <f t="shared" si="30"/>
        <v>0</v>
      </c>
      <c r="CB11" s="142">
        <f t="shared" si="30"/>
        <v>0</v>
      </c>
      <c r="CC11" s="106">
        <v>532</v>
      </c>
      <c r="CD11" s="106">
        <v>243</v>
      </c>
      <c r="CE11" s="98">
        <f t="shared" si="31"/>
        <v>26.6</v>
      </c>
      <c r="CF11" s="107">
        <f t="shared" si="31"/>
        <v>12.15</v>
      </c>
      <c r="CG11" s="89"/>
      <c r="CH11" s="65">
        <f t="shared" si="32"/>
        <v>2942000</v>
      </c>
      <c r="CI11" s="73"/>
      <c r="CJ11" s="73"/>
      <c r="CK11" s="66">
        <v>1320000</v>
      </c>
      <c r="CL11" s="73"/>
      <c r="CM11" s="66">
        <v>1622000</v>
      </c>
      <c r="CN11" s="73"/>
      <c r="CO11" s="73"/>
      <c r="CP11" s="90"/>
      <c r="CQ11" s="68">
        <v>0</v>
      </c>
      <c r="CR11" s="69">
        <f t="shared" si="33"/>
        <v>318.85523330000001</v>
      </c>
      <c r="CS11" s="69">
        <f t="shared" si="34"/>
        <v>934.3098</v>
      </c>
      <c r="CT11" s="70">
        <f t="shared" si="0"/>
        <v>2942627.7758236197</v>
      </c>
      <c r="CU11" s="70">
        <f t="shared" si="1"/>
        <v>1937856.5157490801</v>
      </c>
      <c r="CV11" s="70">
        <f t="shared" si="35"/>
        <v>627.77582361968234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17.399999999999999</v>
      </c>
      <c r="E12" s="102">
        <v>74.900000000000006</v>
      </c>
      <c r="F12" s="98">
        <f t="shared" si="2"/>
        <v>10.44</v>
      </c>
      <c r="G12" s="98">
        <f t="shared" si="2"/>
        <v>44.940000000000005</v>
      </c>
      <c r="H12" s="98"/>
      <c r="I12" s="98"/>
      <c r="J12" s="98">
        <f t="shared" si="3"/>
        <v>0</v>
      </c>
      <c r="K12" s="98">
        <f t="shared" si="4"/>
        <v>0</v>
      </c>
      <c r="L12" s="103">
        <v>64.209999999999994</v>
      </c>
      <c r="M12" s="98">
        <f t="shared" si="5"/>
        <v>64.209999999999994</v>
      </c>
      <c r="N12" s="99"/>
      <c r="O12" s="99"/>
      <c r="P12" s="98">
        <f t="shared" si="6"/>
        <v>0</v>
      </c>
      <c r="Q12" s="98">
        <f t="shared" si="7"/>
        <v>0</v>
      </c>
      <c r="R12" s="103">
        <v>47.94</v>
      </c>
      <c r="S12" s="98">
        <f t="shared" si="8"/>
        <v>54.651599999999995</v>
      </c>
      <c r="T12" s="103">
        <v>15.59</v>
      </c>
      <c r="U12" s="98">
        <v>23.76</v>
      </c>
      <c r="V12" s="98">
        <f t="shared" si="9"/>
        <v>17.616699999999998</v>
      </c>
      <c r="W12" s="98">
        <f t="shared" si="10"/>
        <v>27.086400000000001</v>
      </c>
      <c r="X12" s="120">
        <v>120</v>
      </c>
      <c r="Y12" s="120">
        <v>662</v>
      </c>
      <c r="Z12" s="119"/>
      <c r="AA12" s="121">
        <f t="shared" si="11"/>
        <v>90</v>
      </c>
      <c r="AB12" s="121">
        <f t="shared" si="12"/>
        <v>496.5</v>
      </c>
      <c r="AC12" s="119"/>
      <c r="AD12" s="119"/>
      <c r="AE12" s="121">
        <f t="shared" si="13"/>
        <v>0</v>
      </c>
      <c r="AF12" s="121">
        <f t="shared" si="13"/>
        <v>0</v>
      </c>
      <c r="AG12" s="98"/>
      <c r="AH12" s="98"/>
      <c r="AI12" s="98">
        <f t="shared" si="14"/>
        <v>0</v>
      </c>
      <c r="AJ12" s="98">
        <f t="shared" si="14"/>
        <v>0</v>
      </c>
      <c r="AK12" s="103">
        <v>9.5500000000000007</v>
      </c>
      <c r="AL12" s="98">
        <v>7.56</v>
      </c>
      <c r="AM12" s="98">
        <f t="shared" si="15"/>
        <v>10.791499999999999</v>
      </c>
      <c r="AN12" s="98">
        <f t="shared" si="16"/>
        <v>8.6183999999999994</v>
      </c>
      <c r="AO12" s="98"/>
      <c r="AP12" s="98"/>
      <c r="AQ12" s="131"/>
      <c r="AR12" s="131">
        <v>0</v>
      </c>
      <c r="AS12" s="99"/>
      <c r="AT12" s="98">
        <f t="shared" si="17"/>
        <v>0</v>
      </c>
      <c r="AU12" s="99">
        <v>37.6</v>
      </c>
      <c r="AV12" s="149">
        <f>AU12*$C$3</f>
        <v>42.863999999999997</v>
      </c>
      <c r="AW12" s="98">
        <v>153.82</v>
      </c>
      <c r="AX12" s="98">
        <v>81.239999999999995</v>
      </c>
      <c r="AY12" s="99"/>
      <c r="AZ12" s="98">
        <f t="shared" si="19"/>
        <v>0</v>
      </c>
      <c r="BA12" s="99"/>
      <c r="BB12" s="99"/>
      <c r="BC12" s="99"/>
      <c r="BD12" s="99"/>
      <c r="BE12" s="98">
        <f t="shared" si="20"/>
        <v>0</v>
      </c>
      <c r="BF12" s="98">
        <f t="shared" si="21"/>
        <v>0</v>
      </c>
      <c r="BG12" s="98">
        <v>32.5</v>
      </c>
      <c r="BH12" s="98">
        <v>3.15</v>
      </c>
      <c r="BI12" s="98">
        <f t="shared" si="22"/>
        <v>37.049999999999997</v>
      </c>
      <c r="BJ12" s="98">
        <f t="shared" si="23"/>
        <v>3.5909999999999997</v>
      </c>
      <c r="BK12" s="99"/>
      <c r="BL12" s="99"/>
      <c r="BM12" s="98"/>
      <c r="BN12" s="98">
        <f t="shared" si="24"/>
        <v>0</v>
      </c>
      <c r="BO12" s="105">
        <v>25.28</v>
      </c>
      <c r="BP12" s="149">
        <f t="shared" si="25"/>
        <v>28.819199999999999</v>
      </c>
      <c r="BQ12" s="113"/>
      <c r="BR12" s="113"/>
      <c r="BS12" s="104">
        <f t="shared" si="26"/>
        <v>0</v>
      </c>
      <c r="BT12" s="104">
        <f t="shared" si="27"/>
        <v>0</v>
      </c>
      <c r="BU12" s="105">
        <v>0.62</v>
      </c>
      <c r="BV12" s="105">
        <v>0.62</v>
      </c>
      <c r="BW12" s="142">
        <f t="shared" si="28"/>
        <v>0.81426664599999998</v>
      </c>
      <c r="BX12" s="142">
        <f t="shared" si="29"/>
        <v>0.81220000000000003</v>
      </c>
      <c r="BY12" s="111"/>
      <c r="BZ12" s="111"/>
      <c r="CA12" s="142">
        <f t="shared" si="30"/>
        <v>0</v>
      </c>
      <c r="CB12" s="142">
        <f t="shared" si="30"/>
        <v>0</v>
      </c>
      <c r="CC12" s="109"/>
      <c r="CD12" s="109"/>
      <c r="CE12" s="98">
        <f t="shared" si="31"/>
        <v>0</v>
      </c>
      <c r="CF12" s="107">
        <f t="shared" si="31"/>
        <v>0</v>
      </c>
      <c r="CG12" s="89"/>
      <c r="CH12" s="65">
        <f t="shared" si="32"/>
        <v>2692000</v>
      </c>
      <c r="CI12" s="73"/>
      <c r="CJ12" s="73"/>
      <c r="CK12" s="66">
        <v>800000</v>
      </c>
      <c r="CL12" s="73"/>
      <c r="CM12" s="66">
        <v>1892000</v>
      </c>
      <c r="CN12" s="73"/>
      <c r="CO12" s="73"/>
      <c r="CP12" s="90"/>
      <c r="CQ12" s="68">
        <v>0</v>
      </c>
      <c r="CR12" s="69">
        <f t="shared" si="33"/>
        <v>283.48246664599998</v>
      </c>
      <c r="CS12" s="69">
        <f t="shared" si="34"/>
        <v>886.79179999999997</v>
      </c>
      <c r="CT12" s="70">
        <f t="shared" si="0"/>
        <v>2691317.2080126442</v>
      </c>
      <c r="CU12" s="70">
        <f t="shared" si="1"/>
        <v>1790783.8625084299</v>
      </c>
      <c r="CV12" s="70">
        <f t="shared" si="35"/>
        <v>-682.79198735579848</v>
      </c>
      <c r="CW12" s="67" t="s">
        <v>135</v>
      </c>
      <c r="CX12" s="116">
        <v>250000</v>
      </c>
    </row>
    <row r="13" spans="1:102">
      <c r="A13" s="18"/>
      <c r="B13" s="94" t="s">
        <v>142</v>
      </c>
      <c r="C13" s="92" t="s">
        <v>143</v>
      </c>
      <c r="D13" s="102">
        <v>2.6</v>
      </c>
      <c r="E13" s="102">
        <v>0.1</v>
      </c>
      <c r="F13" s="98">
        <f t="shared" si="2"/>
        <v>1.56</v>
      </c>
      <c r="G13" s="98">
        <f t="shared" si="2"/>
        <v>0.06</v>
      </c>
      <c r="H13" s="119">
        <v>30</v>
      </c>
      <c r="I13" s="119"/>
      <c r="J13" s="98">
        <f t="shared" si="3"/>
        <v>26.442</v>
      </c>
      <c r="K13" s="98">
        <f t="shared" si="4"/>
        <v>0</v>
      </c>
      <c r="L13" s="103">
        <v>11.44</v>
      </c>
      <c r="M13" s="98">
        <f t="shared" si="5"/>
        <v>11.44</v>
      </c>
      <c r="N13" s="98">
        <v>80.319999999999993</v>
      </c>
      <c r="O13" s="98">
        <v>1.2</v>
      </c>
      <c r="P13" s="98">
        <f t="shared" si="6"/>
        <v>90.761599999999987</v>
      </c>
      <c r="Q13" s="98">
        <f t="shared" si="7"/>
        <v>1.3679999999999999</v>
      </c>
      <c r="R13" s="103">
        <v>30.45</v>
      </c>
      <c r="S13" s="98">
        <f t="shared" si="8"/>
        <v>34.712999999999994</v>
      </c>
      <c r="T13" s="103">
        <v>8.6199999999999992</v>
      </c>
      <c r="U13" s="98">
        <v>0.42</v>
      </c>
      <c r="V13" s="98">
        <f t="shared" si="9"/>
        <v>9.7405999999999988</v>
      </c>
      <c r="W13" s="98">
        <f t="shared" si="10"/>
        <v>0.47879999999999995</v>
      </c>
      <c r="X13" s="120">
        <v>0</v>
      </c>
      <c r="Y13" s="120">
        <v>0</v>
      </c>
      <c r="Z13" s="110"/>
      <c r="AA13" s="121">
        <f t="shared" si="11"/>
        <v>0</v>
      </c>
      <c r="AB13" s="121">
        <f t="shared" si="12"/>
        <v>0</v>
      </c>
      <c r="AC13" s="110"/>
      <c r="AD13" s="110"/>
      <c r="AE13" s="121">
        <f t="shared" si="13"/>
        <v>0</v>
      </c>
      <c r="AF13" s="121">
        <f t="shared" si="13"/>
        <v>0</v>
      </c>
      <c r="AG13" s="98"/>
      <c r="AH13" s="98"/>
      <c r="AI13" s="98">
        <f t="shared" si="14"/>
        <v>0</v>
      </c>
      <c r="AJ13" s="98">
        <f t="shared" si="14"/>
        <v>0</v>
      </c>
      <c r="AK13" s="103">
        <v>69.28</v>
      </c>
      <c r="AL13" s="98">
        <v>2.95</v>
      </c>
      <c r="AM13" s="98">
        <f t="shared" si="15"/>
        <v>78.2864</v>
      </c>
      <c r="AN13" s="98">
        <f t="shared" si="16"/>
        <v>3.363</v>
      </c>
      <c r="AO13" s="98"/>
      <c r="AP13" s="98"/>
      <c r="AQ13" s="131">
        <v>39.590000000000003</v>
      </c>
      <c r="AR13" s="131">
        <v>0</v>
      </c>
      <c r="AS13" s="99"/>
      <c r="AT13" s="98">
        <f t="shared" si="17"/>
        <v>0</v>
      </c>
      <c r="AU13" s="99">
        <v>39.5</v>
      </c>
      <c r="AV13" s="149">
        <f t="shared" si="18"/>
        <v>45.029999999999994</v>
      </c>
      <c r="AW13" s="98">
        <v>108.48</v>
      </c>
      <c r="AX13" s="98">
        <v>0</v>
      </c>
      <c r="AY13" s="101"/>
      <c r="AZ13" s="98">
        <f t="shared" si="19"/>
        <v>0</v>
      </c>
      <c r="BA13" s="98"/>
      <c r="BB13" s="98"/>
      <c r="BC13" s="99"/>
      <c r="BD13" s="99"/>
      <c r="BE13" s="98">
        <f t="shared" si="20"/>
        <v>0</v>
      </c>
      <c r="BF13" s="98">
        <f t="shared" si="21"/>
        <v>0</v>
      </c>
      <c r="BG13" s="98">
        <v>22.73</v>
      </c>
      <c r="BH13" s="98">
        <v>0</v>
      </c>
      <c r="BI13" s="98">
        <f t="shared" si="22"/>
        <v>25.912199999999999</v>
      </c>
      <c r="BJ13" s="98">
        <f t="shared" si="23"/>
        <v>0</v>
      </c>
      <c r="BK13" s="100"/>
      <c r="BL13" s="100"/>
      <c r="BM13" s="98"/>
      <c r="BN13" s="98">
        <f t="shared" si="24"/>
        <v>0</v>
      </c>
      <c r="BO13" s="105">
        <v>23.19</v>
      </c>
      <c r="BP13" s="149">
        <f t="shared" si="25"/>
        <v>26.436599999999999</v>
      </c>
      <c r="BQ13" s="112"/>
      <c r="BR13" s="112"/>
      <c r="BS13" s="104">
        <f t="shared" si="26"/>
        <v>0</v>
      </c>
      <c r="BT13" s="104">
        <f t="shared" si="27"/>
        <v>0</v>
      </c>
      <c r="BU13" s="105">
        <v>0</v>
      </c>
      <c r="BV13" s="105">
        <v>0</v>
      </c>
      <c r="BW13" s="142">
        <f t="shared" si="28"/>
        <v>0</v>
      </c>
      <c r="BX13" s="142">
        <f t="shared" si="29"/>
        <v>0</v>
      </c>
      <c r="BY13" s="110"/>
      <c r="BZ13" s="110"/>
      <c r="CA13" s="142">
        <f t="shared" si="30"/>
        <v>0</v>
      </c>
      <c r="CB13" s="142">
        <f t="shared" si="30"/>
        <v>0</v>
      </c>
      <c r="CC13" s="106"/>
      <c r="CD13" s="106"/>
      <c r="CE13" s="98">
        <f t="shared" si="31"/>
        <v>0</v>
      </c>
      <c r="CF13" s="107">
        <f t="shared" si="31"/>
        <v>0</v>
      </c>
      <c r="CG13" s="81"/>
      <c r="CH13" s="65">
        <f t="shared" si="32"/>
        <v>1154000</v>
      </c>
      <c r="CI13" s="74"/>
      <c r="CJ13" s="74"/>
      <c r="CK13" s="54">
        <v>1140000</v>
      </c>
      <c r="CL13" s="74"/>
      <c r="CM13" s="54">
        <v>14000</v>
      </c>
      <c r="CN13" s="74"/>
      <c r="CO13" s="74"/>
      <c r="CP13" s="90"/>
      <c r="CQ13" s="68">
        <v>0</v>
      </c>
      <c r="CR13" s="69">
        <f t="shared" si="33"/>
        <v>354.86059999999998</v>
      </c>
      <c r="CS13" s="69">
        <f t="shared" si="34"/>
        <v>148.80159999999998</v>
      </c>
      <c r="CT13" s="70">
        <f t="shared" si="0"/>
        <v>1154002.2841199997</v>
      </c>
      <c r="CU13" s="70">
        <f t="shared" si="1"/>
        <v>769334.85607999994</v>
      </c>
      <c r="CV13" s="70">
        <f t="shared" si="35"/>
        <v>2.2841199997346848</v>
      </c>
      <c r="CW13" s="55" t="s">
        <v>141</v>
      </c>
      <c r="CX13" s="118">
        <v>140000</v>
      </c>
    </row>
    <row r="14" spans="1:102">
      <c r="A14" s="18"/>
      <c r="B14" s="94" t="s">
        <v>145</v>
      </c>
      <c r="C14" s="92" t="s">
        <v>146</v>
      </c>
      <c r="D14" s="102">
        <v>80.900000000000006</v>
      </c>
      <c r="E14" s="102">
        <v>51</v>
      </c>
      <c r="F14" s="98">
        <f t="shared" si="2"/>
        <v>48.54</v>
      </c>
      <c r="G14" s="98">
        <f t="shared" si="2"/>
        <v>30.599999999999998</v>
      </c>
      <c r="H14" s="110"/>
      <c r="I14" s="110"/>
      <c r="J14" s="98">
        <f t="shared" si="3"/>
        <v>0</v>
      </c>
      <c r="K14" s="98">
        <f t="shared" si="4"/>
        <v>0</v>
      </c>
      <c r="L14" s="103">
        <v>50.63</v>
      </c>
      <c r="M14" s="98">
        <f t="shared" si="5"/>
        <v>50.63</v>
      </c>
      <c r="N14" s="98"/>
      <c r="O14" s="98"/>
      <c r="P14" s="98">
        <f t="shared" si="6"/>
        <v>0</v>
      </c>
      <c r="Q14" s="98">
        <f t="shared" si="7"/>
        <v>0</v>
      </c>
      <c r="R14" s="103">
        <v>125.77</v>
      </c>
      <c r="S14" s="98">
        <f t="shared" si="8"/>
        <v>143.37779999999998</v>
      </c>
      <c r="T14" s="103">
        <v>36.24</v>
      </c>
      <c r="U14" s="98">
        <v>16.309999999999999</v>
      </c>
      <c r="V14" s="98">
        <f t="shared" si="9"/>
        <v>40.9512</v>
      </c>
      <c r="W14" s="98">
        <f t="shared" si="10"/>
        <v>18.593399999999995</v>
      </c>
      <c r="X14" s="120">
        <v>0</v>
      </c>
      <c r="Y14" s="120">
        <v>0</v>
      </c>
      <c r="Z14" s="110"/>
      <c r="AA14" s="121">
        <f t="shared" si="11"/>
        <v>0</v>
      </c>
      <c r="AB14" s="121">
        <f t="shared" si="12"/>
        <v>0</v>
      </c>
      <c r="AC14" s="110"/>
      <c r="AD14" s="110"/>
      <c r="AE14" s="121">
        <f t="shared" si="13"/>
        <v>0</v>
      </c>
      <c r="AF14" s="121">
        <f t="shared" si="13"/>
        <v>0</v>
      </c>
      <c r="AG14" s="98"/>
      <c r="AH14" s="98"/>
      <c r="AI14" s="98">
        <f t="shared" si="14"/>
        <v>0</v>
      </c>
      <c r="AJ14" s="98">
        <f t="shared" si="14"/>
        <v>0</v>
      </c>
      <c r="AK14" s="103">
        <v>122.87</v>
      </c>
      <c r="AL14" s="98">
        <v>68.64</v>
      </c>
      <c r="AM14" s="98">
        <f t="shared" si="15"/>
        <v>138.84309999999999</v>
      </c>
      <c r="AN14" s="98">
        <f t="shared" si="16"/>
        <v>78.249600000000001</v>
      </c>
      <c r="AO14" s="98"/>
      <c r="AP14" s="98"/>
      <c r="AQ14" s="131">
        <v>0</v>
      </c>
      <c r="AR14" s="131">
        <v>0</v>
      </c>
      <c r="AS14" s="99"/>
      <c r="AT14" s="98">
        <f t="shared" si="17"/>
        <v>0</v>
      </c>
      <c r="AU14" s="99">
        <v>3.8</v>
      </c>
      <c r="AV14" s="149">
        <f t="shared" si="18"/>
        <v>4.3319999999999999</v>
      </c>
      <c r="AW14" s="98">
        <v>181.89</v>
      </c>
      <c r="AX14" s="98">
        <v>46.57</v>
      </c>
      <c r="AY14" s="101"/>
      <c r="AZ14" s="98">
        <f t="shared" si="19"/>
        <v>0</v>
      </c>
      <c r="BA14" s="98"/>
      <c r="BB14" s="98"/>
      <c r="BC14" s="99"/>
      <c r="BD14" s="99"/>
      <c r="BE14" s="98">
        <f t="shared" si="20"/>
        <v>0</v>
      </c>
      <c r="BF14" s="98">
        <f t="shared" si="21"/>
        <v>0</v>
      </c>
      <c r="BG14" s="98">
        <v>133.78</v>
      </c>
      <c r="BH14" s="98">
        <v>41.39</v>
      </c>
      <c r="BI14" s="98">
        <f t="shared" si="22"/>
        <v>152.50919999999999</v>
      </c>
      <c r="BJ14" s="98">
        <f t="shared" si="23"/>
        <v>47.184599999999996</v>
      </c>
      <c r="BK14" s="100"/>
      <c r="BL14" s="100"/>
      <c r="BM14" s="98"/>
      <c r="BN14" s="98">
        <f t="shared" si="24"/>
        <v>0</v>
      </c>
      <c r="BO14" s="105">
        <v>287.94</v>
      </c>
      <c r="BP14" s="149">
        <f t="shared" si="25"/>
        <v>328.2516</v>
      </c>
      <c r="BQ14" s="112"/>
      <c r="BR14" s="112"/>
      <c r="BS14" s="104">
        <f t="shared" si="26"/>
        <v>0</v>
      </c>
      <c r="BT14" s="104">
        <f t="shared" si="27"/>
        <v>0</v>
      </c>
      <c r="BU14" s="105">
        <v>0</v>
      </c>
      <c r="BV14" s="105">
        <v>0</v>
      </c>
      <c r="BW14" s="142">
        <f t="shared" si="28"/>
        <v>0</v>
      </c>
      <c r="BX14" s="142">
        <f t="shared" si="29"/>
        <v>0</v>
      </c>
      <c r="BY14" s="110"/>
      <c r="BZ14" s="110"/>
      <c r="CA14" s="142">
        <f t="shared" si="30"/>
        <v>0</v>
      </c>
      <c r="CB14" s="142">
        <f t="shared" si="30"/>
        <v>0</v>
      </c>
      <c r="CC14" s="106"/>
      <c r="CD14" s="106"/>
      <c r="CE14" s="98">
        <f t="shared" si="31"/>
        <v>0</v>
      </c>
      <c r="CF14" s="107">
        <f t="shared" si="31"/>
        <v>0</v>
      </c>
      <c r="CG14" s="81"/>
      <c r="CH14" s="65">
        <f t="shared" si="32"/>
        <v>3030000</v>
      </c>
      <c r="CI14" s="74"/>
      <c r="CJ14" s="74"/>
      <c r="CK14" s="54">
        <v>2240000</v>
      </c>
      <c r="CL14" s="74"/>
      <c r="CM14" s="54">
        <v>790000</v>
      </c>
      <c r="CN14" s="74"/>
      <c r="CO14" s="74"/>
      <c r="CP14" s="90"/>
      <c r="CQ14" s="68">
        <v>0</v>
      </c>
      <c r="CR14" s="69">
        <f t="shared" si="33"/>
        <v>410.22429999999997</v>
      </c>
      <c r="CS14" s="69">
        <f t="shared" si="34"/>
        <v>853.11359999999991</v>
      </c>
      <c r="CT14" s="70">
        <f t="shared" si="0"/>
        <v>3029413.6979999994</v>
      </c>
      <c r="CU14" s="70">
        <f t="shared" si="1"/>
        <v>1974571.4312999998</v>
      </c>
      <c r="CV14" s="70">
        <f t="shared" si="35"/>
        <v>-586.30200000060722</v>
      </c>
      <c r="CW14" s="55" t="s">
        <v>144</v>
      </c>
      <c r="CX14" s="118">
        <f>600000+100000</f>
        <v>700000</v>
      </c>
    </row>
    <row r="15" spans="1:102">
      <c r="A15" s="132"/>
      <c r="B15" s="94" t="s">
        <v>153</v>
      </c>
      <c r="C15" s="92" t="s">
        <v>154</v>
      </c>
      <c r="D15" s="102">
        <v>16.5</v>
      </c>
      <c r="E15" s="102">
        <v>8.4</v>
      </c>
      <c r="F15" s="98">
        <f t="shared" si="2"/>
        <v>9.9</v>
      </c>
      <c r="G15" s="98">
        <f t="shared" si="2"/>
        <v>5.04</v>
      </c>
      <c r="H15" s="119"/>
      <c r="I15" s="119"/>
      <c r="J15" s="98">
        <f t="shared" si="3"/>
        <v>0</v>
      </c>
      <c r="K15" s="98">
        <f t="shared" si="4"/>
        <v>0</v>
      </c>
      <c r="L15" s="103"/>
      <c r="M15" s="98">
        <f t="shared" si="5"/>
        <v>0</v>
      </c>
      <c r="N15" s="98">
        <v>36.96</v>
      </c>
      <c r="O15" s="98">
        <v>92.3</v>
      </c>
      <c r="P15" s="98">
        <f t="shared" si="6"/>
        <v>41.764799999999994</v>
      </c>
      <c r="Q15" s="98">
        <f t="shared" si="7"/>
        <v>105.22199999999999</v>
      </c>
      <c r="R15" s="103">
        <v>150.63999999999999</v>
      </c>
      <c r="S15" s="98">
        <f t="shared" si="8"/>
        <v>171.72959999999998</v>
      </c>
      <c r="T15" s="103">
        <v>24.02</v>
      </c>
      <c r="U15" s="98">
        <v>8.14</v>
      </c>
      <c r="V15" s="98">
        <f t="shared" si="9"/>
        <v>27.142599999999998</v>
      </c>
      <c r="W15" s="98">
        <f t="shared" si="10"/>
        <v>9.2796000000000003</v>
      </c>
      <c r="X15" s="120">
        <v>0</v>
      </c>
      <c r="Y15" s="120">
        <v>48</v>
      </c>
      <c r="Z15" s="110"/>
      <c r="AA15" s="121">
        <f t="shared" si="11"/>
        <v>0</v>
      </c>
      <c r="AB15" s="121">
        <f t="shared" si="12"/>
        <v>36</v>
      </c>
      <c r="AC15" s="110"/>
      <c r="AD15" s="110"/>
      <c r="AE15" s="121">
        <f t="shared" si="13"/>
        <v>0</v>
      </c>
      <c r="AF15" s="121">
        <f t="shared" si="13"/>
        <v>0</v>
      </c>
      <c r="AG15" s="98"/>
      <c r="AH15" s="98"/>
      <c r="AI15" s="98">
        <f t="shared" si="14"/>
        <v>0</v>
      </c>
      <c r="AJ15" s="98">
        <f t="shared" si="14"/>
        <v>0</v>
      </c>
      <c r="AK15" s="103">
        <v>118.88</v>
      </c>
      <c r="AL15" s="98">
        <v>63.26</v>
      </c>
      <c r="AM15" s="98">
        <f t="shared" si="15"/>
        <v>134.33439999999999</v>
      </c>
      <c r="AN15" s="98">
        <f t="shared" si="16"/>
        <v>72.116399999999985</v>
      </c>
      <c r="AO15" s="98"/>
      <c r="AP15" s="98"/>
      <c r="AQ15" s="131"/>
      <c r="AR15" s="131"/>
      <c r="AS15" s="99"/>
      <c r="AT15" s="98">
        <f t="shared" si="17"/>
        <v>0</v>
      </c>
      <c r="AU15" s="99"/>
      <c r="AV15" s="149">
        <f t="shared" si="18"/>
        <v>0</v>
      </c>
      <c r="AW15" s="98"/>
      <c r="AX15" s="98"/>
      <c r="AY15" s="101"/>
      <c r="AZ15" s="98">
        <f t="shared" si="19"/>
        <v>0</v>
      </c>
      <c r="BA15" s="98"/>
      <c r="BB15" s="98"/>
      <c r="BC15" s="99"/>
      <c r="BD15" s="99"/>
      <c r="BE15" s="98">
        <f t="shared" si="20"/>
        <v>0</v>
      </c>
      <c r="BF15" s="98">
        <f t="shared" si="21"/>
        <v>0</v>
      </c>
      <c r="BG15" s="98">
        <v>135.41</v>
      </c>
      <c r="BH15" s="98">
        <v>0</v>
      </c>
      <c r="BI15" s="98">
        <f t="shared" si="22"/>
        <v>154.36739999999998</v>
      </c>
      <c r="BJ15" s="98">
        <f t="shared" si="23"/>
        <v>0</v>
      </c>
      <c r="BK15" s="100"/>
      <c r="BL15" s="100"/>
      <c r="BM15" s="98">
        <v>100.22</v>
      </c>
      <c r="BN15" s="98">
        <f t="shared" si="24"/>
        <v>114.25079999999998</v>
      </c>
      <c r="BO15" s="105">
        <v>100.74</v>
      </c>
      <c r="BP15" s="149">
        <f t="shared" si="25"/>
        <v>114.84359999999998</v>
      </c>
      <c r="BQ15" s="112"/>
      <c r="BR15" s="112"/>
      <c r="BS15" s="104">
        <f t="shared" si="26"/>
        <v>0</v>
      </c>
      <c r="BT15" s="104">
        <f t="shared" si="27"/>
        <v>0</v>
      </c>
      <c r="BU15" s="105">
        <v>2</v>
      </c>
      <c r="BV15" s="105">
        <v>0</v>
      </c>
      <c r="BW15" s="142">
        <f t="shared" si="28"/>
        <v>2.6266666000000001</v>
      </c>
      <c r="BX15" s="142">
        <f t="shared" si="29"/>
        <v>0</v>
      </c>
      <c r="BY15" s="110">
        <v>71.92</v>
      </c>
      <c r="BZ15" s="110">
        <v>13.34</v>
      </c>
      <c r="CA15" s="142">
        <f t="shared" si="30"/>
        <v>35.96</v>
      </c>
      <c r="CB15" s="142">
        <f t="shared" si="30"/>
        <v>6.67</v>
      </c>
      <c r="CC15" s="106">
        <f>992+1333</f>
        <v>2325</v>
      </c>
      <c r="CD15" s="106">
        <f>428+1412</f>
        <v>1840</v>
      </c>
      <c r="CE15" s="98">
        <f t="shared" si="31"/>
        <v>116.25</v>
      </c>
      <c r="CF15" s="107">
        <f t="shared" si="31"/>
        <v>92</v>
      </c>
      <c r="CG15" s="81"/>
      <c r="CH15" s="65">
        <f t="shared" si="32"/>
        <v>2864000</v>
      </c>
      <c r="CI15" s="74"/>
      <c r="CJ15" s="74"/>
      <c r="CK15" s="54">
        <v>1564000</v>
      </c>
      <c r="CL15" s="74"/>
      <c r="CM15" s="54">
        <v>1300000</v>
      </c>
      <c r="CN15" s="74"/>
      <c r="CO15" s="74"/>
      <c r="CP15" s="90"/>
      <c r="CQ15" s="68">
        <v>0</v>
      </c>
      <c r="CR15" s="69">
        <f t="shared" si="33"/>
        <v>367.97846659999999</v>
      </c>
      <c r="CS15" s="69">
        <f t="shared" si="34"/>
        <v>881.51939999999979</v>
      </c>
      <c r="CT15" s="70">
        <f t="shared" si="0"/>
        <v>2862570.4998872397</v>
      </c>
      <c r="CU15" s="70">
        <f t="shared" si="1"/>
        <v>1908380.3332581599</v>
      </c>
      <c r="CV15" s="70">
        <f t="shared" si="35"/>
        <v>-1429.5001127603464</v>
      </c>
      <c r="CW15" s="55" t="s">
        <v>147</v>
      </c>
      <c r="CX15" s="118">
        <v>320000</v>
      </c>
    </row>
    <row r="16" spans="1:102">
      <c r="A16" s="18"/>
      <c r="B16" s="94" t="s">
        <v>157</v>
      </c>
      <c r="C16" s="92" t="s">
        <v>158</v>
      </c>
      <c r="D16" s="102">
        <v>0</v>
      </c>
      <c r="E16" s="102">
        <v>0</v>
      </c>
      <c r="F16" s="98">
        <f t="shared" si="2"/>
        <v>0</v>
      </c>
      <c r="G16" s="98">
        <f t="shared" si="2"/>
        <v>0</v>
      </c>
      <c r="H16" s="110"/>
      <c r="I16" s="110"/>
      <c r="J16" s="98">
        <f t="shared" si="3"/>
        <v>0</v>
      </c>
      <c r="K16" s="98">
        <f t="shared" si="4"/>
        <v>0</v>
      </c>
      <c r="L16" s="103"/>
      <c r="M16" s="98">
        <f t="shared" si="5"/>
        <v>0</v>
      </c>
      <c r="N16" s="98"/>
      <c r="O16" s="98"/>
      <c r="P16" s="98">
        <f t="shared" si="6"/>
        <v>0</v>
      </c>
      <c r="Q16" s="98">
        <f t="shared" si="7"/>
        <v>0</v>
      </c>
      <c r="R16" s="103">
        <v>9.5299999999999994</v>
      </c>
      <c r="S16" s="98">
        <f t="shared" si="8"/>
        <v>10.864199999999999</v>
      </c>
      <c r="T16" s="103">
        <v>1.41</v>
      </c>
      <c r="U16" s="98">
        <v>0</v>
      </c>
      <c r="V16" s="98">
        <f t="shared" si="9"/>
        <v>1.5932999999999997</v>
      </c>
      <c r="W16" s="98">
        <f t="shared" si="10"/>
        <v>0</v>
      </c>
      <c r="X16" s="120">
        <v>0</v>
      </c>
      <c r="Y16" s="120">
        <v>0</v>
      </c>
      <c r="Z16" s="110"/>
      <c r="AA16" s="121">
        <f t="shared" si="11"/>
        <v>0</v>
      </c>
      <c r="AB16" s="121">
        <f t="shared" si="12"/>
        <v>0</v>
      </c>
      <c r="AC16" s="110"/>
      <c r="AD16" s="110"/>
      <c r="AE16" s="121">
        <f t="shared" si="13"/>
        <v>0</v>
      </c>
      <c r="AF16" s="121">
        <f t="shared" si="13"/>
        <v>0</v>
      </c>
      <c r="AG16" s="98">
        <v>0</v>
      </c>
      <c r="AH16" s="98">
        <v>0</v>
      </c>
      <c r="AI16" s="98">
        <f t="shared" si="14"/>
        <v>0</v>
      </c>
      <c r="AJ16" s="98">
        <f t="shared" si="14"/>
        <v>0</v>
      </c>
      <c r="AK16" s="103">
        <v>7.07</v>
      </c>
      <c r="AL16" s="98"/>
      <c r="AM16" s="98">
        <f t="shared" si="15"/>
        <v>7.9890999999999996</v>
      </c>
      <c r="AN16" s="98">
        <f t="shared" si="16"/>
        <v>0</v>
      </c>
      <c r="AO16" s="98"/>
      <c r="AP16" s="98"/>
      <c r="AQ16" s="131">
        <v>2.91</v>
      </c>
      <c r="AR16" s="131">
        <v>0</v>
      </c>
      <c r="AS16" s="99"/>
      <c r="AT16" s="98">
        <f t="shared" si="17"/>
        <v>0</v>
      </c>
      <c r="AU16" s="99"/>
      <c r="AV16" s="149">
        <f t="shared" si="18"/>
        <v>0</v>
      </c>
      <c r="AW16" s="98">
        <v>123.89</v>
      </c>
      <c r="AX16" s="98">
        <v>0</v>
      </c>
      <c r="AY16" s="101"/>
      <c r="AZ16" s="98">
        <f t="shared" si="19"/>
        <v>0</v>
      </c>
      <c r="BA16" s="98"/>
      <c r="BB16" s="98"/>
      <c r="BC16" s="99"/>
      <c r="BD16" s="99"/>
      <c r="BE16" s="98">
        <f t="shared" si="20"/>
        <v>0</v>
      </c>
      <c r="BF16" s="98">
        <f t="shared" si="21"/>
        <v>0</v>
      </c>
      <c r="BG16" s="99"/>
      <c r="BH16" s="99"/>
      <c r="BI16" s="98">
        <f t="shared" si="22"/>
        <v>0</v>
      </c>
      <c r="BJ16" s="98">
        <f t="shared" si="23"/>
        <v>0</v>
      </c>
      <c r="BK16" s="100"/>
      <c r="BL16" s="100"/>
      <c r="BM16" s="98"/>
      <c r="BN16" s="98">
        <f t="shared" si="24"/>
        <v>0</v>
      </c>
      <c r="BO16" s="105">
        <v>4.5599999999999996</v>
      </c>
      <c r="BP16" s="149">
        <f t="shared" si="25"/>
        <v>5.1983999999999995</v>
      </c>
      <c r="BQ16" s="112"/>
      <c r="BR16" s="112"/>
      <c r="BS16" s="104">
        <f t="shared" si="26"/>
        <v>0</v>
      </c>
      <c r="BT16" s="104">
        <f t="shared" si="27"/>
        <v>0</v>
      </c>
      <c r="BU16" s="105">
        <v>0</v>
      </c>
      <c r="BV16" s="105">
        <v>0</v>
      </c>
      <c r="BW16" s="142">
        <f t="shared" si="28"/>
        <v>0</v>
      </c>
      <c r="BX16" s="142">
        <f t="shared" si="29"/>
        <v>0</v>
      </c>
      <c r="BY16" s="110">
        <v>0</v>
      </c>
      <c r="BZ16" s="110">
        <v>0</v>
      </c>
      <c r="CA16" s="142">
        <f t="shared" si="30"/>
        <v>0</v>
      </c>
      <c r="CB16" s="142">
        <f t="shared" si="30"/>
        <v>0</v>
      </c>
      <c r="CC16" s="106"/>
      <c r="CD16" s="106"/>
      <c r="CE16" s="98">
        <f t="shared" si="31"/>
        <v>0</v>
      </c>
      <c r="CF16" s="107">
        <f t="shared" si="31"/>
        <v>0</v>
      </c>
      <c r="CG16" s="81"/>
      <c r="CH16" s="65">
        <f t="shared" si="32"/>
        <v>350000</v>
      </c>
      <c r="CI16" s="74"/>
      <c r="CJ16" s="74"/>
      <c r="CK16" s="54">
        <v>350000</v>
      </c>
      <c r="CL16" s="74"/>
      <c r="CM16" s="54"/>
      <c r="CN16" s="74"/>
      <c r="CO16" s="74"/>
      <c r="CP16" s="90"/>
      <c r="CQ16" s="68">
        <v>0</v>
      </c>
      <c r="CR16" s="69">
        <f t="shared" si="33"/>
        <v>136.38239999999999</v>
      </c>
      <c r="CS16" s="69">
        <f t="shared" si="34"/>
        <v>16.062599999999996</v>
      </c>
      <c r="CT16" s="70">
        <f t="shared" si="0"/>
        <v>349302.83544</v>
      </c>
      <c r="CU16" s="70">
        <f t="shared" si="1"/>
        <v>232868.55696000002</v>
      </c>
      <c r="CV16" s="70">
        <f t="shared" si="35"/>
        <v>-697.16456000000471</v>
      </c>
      <c r="CW16" s="55"/>
      <c r="CX16" s="118"/>
    </row>
    <row r="17" spans="1:102">
      <c r="A17" s="18" t="s">
        <v>166</v>
      </c>
      <c r="B17" s="94" t="s">
        <v>167</v>
      </c>
      <c r="C17" s="92" t="s">
        <v>168</v>
      </c>
      <c r="D17" s="102">
        <v>0</v>
      </c>
      <c r="E17" s="102">
        <v>0</v>
      </c>
      <c r="F17" s="98">
        <f t="shared" si="2"/>
        <v>0</v>
      </c>
      <c r="G17" s="98">
        <f t="shared" si="2"/>
        <v>0</v>
      </c>
      <c r="H17" s="110"/>
      <c r="I17" s="110"/>
      <c r="J17" s="98">
        <f t="shared" si="3"/>
        <v>0</v>
      </c>
      <c r="K17" s="98">
        <f t="shared" si="4"/>
        <v>0</v>
      </c>
      <c r="L17" s="103">
        <v>8.4600000000000009</v>
      </c>
      <c r="M17" s="98">
        <f t="shared" si="5"/>
        <v>8.4600000000000009</v>
      </c>
      <c r="N17" s="98"/>
      <c r="O17" s="98"/>
      <c r="P17" s="98">
        <f t="shared" si="6"/>
        <v>0</v>
      </c>
      <c r="Q17" s="98">
        <f t="shared" si="7"/>
        <v>0</v>
      </c>
      <c r="R17" s="103">
        <v>7.72</v>
      </c>
      <c r="S17" s="98">
        <f t="shared" si="8"/>
        <v>8.8007999999999988</v>
      </c>
      <c r="T17" s="103">
        <v>5.26</v>
      </c>
      <c r="U17" s="98">
        <v>0</v>
      </c>
      <c r="V17" s="98">
        <f t="shared" si="9"/>
        <v>5.9437999999999995</v>
      </c>
      <c r="W17" s="98">
        <f t="shared" si="10"/>
        <v>0</v>
      </c>
      <c r="X17" s="120">
        <v>0</v>
      </c>
      <c r="Y17" s="120">
        <v>0</v>
      </c>
      <c r="Z17" s="110"/>
      <c r="AA17" s="121">
        <f t="shared" si="11"/>
        <v>0</v>
      </c>
      <c r="AB17" s="121">
        <f t="shared" si="12"/>
        <v>0</v>
      </c>
      <c r="AC17" s="110"/>
      <c r="AD17" s="110"/>
      <c r="AE17" s="121">
        <f t="shared" si="13"/>
        <v>0</v>
      </c>
      <c r="AF17" s="121">
        <f t="shared" si="13"/>
        <v>0</v>
      </c>
      <c r="AG17" s="98">
        <v>0</v>
      </c>
      <c r="AH17" s="98">
        <v>0</v>
      </c>
      <c r="AI17" s="98">
        <f t="shared" si="14"/>
        <v>0</v>
      </c>
      <c r="AJ17" s="98">
        <f t="shared" si="14"/>
        <v>0</v>
      </c>
      <c r="AK17" s="103">
        <v>32.29</v>
      </c>
      <c r="AL17" s="98">
        <v>0.39</v>
      </c>
      <c r="AM17" s="98">
        <f t="shared" si="15"/>
        <v>36.487699999999997</v>
      </c>
      <c r="AN17" s="98">
        <f t="shared" si="16"/>
        <v>0.4446</v>
      </c>
      <c r="AO17" s="98"/>
      <c r="AP17" s="98"/>
      <c r="AQ17" s="131"/>
      <c r="AR17" s="131"/>
      <c r="AS17" s="99"/>
      <c r="AT17" s="98">
        <f t="shared" si="17"/>
        <v>0</v>
      </c>
      <c r="AU17" s="99"/>
      <c r="AV17" s="149">
        <f t="shared" si="18"/>
        <v>0</v>
      </c>
      <c r="AW17" s="98">
        <v>14.22</v>
      </c>
      <c r="AX17" s="98">
        <v>0</v>
      </c>
      <c r="AY17" s="101"/>
      <c r="AZ17" s="98">
        <f t="shared" si="19"/>
        <v>0</v>
      </c>
      <c r="BA17" s="98"/>
      <c r="BB17" s="98"/>
      <c r="BC17" s="99">
        <v>0</v>
      </c>
      <c r="BD17" s="99">
        <v>0</v>
      </c>
      <c r="BE17" s="98">
        <f t="shared" si="20"/>
        <v>0</v>
      </c>
      <c r="BF17" s="98">
        <f t="shared" si="21"/>
        <v>0</v>
      </c>
      <c r="BG17" s="99">
        <v>4.62</v>
      </c>
      <c r="BH17" s="99">
        <v>0</v>
      </c>
      <c r="BI17" s="98">
        <f t="shared" si="22"/>
        <v>5.2667999999999999</v>
      </c>
      <c r="BJ17" s="98">
        <f t="shared" si="23"/>
        <v>0</v>
      </c>
      <c r="BK17" s="100"/>
      <c r="BL17" s="100"/>
      <c r="BM17" s="98"/>
      <c r="BN17" s="98">
        <f t="shared" si="24"/>
        <v>0</v>
      </c>
      <c r="BO17" s="105">
        <v>2.0299999999999998</v>
      </c>
      <c r="BP17" s="149">
        <f t="shared" si="25"/>
        <v>2.3141999999999996</v>
      </c>
      <c r="BQ17" s="112"/>
      <c r="BR17" s="112"/>
      <c r="BS17" s="104">
        <f t="shared" si="26"/>
        <v>0</v>
      </c>
      <c r="BT17" s="104">
        <f t="shared" si="27"/>
        <v>0</v>
      </c>
      <c r="BU17" s="105">
        <v>0</v>
      </c>
      <c r="BV17" s="105">
        <v>0</v>
      </c>
      <c r="BW17" s="142">
        <f t="shared" si="28"/>
        <v>0</v>
      </c>
      <c r="BX17" s="142">
        <f t="shared" si="29"/>
        <v>0</v>
      </c>
      <c r="BY17" s="110"/>
      <c r="BZ17" s="110"/>
      <c r="CA17" s="142">
        <f t="shared" si="30"/>
        <v>0</v>
      </c>
      <c r="CB17" s="142">
        <f t="shared" si="30"/>
        <v>0</v>
      </c>
      <c r="CC17" s="106"/>
      <c r="CD17" s="106"/>
      <c r="CE17" s="98">
        <f t="shared" si="31"/>
        <v>0</v>
      </c>
      <c r="CF17" s="107">
        <f t="shared" si="31"/>
        <v>0</v>
      </c>
      <c r="CG17" s="81"/>
      <c r="CH17" s="65">
        <f t="shared" si="32"/>
        <v>190000</v>
      </c>
      <c r="CI17" s="74"/>
      <c r="CJ17" s="74"/>
      <c r="CK17" s="54">
        <v>190000</v>
      </c>
      <c r="CL17" s="74"/>
      <c r="CM17" s="54"/>
      <c r="CN17" s="74"/>
      <c r="CO17" s="74"/>
      <c r="CP17" s="90"/>
      <c r="CQ17" s="68">
        <v>0</v>
      </c>
      <c r="CR17" s="69">
        <f t="shared" si="33"/>
        <v>56.651499999999999</v>
      </c>
      <c r="CS17" s="69">
        <f t="shared" si="34"/>
        <v>25.286399999999997</v>
      </c>
      <c r="CT17" s="70">
        <f t="shared" si="0"/>
        <v>187737.33221999998</v>
      </c>
      <c r="CU17" s="70">
        <f t="shared" si="1"/>
        <v>125158.22148000001</v>
      </c>
      <c r="CV17" s="70">
        <f t="shared" si="35"/>
        <v>-2262.667780000018</v>
      </c>
      <c r="CW17" s="55"/>
      <c r="CX17" s="118"/>
    </row>
    <row r="18" spans="1:102">
      <c r="A18" s="18"/>
      <c r="B18" s="94" t="s">
        <v>178</v>
      </c>
      <c r="C18" s="92" t="s">
        <v>179</v>
      </c>
      <c r="D18" s="102">
        <v>0</v>
      </c>
      <c r="E18" s="102">
        <v>0</v>
      </c>
      <c r="F18" s="98">
        <f t="shared" si="2"/>
        <v>0</v>
      </c>
      <c r="G18" s="98">
        <f t="shared" si="2"/>
        <v>0</v>
      </c>
      <c r="H18" s="110"/>
      <c r="I18" s="110"/>
      <c r="J18" s="98">
        <f t="shared" si="3"/>
        <v>0</v>
      </c>
      <c r="K18" s="98">
        <f t="shared" si="4"/>
        <v>0</v>
      </c>
      <c r="L18" s="103">
        <v>94.51</v>
      </c>
      <c r="M18" s="98">
        <f t="shared" si="5"/>
        <v>94.51</v>
      </c>
      <c r="N18" s="98"/>
      <c r="O18" s="98"/>
      <c r="P18" s="98">
        <f t="shared" si="6"/>
        <v>0</v>
      </c>
      <c r="Q18" s="98">
        <f t="shared" si="7"/>
        <v>0</v>
      </c>
      <c r="R18" s="103">
        <v>0</v>
      </c>
      <c r="S18" s="98">
        <f t="shared" si="8"/>
        <v>0</v>
      </c>
      <c r="T18" s="103">
        <v>6.23</v>
      </c>
      <c r="U18" s="98">
        <v>6.31</v>
      </c>
      <c r="V18" s="98">
        <f t="shared" si="9"/>
        <v>7.0398999999999994</v>
      </c>
      <c r="W18" s="98">
        <f t="shared" si="10"/>
        <v>7.1933999999999987</v>
      </c>
      <c r="X18" s="120">
        <v>0</v>
      </c>
      <c r="Y18" s="120">
        <v>0</v>
      </c>
      <c r="Z18" s="110"/>
      <c r="AA18" s="121">
        <f t="shared" si="11"/>
        <v>0</v>
      </c>
      <c r="AB18" s="121">
        <f t="shared" si="12"/>
        <v>0</v>
      </c>
      <c r="AC18" s="110"/>
      <c r="AD18" s="110"/>
      <c r="AE18" s="121">
        <f t="shared" si="13"/>
        <v>0</v>
      </c>
      <c r="AF18" s="121">
        <f t="shared" si="13"/>
        <v>0</v>
      </c>
      <c r="AG18" s="98">
        <v>0</v>
      </c>
      <c r="AH18" s="98">
        <v>0</v>
      </c>
      <c r="AI18" s="98">
        <f t="shared" si="14"/>
        <v>0</v>
      </c>
      <c r="AJ18" s="98">
        <f t="shared" si="14"/>
        <v>0</v>
      </c>
      <c r="AK18" s="103">
        <v>18.41</v>
      </c>
      <c r="AL18" s="98">
        <v>4.67</v>
      </c>
      <c r="AM18" s="98">
        <f t="shared" si="15"/>
        <v>20.803299999999997</v>
      </c>
      <c r="AN18" s="98">
        <f t="shared" si="16"/>
        <v>5.3237999999999994</v>
      </c>
      <c r="AO18" s="98">
        <v>0</v>
      </c>
      <c r="AP18" s="98">
        <v>0</v>
      </c>
      <c r="AQ18" s="131">
        <v>257.38</v>
      </c>
      <c r="AR18" s="131">
        <v>74.48</v>
      </c>
      <c r="AS18" s="99"/>
      <c r="AT18" s="98">
        <f t="shared" si="17"/>
        <v>0</v>
      </c>
      <c r="AU18" s="99"/>
      <c r="AV18" s="149">
        <f t="shared" si="18"/>
        <v>0</v>
      </c>
      <c r="AW18" s="98">
        <v>1.78</v>
      </c>
      <c r="AX18" s="98">
        <v>0.9</v>
      </c>
      <c r="AY18" s="101"/>
      <c r="AZ18" s="98">
        <f t="shared" si="19"/>
        <v>0</v>
      </c>
      <c r="BA18" s="98"/>
      <c r="BB18" s="98"/>
      <c r="BC18" s="99"/>
      <c r="BD18" s="99"/>
      <c r="BE18" s="98">
        <f t="shared" si="20"/>
        <v>0</v>
      </c>
      <c r="BF18" s="98">
        <f t="shared" si="21"/>
        <v>0</v>
      </c>
      <c r="BG18" s="99"/>
      <c r="BH18" s="99"/>
      <c r="BI18" s="98">
        <f t="shared" si="22"/>
        <v>0</v>
      </c>
      <c r="BJ18" s="98">
        <f t="shared" si="23"/>
        <v>0</v>
      </c>
      <c r="BK18" s="100"/>
      <c r="BL18" s="100"/>
      <c r="BM18" s="98"/>
      <c r="BN18" s="98">
        <f t="shared" si="24"/>
        <v>0</v>
      </c>
      <c r="BO18" s="173"/>
      <c r="BP18" s="149">
        <f t="shared" si="25"/>
        <v>0</v>
      </c>
      <c r="BQ18" s="112"/>
      <c r="BR18" s="112"/>
      <c r="BS18" s="104">
        <f t="shared" si="26"/>
        <v>0</v>
      </c>
      <c r="BT18" s="104">
        <f t="shared" si="27"/>
        <v>0</v>
      </c>
      <c r="BU18" s="105">
        <v>0</v>
      </c>
      <c r="BV18" s="105">
        <v>0</v>
      </c>
      <c r="BW18" s="142">
        <f t="shared" si="28"/>
        <v>0</v>
      </c>
      <c r="BX18" s="142">
        <f t="shared" si="29"/>
        <v>0</v>
      </c>
      <c r="BY18" s="110"/>
      <c r="BZ18" s="110"/>
      <c r="CA18" s="142">
        <f t="shared" si="30"/>
        <v>0</v>
      </c>
      <c r="CB18" s="142">
        <f t="shared" si="30"/>
        <v>0</v>
      </c>
      <c r="CC18" s="106"/>
      <c r="CD18" s="106"/>
      <c r="CE18" s="98">
        <f t="shared" si="31"/>
        <v>0</v>
      </c>
      <c r="CF18" s="107">
        <f t="shared" si="31"/>
        <v>0</v>
      </c>
      <c r="CG18" s="81"/>
      <c r="CH18" s="65">
        <f t="shared" si="32"/>
        <v>1075000</v>
      </c>
      <c r="CI18" s="74"/>
      <c r="CJ18" s="74"/>
      <c r="CK18" s="54">
        <v>825000</v>
      </c>
      <c r="CL18" s="74"/>
      <c r="CM18" s="54">
        <v>250000</v>
      </c>
      <c r="CN18" s="74"/>
      <c r="CO18" s="74"/>
      <c r="CP18" s="90"/>
      <c r="CQ18" s="68">
        <v>0</v>
      </c>
      <c r="CR18" s="69">
        <f t="shared" si="33"/>
        <v>287.00319999999994</v>
      </c>
      <c r="CS18" s="69">
        <f t="shared" si="34"/>
        <v>182.40720000000002</v>
      </c>
      <c r="CT18" s="70">
        <f t="shared" si="0"/>
        <v>1075497.5462399998</v>
      </c>
      <c r="CU18" s="70">
        <f t="shared" si="1"/>
        <v>716998.36416</v>
      </c>
      <c r="CV18" s="70">
        <f t="shared" si="35"/>
        <v>497.54623999982141</v>
      </c>
      <c r="CW18" s="55"/>
      <c r="CX18" s="118"/>
    </row>
    <row r="19" spans="1:102">
      <c r="A19" s="18"/>
      <c r="B19" s="94" t="s">
        <v>186</v>
      </c>
      <c r="C19" s="92" t="s">
        <v>187</v>
      </c>
      <c r="D19" s="102">
        <v>0</v>
      </c>
      <c r="E19" s="102">
        <v>0</v>
      </c>
      <c r="F19" s="98">
        <f t="shared" si="2"/>
        <v>0</v>
      </c>
      <c r="G19" s="98">
        <f t="shared" si="2"/>
        <v>0</v>
      </c>
      <c r="H19" s="110"/>
      <c r="I19" s="110"/>
      <c r="J19" s="98">
        <f t="shared" si="3"/>
        <v>0</v>
      </c>
      <c r="K19" s="98">
        <f t="shared" si="4"/>
        <v>0</v>
      </c>
      <c r="L19" s="103"/>
      <c r="M19" s="98">
        <f t="shared" si="5"/>
        <v>0</v>
      </c>
      <c r="N19" s="98">
        <v>0</v>
      </c>
      <c r="O19" s="98">
        <v>0</v>
      </c>
      <c r="P19" s="98">
        <f t="shared" si="6"/>
        <v>0</v>
      </c>
      <c r="Q19" s="98">
        <f t="shared" si="7"/>
        <v>0</v>
      </c>
      <c r="R19" s="103">
        <v>37.14</v>
      </c>
      <c r="S19" s="98">
        <f t="shared" si="8"/>
        <v>42.339599999999997</v>
      </c>
      <c r="T19" s="103">
        <v>9.7200000000000006</v>
      </c>
      <c r="U19" s="98">
        <v>5.01</v>
      </c>
      <c r="V19" s="98">
        <f t="shared" si="9"/>
        <v>10.983599999999999</v>
      </c>
      <c r="W19" s="98">
        <f t="shared" si="10"/>
        <v>5.7113999999999994</v>
      </c>
      <c r="X19" s="120">
        <v>0</v>
      </c>
      <c r="Y19" s="120">
        <v>0</v>
      </c>
      <c r="Z19" s="110"/>
      <c r="AA19" s="121">
        <f t="shared" si="11"/>
        <v>0</v>
      </c>
      <c r="AB19" s="121">
        <f t="shared" si="12"/>
        <v>0</v>
      </c>
      <c r="AC19" s="110"/>
      <c r="AD19" s="110"/>
      <c r="AE19" s="121">
        <f t="shared" si="13"/>
        <v>0</v>
      </c>
      <c r="AF19" s="121">
        <f t="shared" si="13"/>
        <v>0</v>
      </c>
      <c r="AG19" s="98">
        <v>0</v>
      </c>
      <c r="AH19" s="98">
        <v>0</v>
      </c>
      <c r="AI19" s="98">
        <f t="shared" si="14"/>
        <v>0</v>
      </c>
      <c r="AJ19" s="98">
        <f t="shared" si="14"/>
        <v>0</v>
      </c>
      <c r="AK19" s="103">
        <v>64.69</v>
      </c>
      <c r="AL19" s="98">
        <v>63.6</v>
      </c>
      <c r="AM19" s="98">
        <f t="shared" si="15"/>
        <v>73.099699999999984</v>
      </c>
      <c r="AN19" s="98">
        <f t="shared" si="16"/>
        <v>72.503999999999991</v>
      </c>
      <c r="AO19" s="98"/>
      <c r="AP19" s="98"/>
      <c r="AQ19" s="131">
        <v>0</v>
      </c>
      <c r="AR19" s="131">
        <v>0</v>
      </c>
      <c r="AS19" s="99"/>
      <c r="AT19" s="98">
        <f t="shared" si="17"/>
        <v>0</v>
      </c>
      <c r="AU19" s="99">
        <v>40.35</v>
      </c>
      <c r="AV19" s="149">
        <f t="shared" si="18"/>
        <v>45.998999999999995</v>
      </c>
      <c r="AW19" s="98">
        <v>2.04</v>
      </c>
      <c r="AX19" s="98">
        <v>5.15</v>
      </c>
      <c r="AY19" s="101"/>
      <c r="AZ19" s="98">
        <f t="shared" si="19"/>
        <v>0</v>
      </c>
      <c r="BA19" s="98"/>
      <c r="BB19" s="98"/>
      <c r="BC19" s="99"/>
      <c r="BD19" s="99"/>
      <c r="BE19" s="98">
        <f t="shared" si="20"/>
        <v>0</v>
      </c>
      <c r="BF19" s="98">
        <f t="shared" si="21"/>
        <v>0</v>
      </c>
      <c r="BG19" s="99">
        <v>112.34</v>
      </c>
      <c r="BH19" s="99">
        <v>11.73</v>
      </c>
      <c r="BI19" s="98">
        <f t="shared" si="22"/>
        <v>128.0676</v>
      </c>
      <c r="BJ19" s="98">
        <f t="shared" si="23"/>
        <v>13.372199999999999</v>
      </c>
      <c r="BK19" s="100"/>
      <c r="BL19" s="100"/>
      <c r="BM19" s="98">
        <v>0</v>
      </c>
      <c r="BN19" s="98">
        <f t="shared" si="24"/>
        <v>0</v>
      </c>
      <c r="BO19" s="105">
        <v>1.02</v>
      </c>
      <c r="BP19" s="149">
        <f t="shared" si="25"/>
        <v>1.1627999999999998</v>
      </c>
      <c r="BQ19" s="112"/>
      <c r="BR19" s="112"/>
      <c r="BS19" s="104">
        <f t="shared" si="26"/>
        <v>0</v>
      </c>
      <c r="BT19" s="104">
        <f t="shared" si="27"/>
        <v>0</v>
      </c>
      <c r="BU19" s="105">
        <v>0</v>
      </c>
      <c r="BV19" s="105">
        <v>0</v>
      </c>
      <c r="BW19" s="142">
        <f t="shared" si="28"/>
        <v>0</v>
      </c>
      <c r="BX19" s="142">
        <f t="shared" si="29"/>
        <v>0</v>
      </c>
      <c r="BY19" s="110"/>
      <c r="BZ19" s="110"/>
      <c r="CA19" s="142">
        <f t="shared" si="30"/>
        <v>0</v>
      </c>
      <c r="CB19" s="142">
        <f t="shared" si="30"/>
        <v>0</v>
      </c>
      <c r="CC19" s="106"/>
      <c r="CD19" s="106"/>
      <c r="CE19" s="98">
        <f t="shared" si="31"/>
        <v>0</v>
      </c>
      <c r="CF19" s="107">
        <f t="shared" si="31"/>
        <v>0</v>
      </c>
      <c r="CG19" s="81"/>
      <c r="CH19" s="65">
        <f t="shared" si="32"/>
        <v>927000</v>
      </c>
      <c r="CI19" s="74"/>
      <c r="CJ19" s="74"/>
      <c r="CK19" s="54">
        <v>527000</v>
      </c>
      <c r="CL19" s="74"/>
      <c r="CM19" s="54">
        <v>400000</v>
      </c>
      <c r="CN19" s="74"/>
      <c r="CO19" s="74">
        <v>0</v>
      </c>
      <c r="CP19" s="90"/>
      <c r="CQ19" s="68">
        <v>0</v>
      </c>
      <c r="CR19" s="69">
        <f t="shared" si="33"/>
        <v>86.123299999999986</v>
      </c>
      <c r="CS19" s="69">
        <f t="shared" si="34"/>
        <v>300.93439999999998</v>
      </c>
      <c r="CT19" s="70">
        <f t="shared" si="0"/>
        <v>925014.74783999997</v>
      </c>
      <c r="CU19" s="70">
        <f t="shared" si="1"/>
        <v>603912.73365999991</v>
      </c>
      <c r="CV19" s="70">
        <f t="shared" si="35"/>
        <v>-1985.2521600000327</v>
      </c>
      <c r="CW19" s="55"/>
      <c r="CX19" s="118"/>
    </row>
    <row r="20" spans="1:102">
      <c r="A20" s="18"/>
      <c r="B20" s="94" t="s">
        <v>193</v>
      </c>
      <c r="C20" s="92" t="s">
        <v>194</v>
      </c>
      <c r="D20" s="102">
        <v>0</v>
      </c>
      <c r="E20" s="102">
        <v>0</v>
      </c>
      <c r="F20" s="98">
        <f t="shared" si="2"/>
        <v>0</v>
      </c>
      <c r="G20" s="98">
        <f t="shared" si="2"/>
        <v>0</v>
      </c>
      <c r="H20" s="110"/>
      <c r="I20" s="110"/>
      <c r="J20" s="98">
        <f t="shared" si="3"/>
        <v>0</v>
      </c>
      <c r="K20" s="98">
        <f t="shared" si="4"/>
        <v>0</v>
      </c>
      <c r="L20" s="103"/>
      <c r="M20" s="98">
        <f t="shared" si="5"/>
        <v>0</v>
      </c>
      <c r="N20" s="98"/>
      <c r="O20" s="98"/>
      <c r="P20" s="98">
        <f t="shared" si="6"/>
        <v>0</v>
      </c>
      <c r="Q20" s="98">
        <f t="shared" si="7"/>
        <v>0</v>
      </c>
      <c r="R20" s="103">
        <v>163.77000000000001</v>
      </c>
      <c r="S20" s="98">
        <f t="shared" si="8"/>
        <v>186.6978</v>
      </c>
      <c r="T20" s="103">
        <v>0</v>
      </c>
      <c r="U20" s="98">
        <v>0</v>
      </c>
      <c r="V20" s="98">
        <f t="shared" si="9"/>
        <v>0</v>
      </c>
      <c r="W20" s="98">
        <f t="shared" si="10"/>
        <v>0</v>
      </c>
      <c r="X20" s="120">
        <v>0</v>
      </c>
      <c r="Y20" s="120">
        <v>0</v>
      </c>
      <c r="Z20" s="110"/>
      <c r="AA20" s="121">
        <f t="shared" si="11"/>
        <v>0</v>
      </c>
      <c r="AB20" s="121">
        <f t="shared" si="12"/>
        <v>0</v>
      </c>
      <c r="AC20" s="110"/>
      <c r="AD20" s="110"/>
      <c r="AE20" s="121">
        <f t="shared" si="13"/>
        <v>0</v>
      </c>
      <c r="AF20" s="121">
        <f t="shared" si="13"/>
        <v>0</v>
      </c>
      <c r="AG20" s="98">
        <v>0</v>
      </c>
      <c r="AH20" s="98">
        <v>0</v>
      </c>
      <c r="AI20" s="98">
        <f t="shared" si="14"/>
        <v>0</v>
      </c>
      <c r="AJ20" s="98">
        <f t="shared" si="14"/>
        <v>0</v>
      </c>
      <c r="AK20" s="103">
        <v>194.69</v>
      </c>
      <c r="AL20" s="98">
        <v>186.22</v>
      </c>
      <c r="AM20" s="98">
        <f t="shared" si="15"/>
        <v>219.99969999999999</v>
      </c>
      <c r="AN20" s="98">
        <f t="shared" si="16"/>
        <v>212.29079999999999</v>
      </c>
      <c r="AO20" s="98"/>
      <c r="AP20" s="98"/>
      <c r="AQ20" s="131"/>
      <c r="AR20" s="131"/>
      <c r="AS20" s="99"/>
      <c r="AT20" s="98">
        <f t="shared" si="17"/>
        <v>0</v>
      </c>
      <c r="AU20" s="99"/>
      <c r="AV20" s="149">
        <f t="shared" si="18"/>
        <v>0</v>
      </c>
      <c r="AW20" s="98">
        <v>106.95</v>
      </c>
      <c r="AX20" s="98">
        <v>195.74</v>
      </c>
      <c r="AY20" s="101"/>
      <c r="AZ20" s="98">
        <f t="shared" si="19"/>
        <v>0</v>
      </c>
      <c r="BA20" s="98"/>
      <c r="BB20" s="98"/>
      <c r="BC20" s="99">
        <v>19</v>
      </c>
      <c r="BD20" s="99">
        <f>36+13.65</f>
        <v>49.65</v>
      </c>
      <c r="BE20" s="98">
        <f t="shared" si="20"/>
        <v>15.5496</v>
      </c>
      <c r="BF20" s="98">
        <f t="shared" si="21"/>
        <v>40.633559999999996</v>
      </c>
      <c r="BG20" s="99"/>
      <c r="BH20" s="99"/>
      <c r="BI20" s="98">
        <f t="shared" si="22"/>
        <v>0</v>
      </c>
      <c r="BJ20" s="98">
        <f t="shared" si="23"/>
        <v>0</v>
      </c>
      <c r="BK20" s="100"/>
      <c r="BL20" s="100"/>
      <c r="BM20" s="98">
        <v>159.76</v>
      </c>
      <c r="BN20" s="98">
        <f t="shared" si="24"/>
        <v>182.12639999999996</v>
      </c>
      <c r="BO20" s="105">
        <v>170.82</v>
      </c>
      <c r="BP20" s="149">
        <f t="shared" si="25"/>
        <v>194.73479999999998</v>
      </c>
      <c r="BQ20" s="112"/>
      <c r="BR20" s="112"/>
      <c r="BS20" s="104">
        <f t="shared" si="26"/>
        <v>0</v>
      </c>
      <c r="BT20" s="104">
        <f t="shared" si="27"/>
        <v>0</v>
      </c>
      <c r="BU20" s="105">
        <v>0</v>
      </c>
      <c r="BV20" s="105">
        <v>0</v>
      </c>
      <c r="BW20" s="142">
        <f t="shared" si="28"/>
        <v>0</v>
      </c>
      <c r="BX20" s="142">
        <f t="shared" si="29"/>
        <v>0</v>
      </c>
      <c r="BY20" s="110"/>
      <c r="BZ20" s="110"/>
      <c r="CA20" s="142">
        <f t="shared" si="30"/>
        <v>0</v>
      </c>
      <c r="CB20" s="142">
        <f t="shared" si="30"/>
        <v>0</v>
      </c>
      <c r="CC20" s="106"/>
      <c r="CD20" s="106"/>
      <c r="CE20" s="98">
        <f t="shared" si="31"/>
        <v>0</v>
      </c>
      <c r="CF20" s="107">
        <f t="shared" si="31"/>
        <v>0</v>
      </c>
      <c r="CG20" s="81"/>
      <c r="CH20" s="65">
        <f t="shared" si="32"/>
        <v>3105000</v>
      </c>
      <c r="CI20" s="74"/>
      <c r="CJ20" s="74"/>
      <c r="CK20" s="54">
        <v>1680000</v>
      </c>
      <c r="CL20" s="74"/>
      <c r="CM20" s="54">
        <v>1425000</v>
      </c>
      <c r="CN20" s="74"/>
      <c r="CO20" s="74"/>
      <c r="CP20" s="90"/>
      <c r="CQ20" s="68">
        <v>0</v>
      </c>
      <c r="CR20" s="69">
        <f t="shared" si="33"/>
        <v>342.49930000000001</v>
      </c>
      <c r="CS20" s="69">
        <f t="shared" si="34"/>
        <v>1012.22336</v>
      </c>
      <c r="CT20" s="70">
        <f t="shared" si="0"/>
        <v>3103604.1691079997</v>
      </c>
      <c r="CU20" s="70">
        <f t="shared" si="1"/>
        <v>2069069.4460720001</v>
      </c>
      <c r="CV20" s="70">
        <f t="shared" si="35"/>
        <v>-1395.8308920003474</v>
      </c>
      <c r="CW20" s="55"/>
      <c r="CX20" s="118"/>
    </row>
    <row r="21" spans="1:102">
      <c r="A21" s="171" t="s">
        <v>199</v>
      </c>
      <c r="B21" s="169" t="s">
        <v>200</v>
      </c>
      <c r="C21" s="170" t="s">
        <v>201</v>
      </c>
      <c r="D21" s="102">
        <v>0</v>
      </c>
      <c r="E21" s="102">
        <v>0</v>
      </c>
      <c r="F21" s="98">
        <f t="shared" si="2"/>
        <v>0</v>
      </c>
      <c r="G21" s="98">
        <f t="shared" si="2"/>
        <v>0</v>
      </c>
      <c r="H21" s="110">
        <v>30</v>
      </c>
      <c r="I21" s="110">
        <v>25</v>
      </c>
      <c r="J21" s="98">
        <f t="shared" si="3"/>
        <v>26.442</v>
      </c>
      <c r="K21" s="98">
        <f t="shared" si="4"/>
        <v>22.229999999999997</v>
      </c>
      <c r="L21" s="103">
        <v>151.08000000000001</v>
      </c>
      <c r="M21" s="98">
        <f t="shared" si="5"/>
        <v>151.08000000000001</v>
      </c>
      <c r="N21" s="98"/>
      <c r="O21" s="98"/>
      <c r="P21" s="98">
        <f t="shared" si="6"/>
        <v>0</v>
      </c>
      <c r="Q21" s="98">
        <f t="shared" si="7"/>
        <v>0</v>
      </c>
      <c r="R21" s="103">
        <v>14.17</v>
      </c>
      <c r="S21" s="98">
        <f t="shared" si="8"/>
        <v>16.153799999999997</v>
      </c>
      <c r="T21" s="103">
        <v>24.02</v>
      </c>
      <c r="U21" s="98">
        <v>11.68</v>
      </c>
      <c r="V21" s="98">
        <f t="shared" si="9"/>
        <v>27.142599999999998</v>
      </c>
      <c r="W21" s="98">
        <f t="shared" si="10"/>
        <v>13.315199999999999</v>
      </c>
      <c r="X21" s="120">
        <v>212.94</v>
      </c>
      <c r="Y21" s="120">
        <v>59.15</v>
      </c>
      <c r="Z21" s="110"/>
      <c r="AA21" s="121">
        <f t="shared" si="11"/>
        <v>159.70499999999998</v>
      </c>
      <c r="AB21" s="121">
        <f t="shared" si="12"/>
        <v>44.362499999999997</v>
      </c>
      <c r="AC21" s="110"/>
      <c r="AD21" s="110"/>
      <c r="AE21" s="121">
        <f t="shared" si="13"/>
        <v>0</v>
      </c>
      <c r="AF21" s="121">
        <f t="shared" si="13"/>
        <v>0</v>
      </c>
      <c r="AG21" s="98">
        <v>0</v>
      </c>
      <c r="AH21" s="98">
        <v>0</v>
      </c>
      <c r="AI21" s="98">
        <f t="shared" si="14"/>
        <v>0</v>
      </c>
      <c r="AJ21" s="98">
        <f t="shared" si="14"/>
        <v>0</v>
      </c>
      <c r="AK21" s="103">
        <v>40.14</v>
      </c>
      <c r="AL21" s="98">
        <v>38.700000000000003</v>
      </c>
      <c r="AM21" s="98">
        <f t="shared" si="15"/>
        <v>45.358199999999997</v>
      </c>
      <c r="AN21" s="98">
        <f t="shared" si="16"/>
        <v>44.118000000000002</v>
      </c>
      <c r="AO21" s="98"/>
      <c r="AP21" s="98"/>
      <c r="AQ21" s="131"/>
      <c r="AR21" s="131"/>
      <c r="AS21" s="99"/>
      <c r="AT21" s="98">
        <f t="shared" si="17"/>
        <v>0</v>
      </c>
      <c r="AU21" s="99">
        <v>198.9</v>
      </c>
      <c r="AV21" s="149">
        <f t="shared" si="18"/>
        <v>226.74599999999998</v>
      </c>
      <c r="AW21" s="98">
        <v>56.34</v>
      </c>
      <c r="AX21" s="98">
        <v>205.95</v>
      </c>
      <c r="AY21" s="101"/>
      <c r="AZ21" s="98">
        <f t="shared" si="19"/>
        <v>0</v>
      </c>
      <c r="BA21" s="98"/>
      <c r="BB21" s="98"/>
      <c r="BC21" s="99"/>
      <c r="BD21" s="99"/>
      <c r="BE21" s="98">
        <f t="shared" si="20"/>
        <v>0</v>
      </c>
      <c r="BF21" s="98">
        <f t="shared" si="21"/>
        <v>0</v>
      </c>
      <c r="BG21" s="99"/>
      <c r="BH21" s="99"/>
      <c r="BI21" s="98">
        <f t="shared" si="22"/>
        <v>0</v>
      </c>
      <c r="BJ21" s="98">
        <f t="shared" si="23"/>
        <v>0</v>
      </c>
      <c r="BK21" s="100"/>
      <c r="BL21" s="100"/>
      <c r="BM21" s="98">
        <v>15.32</v>
      </c>
      <c r="BN21" s="98">
        <f t="shared" si="24"/>
        <v>17.4648</v>
      </c>
      <c r="BO21" s="105">
        <v>146.61000000000001</v>
      </c>
      <c r="BP21" s="149">
        <f t="shared" si="25"/>
        <v>167.1354</v>
      </c>
      <c r="BQ21" s="112"/>
      <c r="BR21" s="112"/>
      <c r="BS21" s="104">
        <f t="shared" si="26"/>
        <v>0</v>
      </c>
      <c r="BT21" s="104">
        <f t="shared" si="27"/>
        <v>0</v>
      </c>
      <c r="BU21" s="105">
        <v>0</v>
      </c>
      <c r="BV21" s="105">
        <v>0.94</v>
      </c>
      <c r="BW21" s="142">
        <f t="shared" si="28"/>
        <v>0</v>
      </c>
      <c r="BX21" s="142">
        <f t="shared" si="29"/>
        <v>1.2314000000000001</v>
      </c>
      <c r="BY21" s="110">
        <v>0</v>
      </c>
      <c r="BZ21" s="110">
        <v>0</v>
      </c>
      <c r="CA21" s="142">
        <f t="shared" si="30"/>
        <v>0</v>
      </c>
      <c r="CB21" s="142">
        <f t="shared" si="30"/>
        <v>0</v>
      </c>
      <c r="CC21" s="106"/>
      <c r="CD21" s="106"/>
      <c r="CE21" s="98">
        <f t="shared" si="31"/>
        <v>0</v>
      </c>
      <c r="CF21" s="107">
        <f t="shared" si="31"/>
        <v>0</v>
      </c>
      <c r="CG21" s="81"/>
      <c r="CH21" s="65">
        <f t="shared" si="32"/>
        <v>3274000</v>
      </c>
      <c r="CI21" s="74"/>
      <c r="CJ21" s="74"/>
      <c r="CK21" s="54">
        <v>1420000</v>
      </c>
      <c r="CL21" s="74"/>
      <c r="CM21" s="54">
        <v>1854000</v>
      </c>
      <c r="CN21" s="74"/>
      <c r="CO21" s="74"/>
      <c r="CP21" s="90"/>
      <c r="CQ21" s="68">
        <v>0</v>
      </c>
      <c r="CR21" s="69">
        <f>SUM(AO21,AQ21,F21,P21,BS21,AM21,AA21,AE21,J21,AI21,V21,BA21,BE21,CE21,AW21,CA21,BW21)</f>
        <v>314.98779999999999</v>
      </c>
      <c r="CS21" s="69">
        <f t="shared" si="34"/>
        <v>909.78710000000012</v>
      </c>
      <c r="CT21" s="70">
        <f>(((CR21*$A$2)+(CS21*$A$3))*0.7)+((BJ21*$A$3)*0.75)</f>
        <v>3273553.8891999996</v>
      </c>
      <c r="CU21" s="70">
        <f>((CR21*$A$2)+(CS21*$A$3))*0.3+((BJ21*$A$3)*0.25)</f>
        <v>1402951.6668</v>
      </c>
      <c r="CV21" s="70">
        <f t="shared" si="35"/>
        <v>-446.11080000037327</v>
      </c>
      <c r="CW21" s="55"/>
      <c r="CX21" s="118"/>
    </row>
    <row r="22" spans="1:102">
      <c r="A22" s="18"/>
      <c r="B22" s="94" t="s">
        <v>202</v>
      </c>
      <c r="C22" s="92" t="s">
        <v>203</v>
      </c>
      <c r="D22" s="102">
        <v>0</v>
      </c>
      <c r="E22" s="102">
        <v>0</v>
      </c>
      <c r="F22" s="98">
        <f t="shared" si="2"/>
        <v>0</v>
      </c>
      <c r="G22" s="98">
        <f t="shared" si="2"/>
        <v>0</v>
      </c>
      <c r="H22" s="110"/>
      <c r="I22" s="110"/>
      <c r="J22" s="98">
        <f t="shared" si="3"/>
        <v>0</v>
      </c>
      <c r="K22" s="98">
        <f t="shared" si="4"/>
        <v>0</v>
      </c>
      <c r="L22" s="103">
        <v>0</v>
      </c>
      <c r="M22" s="98">
        <f t="shared" si="5"/>
        <v>0</v>
      </c>
      <c r="N22" s="98"/>
      <c r="O22" s="98"/>
      <c r="P22" s="98">
        <f t="shared" si="6"/>
        <v>0</v>
      </c>
      <c r="Q22" s="98">
        <f t="shared" si="7"/>
        <v>0</v>
      </c>
      <c r="R22" s="103">
        <v>38.93</v>
      </c>
      <c r="S22" s="98">
        <f t="shared" si="8"/>
        <v>44.380199999999995</v>
      </c>
      <c r="T22" s="103">
        <v>4.21</v>
      </c>
      <c r="U22" s="98">
        <v>0</v>
      </c>
      <c r="V22" s="98">
        <f t="shared" si="9"/>
        <v>4.7572999999999999</v>
      </c>
      <c r="W22" s="98">
        <f t="shared" si="10"/>
        <v>0</v>
      </c>
      <c r="X22" s="120">
        <v>0</v>
      </c>
      <c r="Y22" s="120">
        <v>0</v>
      </c>
      <c r="Z22" s="110"/>
      <c r="AA22" s="121">
        <f t="shared" si="11"/>
        <v>0</v>
      </c>
      <c r="AB22" s="121">
        <f t="shared" si="12"/>
        <v>0</v>
      </c>
      <c r="AC22" s="110"/>
      <c r="AD22" s="110"/>
      <c r="AE22" s="121">
        <f t="shared" si="13"/>
        <v>0</v>
      </c>
      <c r="AF22" s="121">
        <f t="shared" si="13"/>
        <v>0</v>
      </c>
      <c r="AG22" s="98">
        <v>0</v>
      </c>
      <c r="AH22" s="98">
        <v>0</v>
      </c>
      <c r="AI22" s="98">
        <f t="shared" si="14"/>
        <v>0</v>
      </c>
      <c r="AJ22" s="98">
        <f t="shared" si="14"/>
        <v>0</v>
      </c>
      <c r="AK22" s="103"/>
      <c r="AL22" s="98"/>
      <c r="AM22" s="98">
        <f t="shared" si="15"/>
        <v>0</v>
      </c>
      <c r="AN22" s="98">
        <f t="shared" si="16"/>
        <v>0</v>
      </c>
      <c r="AO22" s="98"/>
      <c r="AP22" s="98"/>
      <c r="AQ22" s="131">
        <v>27.66</v>
      </c>
      <c r="AR22" s="131">
        <v>0</v>
      </c>
      <c r="AS22" s="99"/>
      <c r="AT22" s="98">
        <f t="shared" si="17"/>
        <v>0</v>
      </c>
      <c r="AU22" s="99"/>
      <c r="AV22" s="149">
        <f t="shared" si="18"/>
        <v>0</v>
      </c>
      <c r="AW22" s="98">
        <v>157.15</v>
      </c>
      <c r="AX22" s="98">
        <v>5.32</v>
      </c>
      <c r="AY22" s="101"/>
      <c r="AZ22" s="98">
        <f t="shared" si="19"/>
        <v>0</v>
      </c>
      <c r="BA22" s="98"/>
      <c r="BB22" s="98"/>
      <c r="BC22" s="99"/>
      <c r="BD22" s="99"/>
      <c r="BE22" s="98">
        <f t="shared" si="20"/>
        <v>0</v>
      </c>
      <c r="BF22" s="98">
        <f t="shared" si="21"/>
        <v>0</v>
      </c>
      <c r="BG22" s="99"/>
      <c r="BH22" s="99"/>
      <c r="BI22" s="98">
        <f t="shared" si="22"/>
        <v>0</v>
      </c>
      <c r="BJ22" s="98">
        <f t="shared" si="23"/>
        <v>0</v>
      </c>
      <c r="BK22" s="100"/>
      <c r="BL22" s="100"/>
      <c r="BM22" s="98">
        <v>25.1</v>
      </c>
      <c r="BN22" s="98">
        <f t="shared" si="24"/>
        <v>28.614000000000001</v>
      </c>
      <c r="BO22" s="105">
        <v>79.06</v>
      </c>
      <c r="BP22" s="149">
        <f t="shared" si="25"/>
        <v>90.128399999999999</v>
      </c>
      <c r="BQ22" s="112"/>
      <c r="BR22" s="112"/>
      <c r="BS22" s="104">
        <f t="shared" si="26"/>
        <v>0</v>
      </c>
      <c r="BT22" s="104">
        <f t="shared" si="27"/>
        <v>0</v>
      </c>
      <c r="BU22" s="105">
        <v>0</v>
      </c>
      <c r="BV22" s="105">
        <v>0</v>
      </c>
      <c r="BW22" s="142">
        <f t="shared" si="28"/>
        <v>0</v>
      </c>
      <c r="BX22" s="142">
        <f t="shared" si="29"/>
        <v>0</v>
      </c>
      <c r="BY22" s="110"/>
      <c r="BZ22" s="110"/>
      <c r="CA22" s="142">
        <f t="shared" si="30"/>
        <v>0</v>
      </c>
      <c r="CB22" s="142">
        <f t="shared" si="30"/>
        <v>0</v>
      </c>
      <c r="CC22" s="106"/>
      <c r="CD22" s="106"/>
      <c r="CE22" s="98">
        <f t="shared" si="31"/>
        <v>0</v>
      </c>
      <c r="CF22" s="107">
        <f t="shared" si="31"/>
        <v>0</v>
      </c>
      <c r="CG22" s="81"/>
      <c r="CH22" s="65">
        <f t="shared" si="32"/>
        <v>820000</v>
      </c>
      <c r="CI22" s="74"/>
      <c r="CJ22" s="74"/>
      <c r="CK22" s="54">
        <v>820000</v>
      </c>
      <c r="CL22" s="74"/>
      <c r="CM22" s="54"/>
      <c r="CN22" s="74"/>
      <c r="CO22" s="74"/>
      <c r="CP22" s="90"/>
      <c r="CQ22" s="68">
        <v>0</v>
      </c>
      <c r="CR22" s="69">
        <f t="shared" ref="CR22" si="36">SUM(AO22,AQ22,F22,P22,BS22,AM22,AA22,AE22,J22,AI22,V22,BA22,BE22,CE22,AW22,CA22,BW22)</f>
        <v>189.56729999999999</v>
      </c>
      <c r="CS22" s="69">
        <f>SUM(AP22,AR22,G22,Q22,BN22,AZ22,M22,BT22,AN22,S22,AB22,AF22,K22,AJ22,BI22,W22,BB22,BF22,CF22,BP22,BL22,CG22,AT22,AV22,AX22,CB22,BX22)</f>
        <v>168.44259999999997</v>
      </c>
      <c r="CT22" s="70">
        <f t="shared" ref="CT22" si="37">(((CR22*$A$2)+(CS22*$A$3))*0.6)+((BJ22*$A$3)*0.75)</f>
        <v>820242.81929999986</v>
      </c>
      <c r="CU22" s="70">
        <f t="shared" ref="CU22" si="38">((CR22*$A$2)+(CS22*$A$3))*0.4+((BJ22*$A$3)*0.25)</f>
        <v>546828.54619999998</v>
      </c>
      <c r="CV22" s="70">
        <f t="shared" si="35"/>
        <v>242.81929999985732</v>
      </c>
      <c r="CW22" s="55"/>
      <c r="CX22" s="118"/>
    </row>
    <row r="23" spans="1:102">
      <c r="A23" s="18"/>
      <c r="B23" s="94" t="s">
        <v>206</v>
      </c>
      <c r="C23" s="92" t="s">
        <v>207</v>
      </c>
      <c r="D23" s="102">
        <v>0</v>
      </c>
      <c r="E23" s="102">
        <v>0</v>
      </c>
      <c r="F23" s="98">
        <f>SUM((D23*2)*0.3)</f>
        <v>0</v>
      </c>
      <c r="G23" s="98">
        <f>SUM((E23*2)*0.3)</f>
        <v>0</v>
      </c>
      <c r="H23" s="110"/>
      <c r="I23" s="110"/>
      <c r="J23" s="98">
        <f>SUM(H23*0.78)*$C$2</f>
        <v>0</v>
      </c>
      <c r="K23" s="98">
        <f>SUM(I23*0.78)*$C$3</f>
        <v>0</v>
      </c>
      <c r="L23" s="103">
        <v>0</v>
      </c>
      <c r="M23" s="98">
        <f>L23</f>
        <v>0</v>
      </c>
      <c r="N23" s="98"/>
      <c r="O23" s="98"/>
      <c r="P23" s="98">
        <f>N23*$C$2</f>
        <v>0</v>
      </c>
      <c r="Q23" s="98">
        <f>O23*$C$3</f>
        <v>0</v>
      </c>
      <c r="R23" s="103">
        <v>17.59</v>
      </c>
      <c r="S23" s="98">
        <f>R23*$C$3</f>
        <v>20.052599999999998</v>
      </c>
      <c r="T23" s="108">
        <v>0</v>
      </c>
      <c r="U23" s="99">
        <v>0</v>
      </c>
      <c r="V23" s="98">
        <f>SUM(T23*($C$2))</f>
        <v>0</v>
      </c>
      <c r="W23" s="98">
        <f>SUM(U23*($C$3))</f>
        <v>0</v>
      </c>
      <c r="X23" s="120">
        <v>0</v>
      </c>
      <c r="Y23" s="120">
        <v>0</v>
      </c>
      <c r="Z23" s="110"/>
      <c r="AA23" s="121">
        <f>SUM(X23*0.75)+(Z23*0.75)</f>
        <v>0</v>
      </c>
      <c r="AB23" s="121">
        <f>(Y23*0.75)+(Z23*0.75)</f>
        <v>0</v>
      </c>
      <c r="AC23" s="110"/>
      <c r="AD23" s="110"/>
      <c r="AE23" s="121">
        <f>AC23*0.75</f>
        <v>0</v>
      </c>
      <c r="AF23" s="121">
        <f>AD23*0.75</f>
        <v>0</v>
      </c>
      <c r="AG23" s="98">
        <v>0</v>
      </c>
      <c r="AH23" s="98">
        <v>0</v>
      </c>
      <c r="AI23" s="98">
        <f>AG23*0.75</f>
        <v>0</v>
      </c>
      <c r="AJ23" s="98">
        <f>AH23*0.75</f>
        <v>0</v>
      </c>
      <c r="AK23" s="103">
        <v>0</v>
      </c>
      <c r="AL23" s="98">
        <v>94.36</v>
      </c>
      <c r="AM23" s="98">
        <f>AK23*$C$2</f>
        <v>0</v>
      </c>
      <c r="AN23" s="98">
        <f>AL23*$C$3</f>
        <v>107.57039999999999</v>
      </c>
      <c r="AO23" s="98"/>
      <c r="AP23" s="98"/>
      <c r="AQ23" s="131"/>
      <c r="AR23" s="131"/>
      <c r="AS23" s="99"/>
      <c r="AT23" s="98">
        <f>AS23*$C$3</f>
        <v>0</v>
      </c>
      <c r="AU23" s="99"/>
      <c r="AV23" s="149">
        <f>AU23*$C$3</f>
        <v>0</v>
      </c>
      <c r="AW23" s="99">
        <v>0</v>
      </c>
      <c r="AX23" s="99">
        <v>0</v>
      </c>
      <c r="AY23" s="101"/>
      <c r="AZ23" s="98">
        <f>AY23*$D$2</f>
        <v>0</v>
      </c>
      <c r="BA23" s="98"/>
      <c r="BB23" s="98"/>
      <c r="BC23" s="99"/>
      <c r="BD23" s="99"/>
      <c r="BE23" s="98">
        <f>SUM(BC23*0.62)*$B$2</f>
        <v>0</v>
      </c>
      <c r="BF23" s="98">
        <f>SUM(BD23*0.62)*$B$3</f>
        <v>0</v>
      </c>
      <c r="BG23" s="99"/>
      <c r="BH23" s="99"/>
      <c r="BI23" s="98">
        <f>(BG23*$C$3)</f>
        <v>0</v>
      </c>
      <c r="BJ23" s="98">
        <f>BH23*$C$3</f>
        <v>0</v>
      </c>
      <c r="BK23" s="100"/>
      <c r="BL23" s="100"/>
      <c r="BM23" s="98"/>
      <c r="BN23" s="98">
        <f>BM23*$C$3</f>
        <v>0</v>
      </c>
      <c r="BO23" s="105">
        <v>61.28</v>
      </c>
      <c r="BP23" s="149">
        <f>BO23*$C$3</f>
        <v>69.859200000000001</v>
      </c>
      <c r="BQ23" s="112"/>
      <c r="BR23" s="112"/>
      <c r="BS23" s="104">
        <f>(BQ23/$D$2)*$C$2</f>
        <v>0</v>
      </c>
      <c r="BT23" s="104">
        <f>(BR23/$D$3)*$C$3</f>
        <v>0</v>
      </c>
      <c r="BU23" s="105">
        <v>0</v>
      </c>
      <c r="BV23" s="105">
        <v>0</v>
      </c>
      <c r="BW23" s="142">
        <f>BU23*$E$2</f>
        <v>0</v>
      </c>
      <c r="BX23" s="142">
        <f>BV23*$E$3</f>
        <v>0</v>
      </c>
      <c r="BY23" s="110"/>
      <c r="BZ23" s="110"/>
      <c r="CA23" s="142">
        <f>BY23/2</f>
        <v>0</v>
      </c>
      <c r="CB23" s="142">
        <f>BZ23/2</f>
        <v>0</v>
      </c>
      <c r="CC23" s="106"/>
      <c r="CD23" s="106"/>
      <c r="CE23" s="98">
        <f>CC23*0.05</f>
        <v>0</v>
      </c>
      <c r="CF23" s="107">
        <f>CD23*0.05</f>
        <v>0</v>
      </c>
      <c r="CG23" s="81"/>
      <c r="CH23" s="65">
        <f>SUM(CI23:CO23)</f>
        <v>450000</v>
      </c>
      <c r="CI23" s="133"/>
      <c r="CJ23" s="133"/>
      <c r="CK23" s="54"/>
      <c r="CL23" s="133"/>
      <c r="CM23" s="54">
        <v>450000</v>
      </c>
      <c r="CN23" s="133"/>
      <c r="CO23" s="133"/>
      <c r="CP23" s="69"/>
      <c r="CQ23" s="68">
        <v>0</v>
      </c>
      <c r="CR23" s="69">
        <f>SUM(AO23,AQ23,F23,P23,BS23,AM23,AA23,AE23,J23,AI23,V23,BA23,BE23,CE23,AW23,CA23,BW23)</f>
        <v>0</v>
      </c>
      <c r="CS23" s="69">
        <f>SUM(AP23,AR23,G23,Q23,BN23,AZ23,M23,BT23,AN23,S23,AB23,AF23,K23,AJ23,BI23,W23,BB23,BF23,CF23,BP23,BL23,CG23,AT23,AV23,AX23,CB23,BX23)</f>
        <v>197.48219999999998</v>
      </c>
      <c r="CT23" s="70">
        <f>(((CR23*$A$2)+(CS23*$A$3))*0.6)+((BJ23*$A$3)*0.75)</f>
        <v>452392.22375999991</v>
      </c>
      <c r="CU23" s="70">
        <f>((CR23*$A$2)+(CS23*$A$3))*0.4+((BJ23*$A$3)*0.25)</f>
        <v>301594.81584</v>
      </c>
      <c r="CV23" s="70">
        <f>CT23-CH23</f>
        <v>2392.2237599999062</v>
      </c>
      <c r="CW23" s="55"/>
      <c r="CX23" s="118"/>
    </row>
    <row r="24" spans="1:102">
      <c r="A24" s="18"/>
      <c r="B24" s="94"/>
      <c r="C24" s="92"/>
      <c r="D24" s="102">
        <v>0</v>
      </c>
      <c r="E24" s="102">
        <v>0</v>
      </c>
      <c r="F24" s="98">
        <f t="shared" ref="F24:G24" si="39">SUM((D24*2)*0.3)</f>
        <v>0</v>
      </c>
      <c r="G24" s="98">
        <f t="shared" si="39"/>
        <v>0</v>
      </c>
      <c r="H24" s="110"/>
      <c r="I24" s="110"/>
      <c r="J24" s="98">
        <f t="shared" si="3"/>
        <v>0</v>
      </c>
      <c r="K24" s="98">
        <f t="shared" si="4"/>
        <v>0</v>
      </c>
      <c r="L24" s="103">
        <v>0</v>
      </c>
      <c r="M24" s="98">
        <f t="shared" si="5"/>
        <v>0</v>
      </c>
      <c r="N24" s="98"/>
      <c r="O24" s="98"/>
      <c r="P24" s="98">
        <f t="shared" si="6"/>
        <v>0</v>
      </c>
      <c r="Q24" s="98">
        <f t="shared" si="7"/>
        <v>0</v>
      </c>
      <c r="R24" s="103">
        <v>0</v>
      </c>
      <c r="S24" s="98">
        <f t="shared" si="8"/>
        <v>0</v>
      </c>
      <c r="T24" s="108">
        <v>0</v>
      </c>
      <c r="U24" s="99">
        <v>0</v>
      </c>
      <c r="V24" s="98">
        <f t="shared" si="9"/>
        <v>0</v>
      </c>
      <c r="W24" s="98">
        <f t="shared" si="10"/>
        <v>0</v>
      </c>
      <c r="X24" s="120">
        <v>0</v>
      </c>
      <c r="Y24" s="120">
        <v>0</v>
      </c>
      <c r="Z24" s="110"/>
      <c r="AA24" s="121">
        <f t="shared" si="11"/>
        <v>0</v>
      </c>
      <c r="AB24" s="121">
        <f t="shared" si="12"/>
        <v>0</v>
      </c>
      <c r="AC24" s="110"/>
      <c r="AD24" s="110"/>
      <c r="AE24" s="121">
        <f t="shared" si="13"/>
        <v>0</v>
      </c>
      <c r="AF24" s="121">
        <f t="shared" si="13"/>
        <v>0</v>
      </c>
      <c r="AG24" s="98">
        <v>0</v>
      </c>
      <c r="AH24" s="98">
        <v>0</v>
      </c>
      <c r="AI24" s="98">
        <f t="shared" si="14"/>
        <v>0</v>
      </c>
      <c r="AJ24" s="98">
        <f t="shared" si="14"/>
        <v>0</v>
      </c>
      <c r="AK24" s="103"/>
      <c r="AL24" s="98"/>
      <c r="AM24" s="98">
        <f t="shared" si="15"/>
        <v>0</v>
      </c>
      <c r="AN24" s="98">
        <f t="shared" si="16"/>
        <v>0</v>
      </c>
      <c r="AO24" s="98"/>
      <c r="AP24" s="98"/>
      <c r="AQ24" s="131"/>
      <c r="AR24" s="131"/>
      <c r="AS24" s="99"/>
      <c r="AT24" s="98">
        <f t="shared" si="17"/>
        <v>0</v>
      </c>
      <c r="AU24" s="99"/>
      <c r="AV24" s="149">
        <f t="shared" si="18"/>
        <v>0</v>
      </c>
      <c r="AW24" s="99">
        <v>0</v>
      </c>
      <c r="AX24" s="99">
        <v>0</v>
      </c>
      <c r="AY24" s="101"/>
      <c r="AZ24" s="98">
        <f t="shared" si="19"/>
        <v>0</v>
      </c>
      <c r="BA24" s="98"/>
      <c r="BB24" s="98"/>
      <c r="BC24" s="99"/>
      <c r="BD24" s="99"/>
      <c r="BE24" s="98">
        <f t="shared" si="20"/>
        <v>0</v>
      </c>
      <c r="BF24" s="98">
        <f t="shared" si="21"/>
        <v>0</v>
      </c>
      <c r="BG24" s="99"/>
      <c r="BH24" s="99"/>
      <c r="BI24" s="98">
        <f t="shared" si="22"/>
        <v>0</v>
      </c>
      <c r="BJ24" s="98">
        <f t="shared" si="23"/>
        <v>0</v>
      </c>
      <c r="BK24" s="100"/>
      <c r="BL24" s="100"/>
      <c r="BM24" s="98"/>
      <c r="BN24" s="98">
        <f t="shared" si="24"/>
        <v>0</v>
      </c>
      <c r="BO24" s="105">
        <v>0</v>
      </c>
      <c r="BP24" s="149">
        <f t="shared" si="25"/>
        <v>0</v>
      </c>
      <c r="BQ24" s="112"/>
      <c r="BR24" s="112"/>
      <c r="BS24" s="104">
        <f t="shared" si="26"/>
        <v>0</v>
      </c>
      <c r="BT24" s="104">
        <f t="shared" si="27"/>
        <v>0</v>
      </c>
      <c r="BU24" s="105">
        <v>0</v>
      </c>
      <c r="BV24" s="105">
        <v>0</v>
      </c>
      <c r="BW24" s="142">
        <f t="shared" si="28"/>
        <v>0</v>
      </c>
      <c r="BX24" s="142">
        <f t="shared" si="29"/>
        <v>0</v>
      </c>
      <c r="BY24" s="110"/>
      <c r="BZ24" s="110"/>
      <c r="CA24" s="142">
        <f t="shared" si="30"/>
        <v>0</v>
      </c>
      <c r="CB24" s="142">
        <f t="shared" si="30"/>
        <v>0</v>
      </c>
      <c r="CC24" s="106"/>
      <c r="CD24" s="106"/>
      <c r="CE24" s="98">
        <f t="shared" si="31"/>
        <v>0</v>
      </c>
      <c r="CF24" s="107">
        <f t="shared" si="31"/>
        <v>0</v>
      </c>
      <c r="CG24" s="81"/>
      <c r="CH24" s="65">
        <f t="shared" si="32"/>
        <v>0</v>
      </c>
      <c r="CI24" s="74"/>
      <c r="CJ24" s="74"/>
      <c r="CK24" s="54"/>
      <c r="CL24" s="74"/>
      <c r="CM24" s="54"/>
      <c r="CN24" s="74"/>
      <c r="CO24" s="74"/>
      <c r="CP24" s="90"/>
      <c r="CQ24" s="68">
        <v>0</v>
      </c>
      <c r="CR24" s="69">
        <f t="shared" si="33"/>
        <v>0</v>
      </c>
      <c r="CS24" s="69">
        <f>SUM(AP24,AR24,G24,Q24,BN24,AZ24,M24,BT24,AN24,S24,AB24,AF24,K24,AJ24,BI24,W24,BB24,BF24,CF24,BP24,BL24,CG24,AT24,AV24,AX24,CB24,BX24)</f>
        <v>0</v>
      </c>
      <c r="CT24" s="70">
        <f t="shared" si="0"/>
        <v>0</v>
      </c>
      <c r="CU24" s="70">
        <f t="shared" si="1"/>
        <v>0</v>
      </c>
      <c r="CV24" s="70">
        <f t="shared" si="35"/>
        <v>0</v>
      </c>
      <c r="CW24" s="55"/>
      <c r="CX24" s="118"/>
    </row>
    <row r="25" spans="1:102" s="5" customFormat="1" ht="44.25" customHeight="1">
      <c r="A25" s="19"/>
      <c r="B25" s="38"/>
      <c r="C25" s="20" t="s">
        <v>172</v>
      </c>
      <c r="D25" s="77">
        <f t="shared" ref="D25:AI25" si="40">SUM(D7:D24)</f>
        <v>117.4</v>
      </c>
      <c r="E25" s="77">
        <f t="shared" si="40"/>
        <v>134.4</v>
      </c>
      <c r="F25" s="77">
        <f t="shared" si="40"/>
        <v>70.44</v>
      </c>
      <c r="G25" s="77">
        <f t="shared" si="40"/>
        <v>80.640000000000015</v>
      </c>
      <c r="H25" s="77">
        <f t="shared" si="40"/>
        <v>70</v>
      </c>
      <c r="I25" s="77">
        <f t="shared" si="40"/>
        <v>83</v>
      </c>
      <c r="J25" s="77">
        <f t="shared" si="40"/>
        <v>61.698</v>
      </c>
      <c r="K25" s="77">
        <f t="shared" si="40"/>
        <v>73.803599999999989</v>
      </c>
      <c r="L25" s="77">
        <f t="shared" si="40"/>
        <v>699.84</v>
      </c>
      <c r="M25" s="77">
        <f t="shared" si="40"/>
        <v>699.84</v>
      </c>
      <c r="N25" s="77">
        <f t="shared" si="40"/>
        <v>174.37</v>
      </c>
      <c r="O25" s="77">
        <f t="shared" si="40"/>
        <v>128.25</v>
      </c>
      <c r="P25" s="77">
        <f t="shared" si="40"/>
        <v>197.03809999999999</v>
      </c>
      <c r="Q25" s="77">
        <f t="shared" si="40"/>
        <v>146.20499999999998</v>
      </c>
      <c r="R25" s="77">
        <f t="shared" si="40"/>
        <v>945.2199999999998</v>
      </c>
      <c r="S25" s="77">
        <f t="shared" si="40"/>
        <v>1077.5508</v>
      </c>
      <c r="T25" s="77">
        <f t="shared" si="40"/>
        <v>288.40999999999997</v>
      </c>
      <c r="U25" s="77">
        <f t="shared" si="40"/>
        <v>161.35000000000002</v>
      </c>
      <c r="V25" s="77">
        <f t="shared" si="40"/>
        <v>325.9033</v>
      </c>
      <c r="W25" s="77">
        <f t="shared" si="40"/>
        <v>183.93899999999999</v>
      </c>
      <c r="X25" s="77">
        <f t="shared" si="40"/>
        <v>635.33999999999992</v>
      </c>
      <c r="Y25" s="77">
        <f t="shared" si="40"/>
        <v>1195.6500000000001</v>
      </c>
      <c r="Z25" s="77">
        <f t="shared" si="40"/>
        <v>0</v>
      </c>
      <c r="AA25" s="77">
        <f t="shared" si="40"/>
        <v>476.505</v>
      </c>
      <c r="AB25" s="77">
        <f t="shared" si="40"/>
        <v>896.73749999999995</v>
      </c>
      <c r="AC25" s="77">
        <f t="shared" si="40"/>
        <v>0</v>
      </c>
      <c r="AD25" s="77">
        <f t="shared" si="40"/>
        <v>0</v>
      </c>
      <c r="AE25" s="77">
        <f t="shared" si="40"/>
        <v>0</v>
      </c>
      <c r="AF25" s="77">
        <f t="shared" si="40"/>
        <v>0</v>
      </c>
      <c r="AG25" s="77">
        <f t="shared" si="40"/>
        <v>0</v>
      </c>
      <c r="AH25" s="77">
        <f t="shared" si="40"/>
        <v>0</v>
      </c>
      <c r="AI25" s="77">
        <f t="shared" si="40"/>
        <v>0</v>
      </c>
      <c r="AJ25" s="77">
        <f t="shared" ref="AJ25:BO25" si="41">SUM(AJ7:AJ24)</f>
        <v>0</v>
      </c>
      <c r="AK25" s="77">
        <f t="shared" si="41"/>
        <v>1007.2100000000002</v>
      </c>
      <c r="AL25" s="77">
        <f t="shared" si="41"/>
        <v>849.36</v>
      </c>
      <c r="AM25" s="77">
        <f t="shared" si="41"/>
        <v>1138.1472999999999</v>
      </c>
      <c r="AN25" s="77">
        <f t="shared" si="41"/>
        <v>968.2704</v>
      </c>
      <c r="AO25" s="77">
        <f t="shared" si="41"/>
        <v>0</v>
      </c>
      <c r="AP25" s="77">
        <f t="shared" si="41"/>
        <v>0</v>
      </c>
      <c r="AQ25" s="77">
        <f t="shared" si="41"/>
        <v>345.95</v>
      </c>
      <c r="AR25" s="77">
        <f t="shared" si="41"/>
        <v>156.80000000000001</v>
      </c>
      <c r="AS25" s="77">
        <f t="shared" si="41"/>
        <v>0</v>
      </c>
      <c r="AT25" s="77">
        <f t="shared" si="41"/>
        <v>0</v>
      </c>
      <c r="AU25" s="77">
        <f t="shared" si="41"/>
        <v>320.14999999999998</v>
      </c>
      <c r="AV25" s="77">
        <f t="shared" si="41"/>
        <v>364.97099999999995</v>
      </c>
      <c r="AW25" s="77">
        <f t="shared" si="41"/>
        <v>1115.73</v>
      </c>
      <c r="AX25" s="77">
        <f t="shared" si="41"/>
        <v>821.1</v>
      </c>
      <c r="AY25" s="77">
        <f t="shared" si="41"/>
        <v>0</v>
      </c>
      <c r="AZ25" s="77">
        <f t="shared" si="41"/>
        <v>0</v>
      </c>
      <c r="BA25" s="77">
        <f t="shared" si="41"/>
        <v>147.29</v>
      </c>
      <c r="BB25" s="77">
        <f t="shared" si="41"/>
        <v>78.02</v>
      </c>
      <c r="BC25" s="77">
        <f t="shared" si="41"/>
        <v>62.4</v>
      </c>
      <c r="BD25" s="77">
        <f t="shared" si="41"/>
        <v>55.47</v>
      </c>
      <c r="BE25" s="77">
        <f t="shared" si="41"/>
        <v>51.068159999999999</v>
      </c>
      <c r="BF25" s="77">
        <f t="shared" si="41"/>
        <v>45.396647999999999</v>
      </c>
      <c r="BG25" s="77">
        <f t="shared" si="41"/>
        <v>765.32999999999993</v>
      </c>
      <c r="BH25" s="77">
        <f t="shared" si="41"/>
        <v>78.23</v>
      </c>
      <c r="BI25" s="77">
        <f t="shared" si="41"/>
        <v>872.47619999999984</v>
      </c>
      <c r="BJ25" s="77">
        <f t="shared" si="41"/>
        <v>89.182199999999995</v>
      </c>
      <c r="BK25" s="77">
        <f t="shared" si="41"/>
        <v>0</v>
      </c>
      <c r="BL25" s="77">
        <f t="shared" si="41"/>
        <v>0</v>
      </c>
      <c r="BM25" s="77">
        <f t="shared" si="41"/>
        <v>660.2</v>
      </c>
      <c r="BN25" s="77">
        <f t="shared" si="41"/>
        <v>752.62799999999993</v>
      </c>
      <c r="BO25" s="77">
        <f t="shared" si="41"/>
        <v>1558.6799999999996</v>
      </c>
      <c r="BP25" s="77">
        <f t="shared" ref="BP25:CP25" si="42">SUM(BP7:BP24)</f>
        <v>1776.8952000000002</v>
      </c>
      <c r="BQ25" s="114">
        <f t="shared" si="42"/>
        <v>0</v>
      </c>
      <c r="BR25" s="77">
        <f t="shared" si="42"/>
        <v>0</v>
      </c>
      <c r="BS25" s="77">
        <f t="shared" si="42"/>
        <v>0</v>
      </c>
      <c r="BT25" s="77">
        <f t="shared" si="42"/>
        <v>0</v>
      </c>
      <c r="BU25" s="77">
        <f t="shared" si="42"/>
        <v>6.5</v>
      </c>
      <c r="BV25" s="77">
        <f t="shared" si="42"/>
        <v>15.969999999999999</v>
      </c>
      <c r="BW25" s="77">
        <f t="shared" si="42"/>
        <v>8.5366664500000002</v>
      </c>
      <c r="BX25" s="77">
        <f t="shared" si="42"/>
        <v>20.9207</v>
      </c>
      <c r="BY25" s="77">
        <f t="shared" si="42"/>
        <v>99.29</v>
      </c>
      <c r="BZ25" s="77">
        <f t="shared" si="42"/>
        <v>634.6400000000001</v>
      </c>
      <c r="CA25" s="77">
        <f t="shared" si="42"/>
        <v>49.645000000000003</v>
      </c>
      <c r="CB25" s="77">
        <f t="shared" si="42"/>
        <v>317.32000000000005</v>
      </c>
      <c r="CC25" s="77">
        <f t="shared" si="42"/>
        <v>2857</v>
      </c>
      <c r="CD25" s="77">
        <f t="shared" si="42"/>
        <v>2083</v>
      </c>
      <c r="CE25" s="77">
        <f t="shared" si="42"/>
        <v>142.85</v>
      </c>
      <c r="CF25" s="77">
        <f t="shared" si="42"/>
        <v>104.15</v>
      </c>
      <c r="CG25" s="77">
        <f t="shared" si="42"/>
        <v>0</v>
      </c>
      <c r="CH25" s="77">
        <f t="shared" si="42"/>
        <v>31817000</v>
      </c>
      <c r="CI25" s="77">
        <f t="shared" si="42"/>
        <v>0</v>
      </c>
      <c r="CJ25" s="77">
        <f t="shared" si="42"/>
        <v>0</v>
      </c>
      <c r="CK25" s="77">
        <f t="shared" si="42"/>
        <v>17231000</v>
      </c>
      <c r="CL25" s="77">
        <f t="shared" si="42"/>
        <v>0</v>
      </c>
      <c r="CM25" s="77">
        <f t="shared" si="42"/>
        <v>14536000</v>
      </c>
      <c r="CN25" s="77">
        <f t="shared" si="42"/>
        <v>0</v>
      </c>
      <c r="CO25" s="77">
        <f t="shared" si="42"/>
        <v>50000</v>
      </c>
      <c r="CP25" s="77">
        <f t="shared" si="42"/>
        <v>0</v>
      </c>
      <c r="CR25" s="5">
        <f>SUM(CR7:CR24)</f>
        <v>4130.80152645</v>
      </c>
      <c r="CS25" s="5">
        <f>SUM(CS7:CS24)</f>
        <v>9437.6640480000005</v>
      </c>
      <c r="CT25" s="6">
        <f>SUM(CT7:CT24)</f>
        <v>31808143.204165921</v>
      </c>
      <c r="CU25" s="6">
        <f>SUM(CU7:CU24)</f>
        <v>20340886.800210614</v>
      </c>
      <c r="CV25" s="5">
        <f>SUM(CV7:CV24)</f>
        <v>-8856.795834073564</v>
      </c>
      <c r="CW25" s="56" t="s">
        <v>173</v>
      </c>
      <c r="CX25" s="57">
        <f>SUM(CX6:CX24)</f>
        <v>10871925</v>
      </c>
    </row>
    <row r="26" spans="1:102" ht="26.25">
      <c r="B26" s="39"/>
      <c r="CW26" s="58" t="s">
        <v>174</v>
      </c>
      <c r="CX26" s="47">
        <f>CU25</f>
        <v>20340886.800210614</v>
      </c>
    </row>
    <row r="27" spans="1:102" ht="28.5">
      <c r="CW27" s="59" t="s">
        <v>175</v>
      </c>
      <c r="CX27" s="76">
        <f>CX26-CX25</f>
        <v>9468961.8002106138</v>
      </c>
    </row>
    <row r="28" spans="1:102">
      <c r="B28" s="1"/>
      <c r="H28" s="10"/>
      <c r="I28" s="10"/>
      <c r="J28" s="10"/>
      <c r="K28" s="10"/>
      <c r="L28" s="88"/>
      <c r="M28" s="10"/>
      <c r="N28" s="10"/>
      <c r="O28" s="10"/>
      <c r="BT28" s="7"/>
      <c r="BX28" s="7"/>
      <c r="CB28" s="7"/>
      <c r="CC28" s="8"/>
      <c r="CD28" s="5"/>
      <c r="CE28" s="5"/>
    </row>
    <row r="29" spans="1:102">
      <c r="A29" s="12"/>
      <c r="B29" s="1"/>
      <c r="C29" s="40"/>
      <c r="D29" s="40"/>
      <c r="E29" s="40"/>
      <c r="F29" s="40"/>
      <c r="G29" s="40"/>
      <c r="H29" s="40"/>
    </row>
    <row r="30" spans="1:102" ht="52.5" customHeight="1">
      <c r="A30" s="12"/>
      <c r="B30" s="1"/>
      <c r="C30" s="40"/>
      <c r="D30" s="13"/>
      <c r="E30" s="40"/>
      <c r="F30" s="41"/>
      <c r="G30" s="42"/>
      <c r="H30" s="40"/>
      <c r="V30" s="10"/>
      <c r="W30" s="10"/>
      <c r="X30" s="10"/>
      <c r="Y30" s="10"/>
      <c r="Z30" s="10"/>
      <c r="AA30" s="10"/>
      <c r="AB30" s="10"/>
      <c r="AC30" s="10"/>
      <c r="AD30" s="10"/>
    </row>
    <row r="31" spans="1:102">
      <c r="A31" s="12"/>
      <c r="B31" s="1"/>
      <c r="C31" s="40"/>
      <c r="D31" s="13"/>
      <c r="E31" s="40"/>
      <c r="F31" s="42"/>
      <c r="G31" s="42"/>
      <c r="H31" s="40"/>
      <c r="Q31" s="40"/>
      <c r="R31" s="40"/>
      <c r="S31" s="40"/>
      <c r="T31" s="40"/>
      <c r="U31" s="40"/>
      <c r="V31" s="40"/>
      <c r="CL31" s="1">
        <v>2</v>
      </c>
    </row>
    <row r="32" spans="1:102">
      <c r="A32" s="12"/>
      <c r="B32" s="1"/>
      <c r="C32" s="40"/>
      <c r="D32" s="13"/>
      <c r="E32" s="40"/>
      <c r="F32" s="42"/>
      <c r="G32" s="42"/>
      <c r="H32" s="40"/>
      <c r="Q32" s="40"/>
      <c r="R32" s="13"/>
      <c r="S32" s="40"/>
      <c r="T32" s="41"/>
      <c r="U32" s="42"/>
      <c r="V32" s="40"/>
    </row>
    <row r="33" spans="1:22">
      <c r="A33" s="12"/>
      <c r="B33" s="1"/>
      <c r="C33" s="40"/>
      <c r="D33" s="40"/>
      <c r="E33" s="40"/>
      <c r="F33" s="40"/>
      <c r="G33" s="40"/>
      <c r="H33" s="40"/>
      <c r="Q33" s="40"/>
      <c r="R33" s="13"/>
      <c r="S33" s="40"/>
      <c r="T33" s="42"/>
      <c r="U33" s="42"/>
      <c r="V33" s="40"/>
    </row>
    <row r="34" spans="1:22" ht="20.25" customHeight="1">
      <c r="A34" s="12"/>
      <c r="B34" s="1"/>
      <c r="C34" s="40"/>
      <c r="D34" s="14"/>
      <c r="E34" s="40"/>
      <c r="F34" s="42"/>
      <c r="G34" s="42"/>
      <c r="H34" s="40"/>
      <c r="Q34" s="40"/>
      <c r="R34" s="13"/>
      <c r="S34" s="40"/>
      <c r="T34" s="42"/>
      <c r="U34" s="42"/>
      <c r="V34" s="40"/>
    </row>
    <row r="35" spans="1:22" ht="18" customHeight="1">
      <c r="A35" s="12"/>
      <c r="B35" s="1"/>
      <c r="C35" s="40"/>
      <c r="D35" s="40"/>
      <c r="E35" s="40"/>
      <c r="F35" s="40"/>
      <c r="G35" s="40"/>
      <c r="H35" s="40"/>
      <c r="Q35" s="40"/>
      <c r="R35" s="40"/>
      <c r="S35" s="40"/>
      <c r="T35" s="40"/>
      <c r="U35" s="40"/>
      <c r="V35" s="40"/>
    </row>
    <row r="36" spans="1:22">
      <c r="A36" s="12"/>
      <c r="B36" s="1"/>
      <c r="C36" s="40"/>
      <c r="D36" s="40"/>
      <c r="E36" s="40"/>
      <c r="F36" s="40"/>
      <c r="G36" s="40"/>
      <c r="H36" s="40"/>
      <c r="Q36" s="40"/>
      <c r="R36" s="14"/>
      <c r="S36" s="40"/>
      <c r="T36" s="42"/>
      <c r="U36" s="42"/>
      <c r="V36" s="40"/>
    </row>
    <row r="37" spans="1:22">
      <c r="A37" s="12"/>
      <c r="B37" s="1"/>
      <c r="Q37" s="40"/>
      <c r="R37" s="40"/>
      <c r="S37" s="40"/>
      <c r="T37" s="40"/>
      <c r="U37" s="40"/>
      <c r="V37" s="40"/>
    </row>
    <row r="38" spans="1:22">
      <c r="A38" s="12"/>
      <c r="B38" s="1"/>
      <c r="Q38" s="40"/>
      <c r="R38" s="40"/>
      <c r="S38" s="40"/>
      <c r="T38" s="40"/>
      <c r="U38" s="40"/>
      <c r="V38" s="40"/>
    </row>
    <row r="39" spans="1:22">
      <c r="A39" s="12"/>
      <c r="B39" s="1"/>
    </row>
    <row r="40" spans="1:22">
      <c r="A40" s="12"/>
      <c r="B40" s="1"/>
    </row>
    <row r="41" spans="1:22" ht="21" customHeight="1">
      <c r="A41" s="12"/>
      <c r="B41" s="1"/>
    </row>
    <row r="42" spans="1:22">
      <c r="A42" s="12"/>
      <c r="B42" s="1"/>
    </row>
    <row r="43" spans="1:22" ht="20.25" customHeight="1">
      <c r="A43" s="12"/>
      <c r="B43" s="1"/>
    </row>
    <row r="44" spans="1:22">
      <c r="B44" s="1"/>
      <c r="H44" s="10"/>
      <c r="I44" s="10"/>
      <c r="J44" s="10"/>
      <c r="K44" s="10"/>
      <c r="L44" s="10"/>
      <c r="M44" s="10"/>
      <c r="N44" s="10"/>
      <c r="O44" s="10"/>
    </row>
    <row r="45" spans="1:22">
      <c r="B45" s="1"/>
      <c r="C45" s="40"/>
      <c r="D45" s="40"/>
      <c r="E45" s="40"/>
      <c r="F45" s="40"/>
      <c r="G45" s="40"/>
      <c r="H45" s="40"/>
    </row>
    <row r="46" spans="1:22">
      <c r="B46" s="1"/>
      <c r="C46" s="40"/>
      <c r="D46" s="13"/>
      <c r="E46" s="40"/>
      <c r="F46" s="41"/>
      <c r="G46" s="42"/>
      <c r="H46" s="40"/>
    </row>
    <row r="47" spans="1:22">
      <c r="B47" s="1"/>
      <c r="C47" s="40"/>
      <c r="D47" s="13"/>
      <c r="E47" s="40"/>
      <c r="F47" s="42"/>
      <c r="G47" s="42"/>
      <c r="H47" s="40"/>
    </row>
    <row r="48" spans="1:22">
      <c r="B48" s="1"/>
      <c r="C48" s="40"/>
      <c r="D48" s="13"/>
      <c r="E48" s="40"/>
      <c r="F48" s="42"/>
      <c r="G48" s="42"/>
      <c r="H48" s="40"/>
    </row>
    <row r="49" spans="1:11" ht="21.75" customHeight="1">
      <c r="B49" s="1"/>
      <c r="C49" s="40"/>
      <c r="D49" s="40"/>
      <c r="E49" s="40"/>
      <c r="F49" s="40"/>
      <c r="G49" s="40"/>
      <c r="H49" s="40"/>
    </row>
    <row r="50" spans="1:11" ht="21.75" customHeight="1">
      <c r="B50" s="1"/>
      <c r="C50" s="40"/>
      <c r="D50" s="14"/>
      <c r="E50" s="40"/>
      <c r="F50" s="42"/>
      <c r="G50" s="42"/>
      <c r="H50" s="40"/>
    </row>
    <row r="51" spans="1:11" ht="21.75" customHeight="1">
      <c r="B51" s="1"/>
    </row>
    <row r="52" spans="1:11" ht="21.75" customHeight="1">
      <c r="B52" s="1"/>
    </row>
    <row r="53" spans="1:11" ht="21.75" customHeight="1">
      <c r="B53" s="1"/>
    </row>
    <row r="54" spans="1:11" ht="21.75" customHeight="1">
      <c r="B54" s="1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A58" s="12"/>
      <c r="B58" s="1"/>
    </row>
    <row r="59" spans="1:11" ht="21.75" customHeight="1">
      <c r="A59" s="12"/>
      <c r="B59" s="1"/>
    </row>
    <row r="60" spans="1:11" ht="21.75" customHeight="1">
      <c r="B60" s="1"/>
      <c r="K60" s="11"/>
    </row>
    <row r="61" spans="1:11" ht="21.75" customHeight="1">
      <c r="B61" s="1"/>
      <c r="K61" s="11"/>
    </row>
    <row r="62" spans="1:11">
      <c r="B62" s="1"/>
      <c r="K62" s="11"/>
    </row>
    <row r="63" spans="1:11">
      <c r="B63" s="1"/>
      <c r="K63" s="11"/>
    </row>
    <row r="64" spans="1:11">
      <c r="B64" s="1"/>
      <c r="K64" s="11"/>
    </row>
    <row r="65" spans="2:35">
      <c r="B65" s="1"/>
      <c r="K65" s="16"/>
    </row>
    <row r="66" spans="2:35">
      <c r="B66" s="1"/>
      <c r="K66" s="12"/>
    </row>
    <row r="67" spans="2:35">
      <c r="B67" s="1"/>
    </row>
    <row r="68" spans="2:35">
      <c r="B68" s="1"/>
    </row>
    <row r="69" spans="2:35">
      <c r="B69" s="9"/>
      <c r="C69" s="9"/>
      <c r="D69" s="9"/>
      <c r="E69" s="9"/>
      <c r="F69" s="9"/>
      <c r="G69" s="9"/>
      <c r="H69" s="9"/>
      <c r="I69" s="9"/>
      <c r="J69" s="9"/>
    </row>
    <row r="70" spans="2:35">
      <c r="B70" s="1"/>
    </row>
    <row r="71" spans="2:35" ht="46.5" customHeight="1">
      <c r="B71" s="1"/>
      <c r="K71" s="9"/>
      <c r="U71" s="9"/>
      <c r="V71" s="9"/>
      <c r="W71" s="9"/>
      <c r="X71" s="9"/>
      <c r="Y71" s="9"/>
      <c r="Z71" s="9"/>
      <c r="AA71" s="9"/>
      <c r="AB71" s="9"/>
      <c r="AC71" s="9"/>
      <c r="AD71" s="9"/>
      <c r="AI71" s="17"/>
    </row>
    <row r="72" spans="2:35" ht="21.75" customHeight="1">
      <c r="B72" s="1"/>
    </row>
    <row r="73" spans="2:35">
      <c r="B73" s="1"/>
      <c r="M73" s="9"/>
      <c r="N73" s="9"/>
      <c r="O73" s="9"/>
      <c r="P73" s="9"/>
      <c r="Q73" s="9"/>
      <c r="R73" s="9"/>
      <c r="S73" s="9"/>
      <c r="T73" s="9"/>
    </row>
    <row r="74" spans="2:35">
      <c r="B74" s="1"/>
    </row>
    <row r="75" spans="2:35">
      <c r="B75" s="1"/>
    </row>
    <row r="76" spans="2:35">
      <c r="B76" s="1"/>
    </row>
    <row r="77" spans="2:35">
      <c r="B77" s="1"/>
    </row>
    <row r="78" spans="2:35">
      <c r="B78" s="1"/>
    </row>
    <row r="79" spans="2:35">
      <c r="B79" s="1"/>
    </row>
    <row r="80" spans="2:35">
      <c r="B80" s="1"/>
    </row>
    <row r="81" spans="1:12">
      <c r="B81" s="1"/>
    </row>
    <row r="82" spans="1:12">
      <c r="B82" s="1"/>
    </row>
    <row r="83" spans="1:12">
      <c r="B83" s="1"/>
    </row>
    <row r="84" spans="1:12">
      <c r="B84" s="1"/>
    </row>
    <row r="85" spans="1:12">
      <c r="B85" s="1"/>
    </row>
    <row r="86" spans="1:12">
      <c r="B86" s="1"/>
    </row>
    <row r="87" spans="1:12">
      <c r="B87" s="1"/>
    </row>
    <row r="88" spans="1:12">
      <c r="B88" s="1"/>
    </row>
    <row r="89" spans="1:12">
      <c r="B89" s="1"/>
    </row>
    <row r="90" spans="1:12">
      <c r="B90" s="1"/>
    </row>
    <row r="91" spans="1:12">
      <c r="B91" s="1"/>
      <c r="D91" s="9"/>
      <c r="E91" s="9"/>
      <c r="F91" s="9"/>
      <c r="G91" s="9"/>
      <c r="H91" s="9"/>
      <c r="I91" s="9"/>
      <c r="J91" s="9"/>
      <c r="K91" s="9"/>
      <c r="L91" s="9"/>
    </row>
    <row r="92" spans="1:12">
      <c r="B92" s="1"/>
    </row>
    <row r="93" spans="1:12">
      <c r="A93" s="9"/>
      <c r="B93" s="9"/>
      <c r="C93" s="9"/>
    </row>
    <row r="94" spans="1:12">
      <c r="B94" s="1"/>
    </row>
    <row r="95" spans="1:12">
      <c r="B95" s="1"/>
    </row>
    <row r="96" spans="1:12">
      <c r="B96" s="1"/>
    </row>
    <row r="97" spans="2:9">
      <c r="B97" s="1"/>
    </row>
    <row r="98" spans="2:9">
      <c r="B98" s="1"/>
    </row>
    <row r="99" spans="2:9">
      <c r="B99" s="1"/>
    </row>
    <row r="100" spans="2:9">
      <c r="B100" s="1"/>
    </row>
    <row r="101" spans="2:9">
      <c r="B101" s="1"/>
    </row>
    <row r="102" spans="2:9">
      <c r="B102" s="1"/>
    </row>
    <row r="103" spans="2:9">
      <c r="B103" s="1"/>
    </row>
    <row r="104" spans="2:9">
      <c r="B104" s="1"/>
    </row>
    <row r="105" spans="2:9">
      <c r="B105" s="1"/>
    </row>
    <row r="106" spans="2:9">
      <c r="B106" s="1"/>
    </row>
    <row r="107" spans="2:9">
      <c r="B107" s="1"/>
    </row>
    <row r="108" spans="2:9">
      <c r="B108" s="1"/>
    </row>
    <row r="109" spans="2:9">
      <c r="B109" s="1"/>
    </row>
    <row r="110" spans="2:9">
      <c r="B110" s="1"/>
    </row>
    <row r="111" spans="2:9">
      <c r="B111" s="1"/>
    </row>
    <row r="112" spans="2:9">
      <c r="B112" s="1"/>
      <c r="D112" s="9"/>
      <c r="E112" s="9"/>
      <c r="F112" s="9"/>
      <c r="G112" s="9"/>
      <c r="H112" s="9"/>
      <c r="I112" s="9"/>
    </row>
    <row r="113" spans="1:12">
      <c r="B113" s="1"/>
      <c r="J113" s="9"/>
      <c r="K113" s="9"/>
      <c r="L113" s="9"/>
    </row>
    <row r="114" spans="1:12">
      <c r="A114" s="9"/>
      <c r="B114" s="9"/>
      <c r="C114" s="9"/>
    </row>
    <row r="115" spans="1:12">
      <c r="B115" s="1"/>
    </row>
    <row r="116" spans="1:12">
      <c r="B116" s="1"/>
    </row>
  </sheetData>
  <mergeCells count="27">
    <mergeCell ref="T5:W5"/>
    <mergeCell ref="D5:G5"/>
    <mergeCell ref="H5:K5"/>
    <mergeCell ref="L5:M5"/>
    <mergeCell ref="N5:Q5"/>
    <mergeCell ref="R5:S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</mergeCells>
  <conditionalFormatting sqref="CT7:CV24">
    <cfRule type="cellIs" dxfId="99" priority="28" operator="lessThan">
      <formula>0</formula>
    </cfRule>
    <cfRule type="cellIs" dxfId="98" priority="29" operator="greaterThan">
      <formula>0</formula>
    </cfRule>
  </conditionalFormatting>
  <conditionalFormatting sqref="CR7:CS24">
    <cfRule type="cellIs" dxfId="97" priority="24" operator="greaterThan">
      <formula>1000</formula>
    </cfRule>
    <cfRule type="cellIs" dxfId="96" priority="25" operator="between">
      <formula>500</formula>
      <formula>1000</formula>
    </cfRule>
    <cfRule type="cellIs" dxfId="95" priority="26" operator="between">
      <formula>300</formula>
      <formula>500</formula>
    </cfRule>
    <cfRule type="cellIs" dxfId="94" priority="27" operator="lessThan">
      <formula>300</formula>
    </cfRule>
  </conditionalFormatting>
  <conditionalFormatting sqref="AI71">
    <cfRule type="cellIs" dxfId="93" priority="23" operator="greaterThanOrEqual">
      <formula>10</formula>
    </cfRule>
  </conditionalFormatting>
  <conditionalFormatting sqref="B117:B1048576 B6 C5 B13:B50">
    <cfRule type="duplicateValues" dxfId="92" priority="22"/>
  </conditionalFormatting>
  <conditionalFormatting sqref="C13:C24">
    <cfRule type="containsText" dxfId="91" priority="21" operator="containsText" text="@">
      <formula>NOT(ISERROR(SEARCH("@",C13)))</formula>
    </cfRule>
  </conditionalFormatting>
  <conditionalFormatting sqref="B13:B24">
    <cfRule type="notContainsBlanks" dxfId="90" priority="20">
      <formula>LEN(TRIM(B13))&gt;0</formula>
    </cfRule>
  </conditionalFormatting>
  <conditionalFormatting sqref="Z7:AN7 CH6:CO7 D7:M7 P7:W7 AC8:AD8 AU7:AX7 Z8:Z11 AY8:AY11 AA8:AB12 AZ8:BF12 AE8:AJ12 B15:C15 BI7:CG7 C8:K8 CP7:CV7 AM15:BF15 CP14:XFD15 AM16:BN16 BP16:XFD17 BI8:BT8 A13:C14 AM8:AP14 CP13:CX13 CY7:XFD13 AQ7:AR14 AY13:BF14 BP9:BT15 BI9:BN15 BA7:BB7 AY17:BN17 BG7:BH15 Z13:AJ21 F15:Q21 A16:C21 D9:E21 F9:K14 L8:R9 L10:Q14 A22:Q22 R10:R22 S8:W22 AM17:AV21 AK8:AL21 AS8:AX14 Z22:AV22 AY18:XFD22 AW17:AX22 BO9:BO17 BW13:CO15 BW8:CV12 BU8:BV15 Z23:XFD24 A23:W24">
    <cfRule type="expression" dxfId="89" priority="19">
      <formula>CELL("row")=ROW()</formula>
    </cfRule>
  </conditionalFormatting>
  <conditionalFormatting sqref="A1">
    <cfRule type="expression" dxfId="88" priority="18">
      <formula>CELL("row")=ROW()</formula>
    </cfRule>
  </conditionalFormatting>
  <conditionalFormatting sqref="C7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{3E7B8BDE-978B-4FAD-A7BB-37EC5916D17C}</x14:id>
        </ext>
      </extLst>
    </cfRule>
  </conditionalFormatting>
  <conditionalFormatting sqref="AS7:AT7 AY7:AZ7 N7:O7 AO7:AP7 BC7:BF7">
    <cfRule type="expression" dxfId="87" priority="16">
      <formula>CELL("row")=ROW()</formula>
    </cfRule>
  </conditionalFormatting>
  <conditionalFormatting sqref="C31">
    <cfRule type="duplicateValues" dxfId="86" priority="15"/>
  </conditionalFormatting>
  <conditionalFormatting sqref="C31">
    <cfRule type="containsText" dxfId="85" priority="14" operator="containsText" text="@">
      <formula>NOT(ISERROR(SEARCH("@",C31)))</formula>
    </cfRule>
  </conditionalFormatting>
  <conditionalFormatting sqref="C31">
    <cfRule type="expression" dxfId="84" priority="13">
      <formula>CELL("row")=ROW()</formula>
    </cfRule>
  </conditionalFormatting>
  <conditionalFormatting sqref="C32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{C32193E5-4DCC-4B5E-A336-D817810C7C55}</x14:id>
        </ext>
      </extLst>
    </cfRule>
  </conditionalFormatting>
  <conditionalFormatting sqref="C34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{D5F217DE-93B8-40FE-9E27-5EEE6A81F410}</x14:id>
        </ext>
      </extLst>
    </cfRule>
  </conditionalFormatting>
  <conditionalFormatting sqref="C39">
    <cfRule type="containsText" dxfId="83" priority="10" operator="containsText" text="@">
      <formula>NOT(ISERROR(SEARCH("@",C39)))</formula>
    </cfRule>
  </conditionalFormatting>
  <conditionalFormatting sqref="C39">
    <cfRule type="expression" dxfId="82" priority="9">
      <formula>CELL("row")=ROW()</formula>
    </cfRule>
  </conditionalFormatting>
  <conditionalFormatting sqref="C40">
    <cfRule type="duplicateValues" dxfId="81" priority="8"/>
  </conditionalFormatting>
  <conditionalFormatting sqref="C40">
    <cfRule type="containsText" dxfId="80" priority="7" operator="containsText" text="@">
      <formula>NOT(ISERROR(SEARCH("@",C40)))</formula>
    </cfRule>
  </conditionalFormatting>
  <conditionalFormatting sqref="C40">
    <cfRule type="expression" dxfId="79" priority="6">
      <formula>CELL("row")=ROW()</formula>
    </cfRule>
  </conditionalFormatting>
  <conditionalFormatting sqref="C42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{DB7BA797-6AED-40BD-B0FC-93A76F9EFC86}</x14:id>
        </ext>
      </extLst>
    </cfRule>
  </conditionalFormatting>
  <conditionalFormatting sqref="C46">
    <cfRule type="duplicateValues" dxfId="78" priority="4"/>
  </conditionalFormatting>
  <conditionalFormatting sqref="C46">
    <cfRule type="containsText" dxfId="77" priority="3" operator="containsText" text="@">
      <formula>NOT(ISERROR(SEARCH("@",C46)))</formula>
    </cfRule>
  </conditionalFormatting>
  <conditionalFormatting sqref="C46">
    <cfRule type="expression" dxfId="76" priority="2">
      <formula>CELL("row")=ROW()</formula>
    </cfRule>
  </conditionalFormatting>
  <conditionalFormatting sqref="AY12 Z12 AC12:AD12">
    <cfRule type="expression" dxfId="75" priority="1">
      <formula>CELL("row")=ROW()</formula>
    </cfRule>
  </conditionalFormatting>
  <conditionalFormatting sqref="CT7:CT24">
    <cfRule type="colorScale" priority="3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138" scale="13" orientation="landscape" horizontalDpi="1200" verticalDpi="120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7B8BDE-978B-4FAD-A7BB-37EC5916D1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C32193E5-4DCC-4B5E-A336-D817810C7C5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C32</xm:sqref>
        </x14:conditionalFormatting>
        <x14:conditionalFormatting xmlns:xm="http://schemas.microsoft.com/office/excel/2006/main">
          <x14:cfRule type="dataBar" id="{D5F217DE-93B8-40FE-9E27-5EEE6A81F4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C34</xm:sqref>
        </x14:conditionalFormatting>
        <x14:conditionalFormatting xmlns:xm="http://schemas.microsoft.com/office/excel/2006/main">
          <x14:cfRule type="dataBar" id="{DB7BA797-6AED-40BD-B0FC-93A76F9EFC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D4F4F-1DE1-4B14-818A-B20B4EC1EBF8}">
  <sheetPr codeName="Hoja42">
    <pageSetUpPr fitToPage="1"/>
  </sheetPr>
  <dimension ref="A1:CX117"/>
  <sheetViews>
    <sheetView zoomScaleNormal="100" zoomScaleSheetLayoutView="70" workbookViewId="0">
      <pane xSplit="3" topLeftCell="CK1" activePane="topRight" state="frozen"/>
      <selection pane="topRight" activeCell="CR7" sqref="CR7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4" width="15" style="1" bestFit="1" customWidth="1"/>
    <col min="25" max="25" width="14.7109375" style="1" customWidth="1"/>
    <col min="26" max="26" width="15" style="1" hidden="1" customWidth="1"/>
    <col min="27" max="27" width="12.85546875" style="1" hidden="1" customWidth="1"/>
    <col min="28" max="28" width="13.140625" style="1" hidden="1" customWidth="1"/>
    <col min="29" max="29" width="12.85546875" style="1" hidden="1" customWidth="1"/>
    <col min="30" max="30" width="9.5703125" style="1" hidden="1" customWidth="1"/>
    <col min="31" max="32" width="8.42578125" style="1" hidden="1" customWidth="1"/>
    <col min="33" max="33" width="15.7109375" style="1" hidden="1" customWidth="1"/>
    <col min="34" max="34" width="13.7109375" style="1" hidden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4.7109375" style="1" bestFit="1" customWidth="1"/>
    <col min="57" max="57" width="15.7109375" style="1" customWidth="1"/>
    <col min="58" max="58" width="14.140625" style="1" customWidth="1"/>
    <col min="59" max="59" width="13.42578125" style="1" customWidth="1"/>
    <col min="60" max="60" width="13.5703125" style="1" customWidth="1"/>
    <col min="61" max="61" width="14.85546875" style="1" customWidth="1"/>
    <col min="62" max="62" width="11.28515625" style="1" customWidth="1"/>
    <col min="63" max="63" width="10.5703125" style="1" hidden="1" customWidth="1"/>
    <col min="64" max="64" width="12.7109375" style="1" hidden="1" customWidth="1"/>
    <col min="65" max="66" width="18.140625" style="1" customWidth="1"/>
    <col min="67" max="67" width="22.7109375" style="1" customWidth="1"/>
    <col min="68" max="68" width="14.28515625" style="1" customWidth="1"/>
    <col min="69" max="69" width="16.28515625" style="1" customWidth="1"/>
    <col min="70" max="70" width="15.7109375" style="1" customWidth="1"/>
    <col min="71" max="71" width="11.5703125" style="1" customWidth="1"/>
    <col min="72" max="72" width="12.140625" style="1" customWidth="1"/>
    <col min="73" max="73" width="15.140625" style="1" customWidth="1"/>
    <col min="74" max="74" width="15.7109375" style="1" customWidth="1"/>
    <col min="75" max="75" width="13" style="1" hidden="1" customWidth="1"/>
    <col min="76" max="76" width="13.28515625" style="1" hidden="1" customWidth="1"/>
    <col min="77" max="77" width="15.140625" style="1" customWidth="1"/>
    <col min="78" max="78" width="15.7109375" style="1" customWidth="1"/>
    <col min="79" max="79" width="13.85546875" style="1" hidden="1" customWidth="1"/>
    <col min="80" max="80" width="15.85546875" style="1" hidden="1" customWidth="1"/>
    <col min="81" max="82" width="14.28515625" style="1" bestFit="1" customWidth="1"/>
    <col min="83" max="84" width="12.140625" style="1" hidden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90">
        <v>3697</v>
      </c>
      <c r="B2" s="191">
        <v>1.33</v>
      </c>
      <c r="C2" s="192">
        <v>1.1499999999999999</v>
      </c>
      <c r="D2" s="193">
        <v>395.32</v>
      </c>
      <c r="E2" s="193">
        <v>1.3133333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179">
        <v>3723</v>
      </c>
      <c r="B3" s="180">
        <v>1.31</v>
      </c>
      <c r="C3" s="180">
        <v>1.1399999999999999</v>
      </c>
      <c r="D3" s="181">
        <v>395.32</v>
      </c>
      <c r="E3" s="181">
        <v>1.31</v>
      </c>
      <c r="F3" s="32"/>
      <c r="H3" s="32"/>
      <c r="L3" s="32"/>
      <c r="T3" s="43"/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A4" s="172" t="s">
        <v>197</v>
      </c>
      <c r="BO4" s="78" t="s">
        <v>10</v>
      </c>
      <c r="CH4" s="80"/>
    </row>
    <row r="5" spans="1:102" s="4" customFormat="1" ht="43.5" customHeigh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208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198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148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141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141" t="s">
        <v>112</v>
      </c>
      <c r="BX6" s="141" t="s">
        <v>112</v>
      </c>
      <c r="BY6" s="82" t="s">
        <v>45</v>
      </c>
      <c r="BZ6" s="82" t="s">
        <v>46</v>
      </c>
      <c r="CA6" s="141" t="s">
        <v>53</v>
      </c>
      <c r="CB6" s="141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>
        <v>0</v>
      </c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4835079</v>
      </c>
    </row>
    <row r="7" spans="1:102">
      <c r="A7" s="44"/>
      <c r="B7" s="45" t="s">
        <v>118</v>
      </c>
      <c r="C7" s="46" t="s">
        <v>119</v>
      </c>
      <c r="D7" s="102">
        <v>0</v>
      </c>
      <c r="E7" s="102">
        <v>0</v>
      </c>
      <c r="F7" s="98">
        <f>SUM((D7*2)*0.3)</f>
        <v>0</v>
      </c>
      <c r="G7" s="98">
        <f>SUM((E7*2)*0.3)</f>
        <v>0</v>
      </c>
      <c r="H7" s="98">
        <v>60</v>
      </c>
      <c r="I7" s="98">
        <v>15</v>
      </c>
      <c r="J7" s="98">
        <f>SUM(H7*0.78)*$C$2</f>
        <v>53.82</v>
      </c>
      <c r="K7" s="98">
        <f>SUM(I7*0.78)*$C$3</f>
        <v>13.337999999999999</v>
      </c>
      <c r="L7" s="103">
        <v>34.840000000000003</v>
      </c>
      <c r="M7" s="98">
        <f>L7</f>
        <v>34.840000000000003</v>
      </c>
      <c r="N7" s="98">
        <v>35.1</v>
      </c>
      <c r="O7" s="98">
        <v>32.619999999999997</v>
      </c>
      <c r="P7" s="98">
        <f>N7*$C$2</f>
        <v>40.365000000000002</v>
      </c>
      <c r="Q7" s="98">
        <f>O7*$C$3</f>
        <v>37.186799999999991</v>
      </c>
      <c r="R7" s="103">
        <v>44.57</v>
      </c>
      <c r="S7" s="98">
        <f>R7*$C$3</f>
        <v>50.809799999999996</v>
      </c>
      <c r="T7" s="103">
        <v>49.51</v>
      </c>
      <c r="U7" s="98">
        <v>54.46</v>
      </c>
      <c r="V7" s="98">
        <f>SUM(T7*($C$2))</f>
        <v>56.936499999999995</v>
      </c>
      <c r="W7" s="98">
        <f>SUM(U7*($C$3))</f>
        <v>62.084399999999995</v>
      </c>
      <c r="X7" s="120">
        <v>0</v>
      </c>
      <c r="Y7" s="120">
        <v>0</v>
      </c>
      <c r="Z7" s="121"/>
      <c r="AA7" s="121">
        <f>SUM(X7*0.75)+(Z7*0.75)</f>
        <v>0</v>
      </c>
      <c r="AB7" s="121">
        <f>(Y7*0.75)+(Z7*0.75)</f>
        <v>0</v>
      </c>
      <c r="AC7" s="121">
        <v>0</v>
      </c>
      <c r="AD7" s="121">
        <v>0</v>
      </c>
      <c r="AE7" s="121">
        <f>AC7*0.75</f>
        <v>0</v>
      </c>
      <c r="AF7" s="121">
        <f>AD7*0.75</f>
        <v>0</v>
      </c>
      <c r="AG7" s="98"/>
      <c r="AH7" s="98"/>
      <c r="AI7" s="98">
        <f>AG7*0.75</f>
        <v>0</v>
      </c>
      <c r="AJ7" s="98">
        <f>AH7*0.75</f>
        <v>0</v>
      </c>
      <c r="AK7" s="103">
        <v>49.01</v>
      </c>
      <c r="AL7" s="98">
        <v>30.81</v>
      </c>
      <c r="AM7" s="98">
        <f>AK7*$C$2</f>
        <v>56.361499999999992</v>
      </c>
      <c r="AN7" s="98">
        <f>AL7*$C$3</f>
        <v>35.123399999999997</v>
      </c>
      <c r="AO7" s="98"/>
      <c r="AP7" s="98"/>
      <c r="AQ7" s="130"/>
      <c r="AR7" s="130"/>
      <c r="AS7" s="98"/>
      <c r="AT7" s="98">
        <f>AS7*$C$3</f>
        <v>0</v>
      </c>
      <c r="AU7" s="98"/>
      <c r="AV7" s="149">
        <f>AU7</f>
        <v>0</v>
      </c>
      <c r="AW7" s="98">
        <v>38.11</v>
      </c>
      <c r="AX7" s="98">
        <v>29.19</v>
      </c>
      <c r="AY7" s="98"/>
      <c r="AZ7" s="98">
        <f>AY7*$D$2</f>
        <v>0</v>
      </c>
      <c r="BA7" s="99">
        <v>39.520000000000003</v>
      </c>
      <c r="BB7" s="99">
        <v>27.17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>BH7*$C$3</f>
        <v>0</v>
      </c>
      <c r="BK7" s="98"/>
      <c r="BL7" s="98"/>
      <c r="BM7" s="98">
        <v>120.69</v>
      </c>
      <c r="BN7" s="98">
        <f>(BM7*$C$3)-((BM7*$C$3)*0.16)</f>
        <v>115.57274399999997</v>
      </c>
      <c r="BO7" s="105">
        <v>112.31</v>
      </c>
      <c r="BP7" s="149">
        <f>BO7*$C$3</f>
        <v>128.0334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42">
        <f>BU7*$E$2</f>
        <v>0</v>
      </c>
      <c r="BX7" s="142">
        <f>BV7*$E$3</f>
        <v>0</v>
      </c>
      <c r="BY7" s="110">
        <v>66.849999999999994</v>
      </c>
      <c r="BZ7" s="110">
        <v>188.23</v>
      </c>
      <c r="CA7" s="142">
        <f>BY7/2</f>
        <v>33.424999999999997</v>
      </c>
      <c r="CB7" s="142">
        <f>BZ7/2</f>
        <v>94.114999999999995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2107000</v>
      </c>
      <c r="CI7" s="72"/>
      <c r="CJ7" s="72"/>
      <c r="CK7" s="53">
        <v>1042000</v>
      </c>
      <c r="CL7" s="72"/>
      <c r="CM7" s="53">
        <v>1065000</v>
      </c>
      <c r="CN7" s="72"/>
      <c r="CO7" s="72">
        <v>0</v>
      </c>
      <c r="CP7" s="90"/>
      <c r="CQ7" s="68">
        <v>0</v>
      </c>
      <c r="CR7" s="69">
        <f>SUM(AO7,AQ7,F7,P7,BS7,AM7,AA7,AE7,J7,AI7,V7,BA7,BE7,CE7,AW7,CA7,BW7)</f>
        <v>318.53800000000001</v>
      </c>
      <c r="CS7" s="69">
        <f>SUM(AP7,AR7,G7,Q7,BN7,AZ7,M7,BT7,AN7,S7,AB7,AF7,K7,AJ7,BI7,W7,BB7,BF7,CF7,BP7,BL7,CG7,AT7,AV7,AX7,CB7,BX7)</f>
        <v>627.46354400000007</v>
      </c>
      <c r="CT7" s="70">
        <f t="shared" ref="CT7:CT25" si="0">(((CR7*$A$2)+(CS7*$A$3))*0.6)+((BJ7*$A$3)*0.75)</f>
        <v>2108209.0561871999</v>
      </c>
      <c r="CU7" s="70">
        <f t="shared" ref="CU7:CU25" si="1">((CR7*$A$2)+(CS7*$A$3))*0.4+((BJ7*$A$3)*0.25)</f>
        <v>1405472.7041248002</v>
      </c>
      <c r="CV7" s="143">
        <f>CT7-CH7</f>
        <v>1209.0561871998943</v>
      </c>
      <c r="CW7" s="1" t="s">
        <v>120</v>
      </c>
      <c r="CX7" s="126">
        <v>1029362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ref="F8:G22" si="2">SUM((D8*2)*0.3)</f>
        <v>0</v>
      </c>
      <c r="G8" s="98">
        <f t="shared" si="2"/>
        <v>0</v>
      </c>
      <c r="H8" s="98">
        <v>0</v>
      </c>
      <c r="I8" s="98">
        <v>0</v>
      </c>
      <c r="J8" s="98">
        <f t="shared" ref="J8:J25" si="3">SUM(H8*0.78)*$C$2</f>
        <v>0</v>
      </c>
      <c r="K8" s="98">
        <f t="shared" ref="K8:K25" si="4">SUM(I8*0.78)*$C$3</f>
        <v>0</v>
      </c>
      <c r="L8" s="103">
        <v>44.9</v>
      </c>
      <c r="M8" s="98">
        <f t="shared" ref="M8:M25" si="5">L8</f>
        <v>44.9</v>
      </c>
      <c r="N8" s="99"/>
      <c r="O8" s="99"/>
      <c r="P8" s="98">
        <f t="shared" ref="P8:P25" si="6">N8*$C$2</f>
        <v>0</v>
      </c>
      <c r="Q8" s="98">
        <f t="shared" ref="Q8:Q25" si="7">O8*$C$3</f>
        <v>0</v>
      </c>
      <c r="R8" s="103"/>
      <c r="S8" s="98">
        <f t="shared" ref="S8:S25" si="8">R8*$C$3</f>
        <v>0</v>
      </c>
      <c r="T8" s="103">
        <v>5.39</v>
      </c>
      <c r="U8" s="98">
        <v>10.74</v>
      </c>
      <c r="V8" s="98">
        <f t="shared" ref="V8:V25" si="9">SUM(T8*($C$2))</f>
        <v>6.1984999999999992</v>
      </c>
      <c r="W8" s="98">
        <f t="shared" ref="W8:W25" si="10">SUM(U8*($C$3))</f>
        <v>12.243599999999999</v>
      </c>
      <c r="X8" s="120">
        <v>0</v>
      </c>
      <c r="Y8" s="120">
        <v>27</v>
      </c>
      <c r="Z8" s="119"/>
      <c r="AA8" s="121">
        <f t="shared" ref="AA8:AA25" si="11">SUM(X8*0.75)+(Z8*0.75)</f>
        <v>0</v>
      </c>
      <c r="AB8" s="121">
        <f t="shared" ref="AB8:AB25" si="12">(Y8*0.75)+(Z8*0.75)</f>
        <v>20.25</v>
      </c>
      <c r="AC8" s="119"/>
      <c r="AD8" s="119"/>
      <c r="AE8" s="121">
        <f t="shared" ref="AE8:AF25" si="13">AC8*0.75</f>
        <v>0</v>
      </c>
      <c r="AF8" s="121">
        <f t="shared" si="13"/>
        <v>0</v>
      </c>
      <c r="AG8" s="98"/>
      <c r="AH8" s="98"/>
      <c r="AI8" s="98">
        <f t="shared" ref="AI8:AJ25" si="14">AG8*0.75</f>
        <v>0</v>
      </c>
      <c r="AJ8" s="98">
        <f t="shared" si="14"/>
        <v>0</v>
      </c>
      <c r="AK8" s="103">
        <v>40.25</v>
      </c>
      <c r="AL8" s="98">
        <v>78.31</v>
      </c>
      <c r="AM8" s="98">
        <f t="shared" ref="AM8:AM25" si="15">AK8*$C$2</f>
        <v>46.287499999999994</v>
      </c>
      <c r="AN8" s="98">
        <f t="shared" ref="AN8:AN25" si="16">AL8*$C$3</f>
        <v>89.273399999999995</v>
      </c>
      <c r="AO8" s="99">
        <v>0</v>
      </c>
      <c r="AP8" s="99">
        <v>0</v>
      </c>
      <c r="AQ8" s="131"/>
      <c r="AR8" s="131"/>
      <c r="AS8" s="99"/>
      <c r="AT8" s="98">
        <f t="shared" ref="AT8:AT25" si="17">AS8*$C$3</f>
        <v>0</v>
      </c>
      <c r="AU8" s="99"/>
      <c r="AV8" s="149">
        <f t="shared" ref="AV8:AV25" si="18">AU8</f>
        <v>0</v>
      </c>
      <c r="AW8" s="98">
        <v>76.8</v>
      </c>
      <c r="AX8" s="98">
        <v>17.97</v>
      </c>
      <c r="AY8" s="99"/>
      <c r="AZ8" s="98">
        <f t="shared" ref="AZ8:AZ25" si="19">AY8*$D$2</f>
        <v>0</v>
      </c>
      <c r="BA8" s="99"/>
      <c r="BB8" s="99"/>
      <c r="BC8" s="99">
        <v>160.80000000000001</v>
      </c>
      <c r="BD8" s="99">
        <f>42+6.79</f>
        <v>48.79</v>
      </c>
      <c r="BE8" s="98">
        <f t="shared" ref="BE8:BE25" si="20">SUM(BC8*0.62)*$B$2</f>
        <v>132.59568000000002</v>
      </c>
      <c r="BF8" s="98">
        <f t="shared" ref="BF8:BF25" si="21">SUM(BD8*0.62)*$B$3</f>
        <v>39.627238000000006</v>
      </c>
      <c r="BG8" s="98">
        <v>42.5</v>
      </c>
      <c r="BH8" s="98">
        <v>0</v>
      </c>
      <c r="BI8" s="98">
        <f t="shared" ref="BI8:BI25" si="22">(BG8*$C$3)</f>
        <v>48.449999999999996</v>
      </c>
      <c r="BJ8" s="98">
        <f t="shared" ref="BJ8:BJ25" si="23">BH8*$C$3</f>
        <v>0</v>
      </c>
      <c r="BK8" s="99"/>
      <c r="BL8" s="99"/>
      <c r="BM8" s="99">
        <v>104.27</v>
      </c>
      <c r="BN8" s="98">
        <f t="shared" ref="BN8:BN25" si="24">(BM8*$C$3)-((BM8*$C$3)*0.16)</f>
        <v>99.848951999999997</v>
      </c>
      <c r="BO8" s="105">
        <v>74.11</v>
      </c>
      <c r="BP8" s="149">
        <f t="shared" ref="BP8:BP25" si="25">BO8*$C$3</f>
        <v>84.485399999999998</v>
      </c>
      <c r="BQ8" s="113">
        <v>0</v>
      </c>
      <c r="BR8" s="113">
        <v>0</v>
      </c>
      <c r="BS8" s="104">
        <f t="shared" ref="BS8:BS25" si="26">(BQ8/$D$2)*$C$2</f>
        <v>0</v>
      </c>
      <c r="BT8" s="104">
        <f t="shared" ref="BT8:BT25" si="27">(BR8/$D$3)*$C$3</f>
        <v>0</v>
      </c>
      <c r="BU8" s="105">
        <v>0</v>
      </c>
      <c r="BV8" s="105">
        <v>22.27</v>
      </c>
      <c r="BW8" s="142">
        <f t="shared" ref="BW8:BW25" si="28">BU8*$E$2</f>
        <v>0</v>
      </c>
      <c r="BX8" s="142">
        <f t="shared" ref="BX8:BX25" si="29">BV8*$E$3</f>
        <v>29.1737</v>
      </c>
      <c r="BY8" s="110">
        <v>19.32</v>
      </c>
      <c r="BZ8" s="110">
        <v>8.5</v>
      </c>
      <c r="CA8" s="142">
        <f t="shared" ref="CA8:CB25" si="30">BY8/2</f>
        <v>9.66</v>
      </c>
      <c r="CB8" s="142">
        <f t="shared" si="30"/>
        <v>4.25</v>
      </c>
      <c r="CC8" s="109">
        <v>0</v>
      </c>
      <c r="CD8" s="109">
        <v>0</v>
      </c>
      <c r="CE8" s="98">
        <f t="shared" ref="CE8:CF25" si="31">CC8*0.05</f>
        <v>0</v>
      </c>
      <c r="CF8" s="107">
        <f t="shared" si="31"/>
        <v>0</v>
      </c>
      <c r="CG8" s="81"/>
      <c r="CH8" s="65">
        <f t="shared" ref="CH8:CH25" si="32">SUM(CI8:CO8)</f>
        <v>1702000</v>
      </c>
      <c r="CI8" s="73"/>
      <c r="CJ8" s="125"/>
      <c r="CK8" s="66">
        <v>962000</v>
      </c>
      <c r="CL8" s="73"/>
      <c r="CM8" s="66">
        <v>740000</v>
      </c>
      <c r="CN8" s="73"/>
      <c r="CO8" s="73">
        <v>0</v>
      </c>
      <c r="CP8" s="90"/>
      <c r="CQ8" s="68">
        <v>0</v>
      </c>
      <c r="CR8" s="69">
        <f t="shared" ref="CR8:CR25" si="33">SUM(AO8,AQ8,F8,P8,BS8,AM8,AA8,AE8,J8,AI8,V8,BA8,BE8,CE8,AW8,CA8,BW8)</f>
        <v>271.54168000000004</v>
      </c>
      <c r="CS8" s="69">
        <f t="shared" ref="CS8:CS21" si="34">SUM(AP8,AR8,G8,Q8,BN8,AZ8,M8,BT8,AN8,S8,AB8,AF8,K8,AJ8,BI8,W8,BB8,BF8,CF8,BP8,BL8,CG8,AT8,AV8,AX8,CB8,BX8)</f>
        <v>490.4722900000001</v>
      </c>
      <c r="CT8" s="70">
        <f t="shared" si="0"/>
        <v>1697950.7559780004</v>
      </c>
      <c r="CU8" s="70">
        <f t="shared" si="1"/>
        <v>1131967.1706520002</v>
      </c>
      <c r="CV8" s="70">
        <f t="shared" ref="CV8:CV25" si="35">CT8-CH8</f>
        <v>-4049.2440219996497</v>
      </c>
      <c r="CW8" s="15" t="s">
        <v>123</v>
      </c>
      <c r="CX8" s="127">
        <v>179230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2"/>
        <v>0</v>
      </c>
      <c r="G9" s="98">
        <f t="shared" si="2"/>
        <v>0</v>
      </c>
      <c r="H9" s="98"/>
      <c r="I9" s="98"/>
      <c r="J9" s="98">
        <f t="shared" si="3"/>
        <v>0</v>
      </c>
      <c r="K9" s="98">
        <f t="shared" si="4"/>
        <v>0</v>
      </c>
      <c r="L9" s="103">
        <v>27.83</v>
      </c>
      <c r="M9" s="98">
        <f t="shared" si="5"/>
        <v>27.83</v>
      </c>
      <c r="N9" s="98"/>
      <c r="O9" s="98"/>
      <c r="P9" s="98">
        <f t="shared" si="6"/>
        <v>0</v>
      </c>
      <c r="Q9" s="98">
        <f t="shared" si="7"/>
        <v>0</v>
      </c>
      <c r="R9" s="103">
        <v>27.39</v>
      </c>
      <c r="S9" s="98">
        <f t="shared" si="8"/>
        <v>31.224599999999999</v>
      </c>
      <c r="T9" s="103">
        <v>0.14000000000000001</v>
      </c>
      <c r="U9" s="98">
        <v>1.23</v>
      </c>
      <c r="V9" s="98">
        <f t="shared" si="9"/>
        <v>0.161</v>
      </c>
      <c r="W9" s="98">
        <f t="shared" si="10"/>
        <v>1.4021999999999999</v>
      </c>
      <c r="X9" s="120">
        <v>32.799999999999997</v>
      </c>
      <c r="Y9" s="120">
        <v>0</v>
      </c>
      <c r="Z9" s="121"/>
      <c r="AA9" s="121">
        <f t="shared" si="11"/>
        <v>24.599999999999998</v>
      </c>
      <c r="AB9" s="121">
        <f t="shared" si="12"/>
        <v>0</v>
      </c>
      <c r="AC9" s="123">
        <v>0</v>
      </c>
      <c r="AD9" s="123">
        <v>0</v>
      </c>
      <c r="AE9" s="121">
        <f t="shared" si="13"/>
        <v>0</v>
      </c>
      <c r="AF9" s="121">
        <f t="shared" si="13"/>
        <v>0</v>
      </c>
      <c r="AG9" s="98"/>
      <c r="AH9" s="98"/>
      <c r="AI9" s="98">
        <f t="shared" si="14"/>
        <v>0</v>
      </c>
      <c r="AJ9" s="98">
        <f t="shared" si="14"/>
        <v>0</v>
      </c>
      <c r="AK9" s="103">
        <v>1.05</v>
      </c>
      <c r="AL9" s="98">
        <v>24.28</v>
      </c>
      <c r="AM9" s="98">
        <f t="shared" si="15"/>
        <v>1.2075</v>
      </c>
      <c r="AN9" s="98">
        <f t="shared" si="16"/>
        <v>27.679199999999998</v>
      </c>
      <c r="AO9" s="98"/>
      <c r="AP9" s="98"/>
      <c r="AQ9" s="130"/>
      <c r="AR9" s="130"/>
      <c r="AS9" s="99"/>
      <c r="AT9" s="98">
        <f t="shared" si="17"/>
        <v>0</v>
      </c>
      <c r="AU9" s="98"/>
      <c r="AV9" s="149">
        <f t="shared" si="18"/>
        <v>0</v>
      </c>
      <c r="AW9" s="98">
        <v>8.11</v>
      </c>
      <c r="AX9" s="98">
        <v>0</v>
      </c>
      <c r="AY9" s="98"/>
      <c r="AZ9" s="98">
        <f t="shared" si="19"/>
        <v>0</v>
      </c>
      <c r="BA9" s="98"/>
      <c r="BB9" s="98"/>
      <c r="BC9" s="98"/>
      <c r="BD9" s="98"/>
      <c r="BE9" s="98">
        <f t="shared" si="20"/>
        <v>0</v>
      </c>
      <c r="BF9" s="98">
        <f t="shared" si="21"/>
        <v>0</v>
      </c>
      <c r="BG9" s="98">
        <v>33.74</v>
      </c>
      <c r="BH9" s="98">
        <v>0</v>
      </c>
      <c r="BI9" s="98">
        <f t="shared" si="22"/>
        <v>38.4636</v>
      </c>
      <c r="BJ9" s="98">
        <f t="shared" si="23"/>
        <v>0</v>
      </c>
      <c r="BK9" s="98"/>
      <c r="BL9" s="98"/>
      <c r="BM9" s="98"/>
      <c r="BN9" s="98">
        <f t="shared" si="24"/>
        <v>0</v>
      </c>
      <c r="BO9" s="105">
        <v>7.76</v>
      </c>
      <c r="BP9" s="149">
        <f t="shared" si="25"/>
        <v>8.8463999999999992</v>
      </c>
      <c r="BQ9" s="112">
        <v>0</v>
      </c>
      <c r="BR9" s="112">
        <v>0</v>
      </c>
      <c r="BS9" s="104">
        <f>(BQ9/$D$2)*$C$2</f>
        <v>0</v>
      </c>
      <c r="BT9" s="104">
        <f t="shared" si="27"/>
        <v>0</v>
      </c>
      <c r="BU9" s="105">
        <v>0.5</v>
      </c>
      <c r="BV9" s="105">
        <v>0</v>
      </c>
      <c r="BW9" s="142">
        <f t="shared" si="28"/>
        <v>0.65666665000000002</v>
      </c>
      <c r="BX9" s="142">
        <f t="shared" si="29"/>
        <v>0</v>
      </c>
      <c r="BY9" s="110">
        <v>8.7200000000000006</v>
      </c>
      <c r="BZ9" s="110">
        <v>9.16</v>
      </c>
      <c r="CA9" s="142">
        <f t="shared" si="30"/>
        <v>4.3600000000000003</v>
      </c>
      <c r="CB9" s="142">
        <f t="shared" si="30"/>
        <v>4.58</v>
      </c>
      <c r="CC9" s="106"/>
      <c r="CD9" s="106"/>
      <c r="CE9" s="98">
        <f t="shared" si="31"/>
        <v>0</v>
      </c>
      <c r="CF9" s="107">
        <f t="shared" si="31"/>
        <v>0</v>
      </c>
      <c r="CG9" s="89"/>
      <c r="CH9" s="65">
        <f t="shared" si="32"/>
        <v>395000</v>
      </c>
      <c r="CI9" s="73"/>
      <c r="CJ9" s="73"/>
      <c r="CK9" s="66">
        <v>255000</v>
      </c>
      <c r="CL9" s="73"/>
      <c r="CM9" s="66">
        <v>140000</v>
      </c>
      <c r="CN9" s="73"/>
      <c r="CO9" s="73"/>
      <c r="CP9" s="90"/>
      <c r="CQ9" s="68">
        <v>0</v>
      </c>
      <c r="CR9" s="69">
        <f t="shared" si="33"/>
        <v>39.095166649999996</v>
      </c>
      <c r="CS9" s="69">
        <f t="shared" si="34"/>
        <v>140.02599999999998</v>
      </c>
      <c r="CT9" s="70">
        <f t="shared" si="0"/>
        <v>399510.97746302991</v>
      </c>
      <c r="CU9" s="70">
        <f t="shared" si="1"/>
        <v>266340.65164201998</v>
      </c>
      <c r="CV9" s="70">
        <f t="shared" si="35"/>
        <v>4510.9774630299071</v>
      </c>
      <c r="CW9" s="87" t="s">
        <v>126</v>
      </c>
      <c r="CX9" s="87">
        <v>2920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2"/>
        <v>0</v>
      </c>
      <c r="G10" s="98">
        <f t="shared" si="2"/>
        <v>0</v>
      </c>
      <c r="H10" s="98">
        <v>30</v>
      </c>
      <c r="I10" s="98">
        <v>0</v>
      </c>
      <c r="J10" s="98">
        <f t="shared" si="3"/>
        <v>26.91</v>
      </c>
      <c r="K10" s="98">
        <f t="shared" si="4"/>
        <v>0</v>
      </c>
      <c r="L10" s="103">
        <v>94.87</v>
      </c>
      <c r="M10" s="98">
        <f t="shared" si="5"/>
        <v>94.87</v>
      </c>
      <c r="N10" s="99"/>
      <c r="O10" s="99"/>
      <c r="P10" s="98">
        <f t="shared" si="6"/>
        <v>0</v>
      </c>
      <c r="Q10" s="98">
        <f t="shared" si="7"/>
        <v>0</v>
      </c>
      <c r="R10" s="103">
        <v>60.7</v>
      </c>
      <c r="S10" s="98">
        <f t="shared" si="8"/>
        <v>69.197999999999993</v>
      </c>
      <c r="T10" s="103">
        <v>30.17</v>
      </c>
      <c r="U10" s="98">
        <v>10.130000000000001</v>
      </c>
      <c r="V10" s="98">
        <f t="shared" si="9"/>
        <v>34.695500000000003</v>
      </c>
      <c r="W10" s="98">
        <f t="shared" si="10"/>
        <v>11.5482</v>
      </c>
      <c r="X10" s="120">
        <v>0</v>
      </c>
      <c r="Y10" s="120">
        <v>0</v>
      </c>
      <c r="Z10" s="119"/>
      <c r="AA10" s="121">
        <f t="shared" si="11"/>
        <v>0</v>
      </c>
      <c r="AB10" s="121">
        <f t="shared" si="12"/>
        <v>0</v>
      </c>
      <c r="AC10" s="122">
        <v>0</v>
      </c>
      <c r="AD10" s="122">
        <v>0</v>
      </c>
      <c r="AE10" s="121">
        <f t="shared" si="13"/>
        <v>0</v>
      </c>
      <c r="AF10" s="121">
        <f t="shared" si="13"/>
        <v>0</v>
      </c>
      <c r="AG10" s="98">
        <v>0</v>
      </c>
      <c r="AH10" s="98">
        <v>0</v>
      </c>
      <c r="AI10" s="98">
        <f t="shared" si="14"/>
        <v>0</v>
      </c>
      <c r="AJ10" s="98">
        <f t="shared" si="14"/>
        <v>0</v>
      </c>
      <c r="AK10" s="103">
        <v>158.63999999999999</v>
      </c>
      <c r="AL10" s="98">
        <v>62.6</v>
      </c>
      <c r="AM10" s="98">
        <f t="shared" si="15"/>
        <v>182.43599999999998</v>
      </c>
      <c r="AN10" s="98">
        <f t="shared" si="16"/>
        <v>71.36399999999999</v>
      </c>
      <c r="AO10" s="98"/>
      <c r="AP10" s="98"/>
      <c r="AQ10" s="131"/>
      <c r="AR10" s="131">
        <v>0</v>
      </c>
      <c r="AS10" s="99"/>
      <c r="AT10" s="98">
        <f t="shared" si="17"/>
        <v>0</v>
      </c>
      <c r="AU10" s="99"/>
      <c r="AV10" s="149">
        <f t="shared" si="18"/>
        <v>0</v>
      </c>
      <c r="AW10" s="98">
        <v>60.66</v>
      </c>
      <c r="AX10" s="98">
        <v>63.99</v>
      </c>
      <c r="AY10" s="99"/>
      <c r="AZ10" s="98">
        <f t="shared" si="19"/>
        <v>0</v>
      </c>
      <c r="BA10" s="99"/>
      <c r="BB10" s="99"/>
      <c r="BC10" s="99"/>
      <c r="BD10" s="99"/>
      <c r="BE10" s="98">
        <f t="shared" si="20"/>
        <v>0</v>
      </c>
      <c r="BF10" s="98">
        <f t="shared" si="21"/>
        <v>0</v>
      </c>
      <c r="BG10" s="98">
        <v>130.47999999999999</v>
      </c>
      <c r="BH10" s="98">
        <v>4.43</v>
      </c>
      <c r="BI10" s="98">
        <f t="shared" si="22"/>
        <v>148.74719999999996</v>
      </c>
      <c r="BJ10" s="98">
        <f t="shared" si="23"/>
        <v>5.0501999999999994</v>
      </c>
      <c r="BK10" s="99"/>
      <c r="BL10" s="99"/>
      <c r="BM10" s="98"/>
      <c r="BN10" s="98">
        <f t="shared" si="24"/>
        <v>0</v>
      </c>
      <c r="BO10" s="105">
        <v>188.19</v>
      </c>
      <c r="BP10" s="149">
        <f t="shared" si="25"/>
        <v>214.53659999999999</v>
      </c>
      <c r="BQ10" s="113"/>
      <c r="BR10" s="113"/>
      <c r="BS10" s="104">
        <f t="shared" si="26"/>
        <v>0</v>
      </c>
      <c r="BT10" s="104">
        <f t="shared" si="27"/>
        <v>0</v>
      </c>
      <c r="BU10" s="105">
        <v>0</v>
      </c>
      <c r="BV10" s="105">
        <v>0</v>
      </c>
      <c r="BW10" s="142">
        <f t="shared" si="28"/>
        <v>0</v>
      </c>
      <c r="BX10" s="142">
        <f t="shared" si="29"/>
        <v>0</v>
      </c>
      <c r="BY10" s="111"/>
      <c r="BZ10" s="111"/>
      <c r="CA10" s="142">
        <f t="shared" si="30"/>
        <v>0</v>
      </c>
      <c r="CB10" s="142">
        <f t="shared" si="30"/>
        <v>0</v>
      </c>
      <c r="CC10" s="109"/>
      <c r="CD10" s="109"/>
      <c r="CE10" s="98">
        <f t="shared" si="31"/>
        <v>0</v>
      </c>
      <c r="CF10" s="107">
        <f t="shared" si="31"/>
        <v>0</v>
      </c>
      <c r="CG10" s="89"/>
      <c r="CH10" s="65">
        <f t="shared" si="32"/>
        <v>2196000</v>
      </c>
      <c r="CI10" s="73"/>
      <c r="CJ10" s="73"/>
      <c r="CK10" s="66">
        <v>1470000</v>
      </c>
      <c r="CL10" s="73"/>
      <c r="CM10" s="66">
        <v>726000</v>
      </c>
      <c r="CN10" s="73"/>
      <c r="CO10" s="73"/>
      <c r="CP10" s="90"/>
      <c r="CQ10" s="68">
        <v>0</v>
      </c>
      <c r="CR10" s="69">
        <f t="shared" si="33"/>
        <v>304.70150000000001</v>
      </c>
      <c r="CS10" s="69">
        <f>SUM(AP10,AR10,G10,Q10,BN10,AZ10,M10,BT10,AN10,S10,AB10,AF10,K10,AJ10,BI10,W10,BB10,BF10,CF10,BP10,BL10,CG10,AT10,AV10,AX10,CB10,BX10)</f>
        <v>674.25399999999991</v>
      </c>
      <c r="CT10" s="70">
        <f t="shared" si="0"/>
        <v>2196138.8734499998</v>
      </c>
      <c r="CU10" s="70">
        <f t="shared" si="1"/>
        <v>1459392.1086499998</v>
      </c>
      <c r="CV10" s="70">
        <f t="shared" si="35"/>
        <v>138.87344999983907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2"/>
        <v>0</v>
      </c>
      <c r="G11" s="98">
        <f t="shared" si="2"/>
        <v>0</v>
      </c>
      <c r="H11" s="98">
        <v>0</v>
      </c>
      <c r="I11" s="98">
        <v>0</v>
      </c>
      <c r="J11" s="98">
        <f t="shared" si="3"/>
        <v>0</v>
      </c>
      <c r="K11" s="98">
        <f t="shared" si="4"/>
        <v>0</v>
      </c>
      <c r="L11" s="103">
        <v>40.4</v>
      </c>
      <c r="M11" s="98">
        <f t="shared" si="5"/>
        <v>40.4</v>
      </c>
      <c r="N11" s="98"/>
      <c r="O11" s="98"/>
      <c r="P11" s="98">
        <f t="shared" si="6"/>
        <v>0</v>
      </c>
      <c r="Q11" s="98">
        <f t="shared" si="7"/>
        <v>0</v>
      </c>
      <c r="R11" s="103">
        <v>127.96</v>
      </c>
      <c r="S11" s="98">
        <f t="shared" si="8"/>
        <v>145.87439999999998</v>
      </c>
      <c r="T11" s="103">
        <v>10.59</v>
      </c>
      <c r="U11" s="98">
        <v>15.51</v>
      </c>
      <c r="V11" s="98">
        <f t="shared" si="9"/>
        <v>12.1785</v>
      </c>
      <c r="W11" s="98">
        <f t="shared" si="10"/>
        <v>17.6814</v>
      </c>
      <c r="X11" s="120">
        <v>18</v>
      </c>
      <c r="Y11" s="120">
        <v>26</v>
      </c>
      <c r="Z11" s="121"/>
      <c r="AA11" s="121">
        <f t="shared" si="11"/>
        <v>13.5</v>
      </c>
      <c r="AB11" s="121">
        <f t="shared" si="12"/>
        <v>19.5</v>
      </c>
      <c r="AC11" s="123">
        <v>0</v>
      </c>
      <c r="AD11" s="123">
        <v>0</v>
      </c>
      <c r="AE11" s="121">
        <f t="shared" si="13"/>
        <v>0</v>
      </c>
      <c r="AF11" s="121">
        <f t="shared" si="13"/>
        <v>0</v>
      </c>
      <c r="AG11" s="98"/>
      <c r="AH11" s="98"/>
      <c r="AI11" s="98">
        <f t="shared" si="14"/>
        <v>0</v>
      </c>
      <c r="AJ11" s="98">
        <f t="shared" si="14"/>
        <v>0</v>
      </c>
      <c r="AK11" s="103">
        <v>38.47</v>
      </c>
      <c r="AL11" s="98">
        <v>57.93</v>
      </c>
      <c r="AM11" s="98">
        <f t="shared" si="15"/>
        <v>44.240499999999997</v>
      </c>
      <c r="AN11" s="98">
        <f t="shared" si="16"/>
        <v>66.040199999999999</v>
      </c>
      <c r="AO11" s="98"/>
      <c r="AP11" s="98"/>
      <c r="AQ11" s="131">
        <v>2.72</v>
      </c>
      <c r="AR11" s="131">
        <v>6.86</v>
      </c>
      <c r="AS11" s="99"/>
      <c r="AT11" s="98">
        <f t="shared" si="17"/>
        <v>0</v>
      </c>
      <c r="AU11" s="98"/>
      <c r="AV11" s="149">
        <f t="shared" si="18"/>
        <v>0</v>
      </c>
      <c r="AW11" s="98">
        <v>33.5</v>
      </c>
      <c r="AX11" s="98">
        <v>8.42</v>
      </c>
      <c r="AY11" s="98"/>
      <c r="AZ11" s="98">
        <f t="shared" si="19"/>
        <v>0</v>
      </c>
      <c r="BA11" s="98"/>
      <c r="BB11" s="98"/>
      <c r="BC11" s="98"/>
      <c r="BD11" s="98"/>
      <c r="BE11" s="98">
        <f t="shared" si="20"/>
        <v>0</v>
      </c>
      <c r="BF11" s="98">
        <f t="shared" si="21"/>
        <v>0</v>
      </c>
      <c r="BG11" s="98">
        <v>77.7</v>
      </c>
      <c r="BH11" s="98">
        <v>12.02</v>
      </c>
      <c r="BI11" s="98">
        <f t="shared" si="22"/>
        <v>88.577999999999989</v>
      </c>
      <c r="BJ11" s="98">
        <f t="shared" si="23"/>
        <v>13.702799999999998</v>
      </c>
      <c r="BK11" s="98"/>
      <c r="BL11" s="98"/>
      <c r="BM11" s="98">
        <v>59.59</v>
      </c>
      <c r="BN11" s="98">
        <f t="shared" si="24"/>
        <v>57.063383999999992</v>
      </c>
      <c r="BO11" s="105">
        <v>162.24</v>
      </c>
      <c r="BP11" s="149">
        <f t="shared" si="25"/>
        <v>184.95359999999999</v>
      </c>
      <c r="BQ11" s="112">
        <v>0</v>
      </c>
      <c r="BR11" s="112">
        <v>0</v>
      </c>
      <c r="BS11" s="104">
        <f t="shared" si="26"/>
        <v>0</v>
      </c>
      <c r="BT11" s="104">
        <f t="shared" si="27"/>
        <v>0</v>
      </c>
      <c r="BU11" s="105">
        <v>0</v>
      </c>
      <c r="BV11" s="105">
        <v>15.71</v>
      </c>
      <c r="BW11" s="142">
        <f t="shared" si="28"/>
        <v>0</v>
      </c>
      <c r="BX11" s="142">
        <f t="shared" si="29"/>
        <v>20.580100000000002</v>
      </c>
      <c r="BY11" s="110">
        <v>0</v>
      </c>
      <c r="BZ11" s="110">
        <v>0</v>
      </c>
      <c r="CA11" s="142">
        <f t="shared" si="30"/>
        <v>0</v>
      </c>
      <c r="CB11" s="142">
        <f t="shared" si="30"/>
        <v>0</v>
      </c>
      <c r="CC11" s="106">
        <v>1796</v>
      </c>
      <c r="CD11" s="106">
        <v>2080</v>
      </c>
      <c r="CE11" s="98">
        <f t="shared" si="31"/>
        <v>89.800000000000011</v>
      </c>
      <c r="CF11" s="107">
        <f t="shared" si="31"/>
        <v>104</v>
      </c>
      <c r="CG11" s="89"/>
      <c r="CH11" s="65">
        <f t="shared" si="32"/>
        <v>2164000</v>
      </c>
      <c r="CI11" s="73"/>
      <c r="CJ11" s="73"/>
      <c r="CK11" s="66">
        <v>982000</v>
      </c>
      <c r="CL11" s="73"/>
      <c r="CM11" s="66">
        <v>1160000</v>
      </c>
      <c r="CN11" s="73"/>
      <c r="CO11" s="73">
        <v>22000</v>
      </c>
      <c r="CP11" s="90"/>
      <c r="CQ11" s="68">
        <v>0</v>
      </c>
      <c r="CR11" s="69">
        <f t="shared" si="33"/>
        <v>195.93900000000002</v>
      </c>
      <c r="CS11" s="69">
        <f t="shared" si="34"/>
        <v>759.95108400000004</v>
      </c>
      <c r="CT11" s="70">
        <f t="shared" si="0"/>
        <v>2170472.2645392003</v>
      </c>
      <c r="CU11" s="70">
        <f t="shared" si="1"/>
        <v>1434227.6285928003</v>
      </c>
      <c r="CV11" s="70">
        <f t="shared" si="35"/>
        <v>6472.2645392003469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100.1</v>
      </c>
      <c r="E12" s="102">
        <v>15.4</v>
      </c>
      <c r="F12" s="98">
        <f t="shared" si="2"/>
        <v>60.059999999999995</v>
      </c>
      <c r="G12" s="98">
        <f t="shared" si="2"/>
        <v>9.24</v>
      </c>
      <c r="H12" s="98"/>
      <c r="I12" s="98"/>
      <c r="J12" s="98">
        <f t="shared" si="3"/>
        <v>0</v>
      </c>
      <c r="K12" s="98">
        <f t="shared" si="4"/>
        <v>0</v>
      </c>
      <c r="L12" s="103">
        <v>18.010000000000002</v>
      </c>
      <c r="M12" s="98">
        <f t="shared" si="5"/>
        <v>18.010000000000002</v>
      </c>
      <c r="N12" s="99"/>
      <c r="O12" s="99"/>
      <c r="P12" s="98">
        <f t="shared" si="6"/>
        <v>0</v>
      </c>
      <c r="Q12" s="98">
        <f t="shared" si="7"/>
        <v>0</v>
      </c>
      <c r="R12" s="103">
        <v>27.05</v>
      </c>
      <c r="S12" s="98">
        <f t="shared" si="8"/>
        <v>30.837</v>
      </c>
      <c r="T12" s="103">
        <v>15.43</v>
      </c>
      <c r="U12" s="98">
        <v>5.15</v>
      </c>
      <c r="V12" s="98">
        <f t="shared" si="9"/>
        <v>17.744499999999999</v>
      </c>
      <c r="W12" s="98">
        <f t="shared" si="10"/>
        <v>5.8709999999999996</v>
      </c>
      <c r="X12" s="120">
        <v>482</v>
      </c>
      <c r="Y12" s="120">
        <v>418</v>
      </c>
      <c r="Z12" s="119"/>
      <c r="AA12" s="121">
        <f t="shared" si="11"/>
        <v>361.5</v>
      </c>
      <c r="AB12" s="121">
        <f t="shared" si="12"/>
        <v>313.5</v>
      </c>
      <c r="AC12" s="119"/>
      <c r="AD12" s="119"/>
      <c r="AE12" s="121">
        <f t="shared" si="13"/>
        <v>0</v>
      </c>
      <c r="AF12" s="121">
        <f t="shared" si="13"/>
        <v>0</v>
      </c>
      <c r="AG12" s="98"/>
      <c r="AH12" s="98"/>
      <c r="AI12" s="98">
        <f t="shared" si="14"/>
        <v>0</v>
      </c>
      <c r="AJ12" s="98">
        <f t="shared" si="14"/>
        <v>0</v>
      </c>
      <c r="AK12" s="103">
        <v>12.19</v>
      </c>
      <c r="AL12" s="98">
        <v>9.5</v>
      </c>
      <c r="AM12" s="98">
        <f t="shared" si="15"/>
        <v>14.018499999999998</v>
      </c>
      <c r="AN12" s="98">
        <f t="shared" si="16"/>
        <v>10.829999999999998</v>
      </c>
      <c r="AO12" s="98"/>
      <c r="AP12" s="98"/>
      <c r="AQ12" s="131"/>
      <c r="AR12" s="131">
        <v>0</v>
      </c>
      <c r="AS12" s="99"/>
      <c r="AT12" s="98">
        <f t="shared" si="17"/>
        <v>0</v>
      </c>
      <c r="AU12" s="99">
        <v>10</v>
      </c>
      <c r="AV12" s="149">
        <f t="shared" si="18"/>
        <v>10</v>
      </c>
      <c r="AW12" s="98">
        <v>6.58</v>
      </c>
      <c r="AX12" s="98">
        <v>0.65</v>
      </c>
      <c r="AY12" s="99"/>
      <c r="AZ12" s="98">
        <f t="shared" si="19"/>
        <v>0</v>
      </c>
      <c r="BA12" s="99"/>
      <c r="BB12" s="99"/>
      <c r="BC12" s="99"/>
      <c r="BD12" s="99"/>
      <c r="BE12" s="98">
        <f t="shared" si="20"/>
        <v>0</v>
      </c>
      <c r="BF12" s="98">
        <f t="shared" si="21"/>
        <v>0</v>
      </c>
      <c r="BG12" s="98">
        <v>16.64</v>
      </c>
      <c r="BH12" s="98">
        <v>0</v>
      </c>
      <c r="BI12" s="98">
        <f t="shared" si="22"/>
        <v>18.9696</v>
      </c>
      <c r="BJ12" s="98">
        <f t="shared" si="23"/>
        <v>0</v>
      </c>
      <c r="BK12" s="99"/>
      <c r="BL12" s="99"/>
      <c r="BM12" s="98"/>
      <c r="BN12" s="98">
        <f t="shared" si="24"/>
        <v>0</v>
      </c>
      <c r="BO12" s="105">
        <v>0.44</v>
      </c>
      <c r="BP12" s="149">
        <f t="shared" si="25"/>
        <v>0.50159999999999993</v>
      </c>
      <c r="BQ12" s="113"/>
      <c r="BR12" s="113"/>
      <c r="BS12" s="104">
        <f t="shared" si="26"/>
        <v>0</v>
      </c>
      <c r="BT12" s="104">
        <f t="shared" si="27"/>
        <v>0</v>
      </c>
      <c r="BU12" s="173">
        <v>0.38</v>
      </c>
      <c r="BV12" s="173">
        <v>0</v>
      </c>
      <c r="BW12" s="142">
        <f t="shared" si="28"/>
        <v>0.499066654</v>
      </c>
      <c r="BX12" s="142">
        <f t="shared" si="29"/>
        <v>0</v>
      </c>
      <c r="BY12" s="111"/>
      <c r="BZ12" s="111"/>
      <c r="CA12" s="142">
        <f t="shared" si="30"/>
        <v>0</v>
      </c>
      <c r="CB12" s="142">
        <f t="shared" si="30"/>
        <v>0</v>
      </c>
      <c r="CC12" s="109"/>
      <c r="CD12" s="109"/>
      <c r="CE12" s="98">
        <f t="shared" si="31"/>
        <v>0</v>
      </c>
      <c r="CF12" s="107">
        <f t="shared" si="31"/>
        <v>0</v>
      </c>
      <c r="CG12" s="89"/>
      <c r="CH12" s="65">
        <f t="shared" si="32"/>
        <v>1952000</v>
      </c>
      <c r="CI12" s="73"/>
      <c r="CJ12" s="73"/>
      <c r="CK12" s="66">
        <v>1172000</v>
      </c>
      <c r="CL12" s="73"/>
      <c r="CM12" s="66">
        <v>780000</v>
      </c>
      <c r="CN12" s="73"/>
      <c r="CO12" s="73"/>
      <c r="CP12" s="90"/>
      <c r="CQ12" s="68">
        <v>0</v>
      </c>
      <c r="CR12" s="69">
        <f t="shared" si="33"/>
        <v>460.40206665399995</v>
      </c>
      <c r="CS12" s="69">
        <f t="shared" si="34"/>
        <v>418.4092</v>
      </c>
      <c r="CT12" s="70">
        <f t="shared" si="0"/>
        <v>1955906.3352119029</v>
      </c>
      <c r="CU12" s="70">
        <f t="shared" si="1"/>
        <v>1303937.5568079352</v>
      </c>
      <c r="CV12" s="70">
        <f t="shared" si="35"/>
        <v>3906.3352119028568</v>
      </c>
      <c r="CW12" s="67" t="s">
        <v>135</v>
      </c>
      <c r="CX12" s="116">
        <v>250000</v>
      </c>
    </row>
    <row r="13" spans="1:102">
      <c r="A13" s="18"/>
      <c r="B13" s="94" t="s">
        <v>142</v>
      </c>
      <c r="C13" s="92" t="s">
        <v>143</v>
      </c>
      <c r="D13" s="102">
        <v>0</v>
      </c>
      <c r="E13" s="102">
        <v>0</v>
      </c>
      <c r="F13" s="98">
        <f t="shared" si="2"/>
        <v>0</v>
      </c>
      <c r="G13" s="98">
        <f t="shared" si="2"/>
        <v>0</v>
      </c>
      <c r="H13" s="119">
        <v>0</v>
      </c>
      <c r="I13" s="119">
        <v>0</v>
      </c>
      <c r="J13" s="98">
        <f t="shared" si="3"/>
        <v>0</v>
      </c>
      <c r="K13" s="98">
        <f t="shared" si="4"/>
        <v>0</v>
      </c>
      <c r="L13" s="103">
        <v>0.13</v>
      </c>
      <c r="M13" s="98">
        <f t="shared" si="5"/>
        <v>0.13</v>
      </c>
      <c r="N13" s="98">
        <v>0</v>
      </c>
      <c r="O13" s="98">
        <v>0</v>
      </c>
      <c r="P13" s="98">
        <f t="shared" si="6"/>
        <v>0</v>
      </c>
      <c r="Q13" s="98">
        <f t="shared" si="7"/>
        <v>0</v>
      </c>
      <c r="R13" s="103">
        <v>0</v>
      </c>
      <c r="S13" s="98">
        <f t="shared" si="8"/>
        <v>0</v>
      </c>
      <c r="T13" s="103">
        <v>0</v>
      </c>
      <c r="U13" s="98">
        <v>0</v>
      </c>
      <c r="V13" s="98">
        <f t="shared" si="9"/>
        <v>0</v>
      </c>
      <c r="W13" s="98">
        <f t="shared" si="10"/>
        <v>0</v>
      </c>
      <c r="X13" s="120">
        <v>0</v>
      </c>
      <c r="Y13" s="120">
        <v>0</v>
      </c>
      <c r="Z13" s="110"/>
      <c r="AA13" s="121">
        <f t="shared" si="11"/>
        <v>0</v>
      </c>
      <c r="AB13" s="121">
        <f t="shared" si="12"/>
        <v>0</v>
      </c>
      <c r="AC13" s="110"/>
      <c r="AD13" s="110"/>
      <c r="AE13" s="121">
        <f t="shared" si="13"/>
        <v>0</v>
      </c>
      <c r="AF13" s="121">
        <f t="shared" si="13"/>
        <v>0</v>
      </c>
      <c r="AG13" s="98"/>
      <c r="AH13" s="98"/>
      <c r="AI13" s="98">
        <f t="shared" si="14"/>
        <v>0</v>
      </c>
      <c r="AJ13" s="98">
        <f t="shared" si="14"/>
        <v>0</v>
      </c>
      <c r="AK13" s="103"/>
      <c r="AL13" s="98">
        <v>0.04</v>
      </c>
      <c r="AM13" s="98">
        <f t="shared" si="15"/>
        <v>0</v>
      </c>
      <c r="AN13" s="98">
        <f t="shared" si="16"/>
        <v>4.5599999999999995E-2</v>
      </c>
      <c r="AO13" s="98"/>
      <c r="AP13" s="98"/>
      <c r="AQ13" s="131"/>
      <c r="AR13" s="131">
        <v>0</v>
      </c>
      <c r="AS13" s="99"/>
      <c r="AT13" s="98">
        <f t="shared" si="17"/>
        <v>0</v>
      </c>
      <c r="AU13" s="99">
        <v>0</v>
      </c>
      <c r="AV13" s="149">
        <f t="shared" si="18"/>
        <v>0</v>
      </c>
      <c r="AW13" s="98">
        <v>0</v>
      </c>
      <c r="AX13" s="98">
        <v>0</v>
      </c>
      <c r="AY13" s="101"/>
      <c r="AZ13" s="98">
        <f t="shared" si="19"/>
        <v>0</v>
      </c>
      <c r="BA13" s="98"/>
      <c r="BB13" s="98"/>
      <c r="BC13" s="99"/>
      <c r="BD13" s="99"/>
      <c r="BE13" s="98">
        <f t="shared" si="20"/>
        <v>0</v>
      </c>
      <c r="BF13" s="98">
        <f t="shared" si="21"/>
        <v>0</v>
      </c>
      <c r="BG13" s="98"/>
      <c r="BH13" s="98"/>
      <c r="BI13" s="98">
        <f t="shared" si="22"/>
        <v>0</v>
      </c>
      <c r="BJ13" s="98">
        <f t="shared" si="23"/>
        <v>0</v>
      </c>
      <c r="BK13" s="100"/>
      <c r="BL13" s="100"/>
      <c r="BM13" s="98"/>
      <c r="BN13" s="98">
        <f t="shared" si="24"/>
        <v>0</v>
      </c>
      <c r="BO13" s="105">
        <v>0</v>
      </c>
      <c r="BP13" s="149">
        <f t="shared" si="25"/>
        <v>0</v>
      </c>
      <c r="BQ13" s="112"/>
      <c r="BR13" s="112"/>
      <c r="BS13" s="104">
        <f t="shared" si="26"/>
        <v>0</v>
      </c>
      <c r="BT13" s="104">
        <f t="shared" si="27"/>
        <v>0</v>
      </c>
      <c r="BU13" s="105">
        <v>0</v>
      </c>
      <c r="BV13" s="105">
        <v>0</v>
      </c>
      <c r="BW13" s="142">
        <f t="shared" si="28"/>
        <v>0</v>
      </c>
      <c r="BX13" s="142">
        <f t="shared" si="29"/>
        <v>0</v>
      </c>
      <c r="BY13" s="110"/>
      <c r="BZ13" s="110"/>
      <c r="CA13" s="142">
        <f t="shared" si="30"/>
        <v>0</v>
      </c>
      <c r="CB13" s="142">
        <f t="shared" si="30"/>
        <v>0</v>
      </c>
      <c r="CC13" s="106"/>
      <c r="CD13" s="106"/>
      <c r="CE13" s="98">
        <f t="shared" si="31"/>
        <v>0</v>
      </c>
      <c r="CF13" s="107">
        <f t="shared" si="31"/>
        <v>0</v>
      </c>
      <c r="CG13" s="81"/>
      <c r="CH13" s="65">
        <f t="shared" si="32"/>
        <v>0</v>
      </c>
      <c r="CI13" s="74"/>
      <c r="CJ13" s="74"/>
      <c r="CK13" s="54"/>
      <c r="CL13" s="74"/>
      <c r="CM13" s="54"/>
      <c r="CN13" s="74"/>
      <c r="CO13" s="74"/>
      <c r="CP13" s="90"/>
      <c r="CQ13" s="68">
        <v>0</v>
      </c>
      <c r="CR13" s="69">
        <f t="shared" si="33"/>
        <v>0</v>
      </c>
      <c r="CS13" s="69">
        <f t="shared" si="34"/>
        <v>0.17560000000000001</v>
      </c>
      <c r="CT13" s="70">
        <f t="shared" si="0"/>
        <v>392.25528000000003</v>
      </c>
      <c r="CU13" s="70">
        <f t="shared" si="1"/>
        <v>261.50352000000004</v>
      </c>
      <c r="CV13" s="70">
        <f t="shared" si="35"/>
        <v>392.25528000000003</v>
      </c>
      <c r="CW13" s="55" t="s">
        <v>141</v>
      </c>
      <c r="CX13" s="118">
        <v>0</v>
      </c>
    </row>
    <row r="14" spans="1:102">
      <c r="A14" s="18"/>
      <c r="B14" s="94" t="s">
        <v>145</v>
      </c>
      <c r="C14" s="92" t="s">
        <v>146</v>
      </c>
      <c r="D14" s="102">
        <v>14.1</v>
      </c>
      <c r="E14" s="102">
        <v>6.32</v>
      </c>
      <c r="F14" s="98">
        <f t="shared" si="2"/>
        <v>8.4599999999999991</v>
      </c>
      <c r="G14" s="98">
        <f t="shared" si="2"/>
        <v>3.7919999999999998</v>
      </c>
      <c r="H14" s="110"/>
      <c r="I14" s="110"/>
      <c r="J14" s="98">
        <f t="shared" si="3"/>
        <v>0</v>
      </c>
      <c r="K14" s="98">
        <f t="shared" si="4"/>
        <v>0</v>
      </c>
      <c r="L14" s="103">
        <v>76.599999999999994</v>
      </c>
      <c r="M14" s="98">
        <f t="shared" si="5"/>
        <v>76.599999999999994</v>
      </c>
      <c r="N14" s="98"/>
      <c r="O14" s="98"/>
      <c r="P14" s="98">
        <f t="shared" si="6"/>
        <v>0</v>
      </c>
      <c r="Q14" s="98">
        <f t="shared" si="7"/>
        <v>0</v>
      </c>
      <c r="R14" s="103">
        <v>127.56</v>
      </c>
      <c r="S14" s="98">
        <f t="shared" si="8"/>
        <v>145.41839999999999</v>
      </c>
      <c r="T14" s="103">
        <v>18.77</v>
      </c>
      <c r="U14" s="98">
        <v>8.6300000000000008</v>
      </c>
      <c r="V14" s="98">
        <f t="shared" si="9"/>
        <v>21.585499999999996</v>
      </c>
      <c r="W14" s="98">
        <f t="shared" si="10"/>
        <v>9.8382000000000005</v>
      </c>
      <c r="X14" s="120">
        <v>0</v>
      </c>
      <c r="Y14" s="120">
        <v>0</v>
      </c>
      <c r="Z14" s="110"/>
      <c r="AA14" s="121">
        <f t="shared" si="11"/>
        <v>0</v>
      </c>
      <c r="AB14" s="121">
        <f t="shared" si="12"/>
        <v>0</v>
      </c>
      <c r="AC14" s="110"/>
      <c r="AD14" s="110"/>
      <c r="AE14" s="121">
        <f t="shared" si="13"/>
        <v>0</v>
      </c>
      <c r="AF14" s="121">
        <f t="shared" si="13"/>
        <v>0</v>
      </c>
      <c r="AG14" s="98"/>
      <c r="AH14" s="98"/>
      <c r="AI14" s="98">
        <f t="shared" si="14"/>
        <v>0</v>
      </c>
      <c r="AJ14" s="98">
        <f t="shared" si="14"/>
        <v>0</v>
      </c>
      <c r="AK14" s="103">
        <v>86.92</v>
      </c>
      <c r="AL14" s="98">
        <v>73.510000000000005</v>
      </c>
      <c r="AM14" s="98">
        <f t="shared" si="15"/>
        <v>99.957999999999998</v>
      </c>
      <c r="AN14" s="98">
        <f t="shared" si="16"/>
        <v>83.801400000000001</v>
      </c>
      <c r="AO14" s="98"/>
      <c r="AP14" s="98"/>
      <c r="AQ14" s="131"/>
      <c r="AR14" s="131">
        <v>0</v>
      </c>
      <c r="AS14" s="99"/>
      <c r="AT14" s="98">
        <f t="shared" si="17"/>
        <v>0</v>
      </c>
      <c r="AU14" s="99">
        <v>95.3</v>
      </c>
      <c r="AV14" s="149">
        <f t="shared" si="18"/>
        <v>95.3</v>
      </c>
      <c r="AW14" s="98">
        <v>31.1</v>
      </c>
      <c r="AX14" s="98">
        <v>68.709999999999994</v>
      </c>
      <c r="AY14" s="101"/>
      <c r="AZ14" s="98">
        <f t="shared" si="19"/>
        <v>0</v>
      </c>
      <c r="BA14" s="98"/>
      <c r="BB14" s="98"/>
      <c r="BC14" s="99"/>
      <c r="BD14" s="99"/>
      <c r="BE14" s="98">
        <f t="shared" si="20"/>
        <v>0</v>
      </c>
      <c r="BF14" s="98">
        <f t="shared" si="21"/>
        <v>0</v>
      </c>
      <c r="BG14" s="98">
        <v>112.76</v>
      </c>
      <c r="BH14" s="98">
        <v>65.31</v>
      </c>
      <c r="BI14" s="98">
        <f t="shared" si="22"/>
        <v>128.54640000000001</v>
      </c>
      <c r="BJ14" s="98">
        <f t="shared" si="23"/>
        <v>74.453400000000002</v>
      </c>
      <c r="BK14" s="100"/>
      <c r="BL14" s="100"/>
      <c r="BM14" s="98"/>
      <c r="BN14" s="98">
        <f t="shared" si="24"/>
        <v>0</v>
      </c>
      <c r="BO14" s="105">
        <v>142.79</v>
      </c>
      <c r="BP14" s="149">
        <f t="shared" si="25"/>
        <v>162.78059999999996</v>
      </c>
      <c r="BQ14" s="112"/>
      <c r="BR14" s="112"/>
      <c r="BS14" s="104">
        <f t="shared" si="26"/>
        <v>0</v>
      </c>
      <c r="BT14" s="104">
        <f t="shared" si="27"/>
        <v>0</v>
      </c>
      <c r="BU14" s="105">
        <v>0</v>
      </c>
      <c r="BV14" s="105">
        <v>0</v>
      </c>
      <c r="BW14" s="142">
        <f t="shared" si="28"/>
        <v>0</v>
      </c>
      <c r="BX14" s="142">
        <f t="shared" si="29"/>
        <v>0</v>
      </c>
      <c r="BY14" s="110"/>
      <c r="BZ14" s="110"/>
      <c r="CA14" s="142">
        <f t="shared" si="30"/>
        <v>0</v>
      </c>
      <c r="CB14" s="142">
        <f t="shared" si="30"/>
        <v>0</v>
      </c>
      <c r="CC14" s="106"/>
      <c r="CD14" s="106"/>
      <c r="CE14" s="98">
        <f t="shared" si="31"/>
        <v>0</v>
      </c>
      <c r="CF14" s="107">
        <f t="shared" si="31"/>
        <v>0</v>
      </c>
      <c r="CG14" s="81"/>
      <c r="CH14" s="65">
        <f t="shared" si="32"/>
        <v>2294000</v>
      </c>
      <c r="CI14" s="74"/>
      <c r="CJ14" s="74"/>
      <c r="CK14" s="54">
        <v>1044000</v>
      </c>
      <c r="CL14" s="74"/>
      <c r="CM14" s="54">
        <v>1250000</v>
      </c>
      <c r="CN14" s="74"/>
      <c r="CO14" s="74"/>
      <c r="CP14" s="90"/>
      <c r="CQ14" s="68">
        <v>0</v>
      </c>
      <c r="CR14" s="69">
        <f t="shared" si="33"/>
        <v>161.10349999999997</v>
      </c>
      <c r="CS14" s="69">
        <f t="shared" si="34"/>
        <v>774.78699999999992</v>
      </c>
      <c r="CT14" s="70">
        <f t="shared" si="0"/>
        <v>2295971.4904499995</v>
      </c>
      <c r="CU14" s="70">
        <f t="shared" si="1"/>
        <v>1461350.1582500001</v>
      </c>
      <c r="CV14" s="70">
        <f t="shared" si="35"/>
        <v>1971.4904499994591</v>
      </c>
      <c r="CW14" s="55" t="s">
        <v>144</v>
      </c>
      <c r="CX14" s="118">
        <v>50000</v>
      </c>
    </row>
    <row r="15" spans="1:102">
      <c r="A15" s="132"/>
      <c r="B15" s="94" t="s">
        <v>153</v>
      </c>
      <c r="C15" s="92" t="s">
        <v>154</v>
      </c>
      <c r="D15" s="102">
        <v>5.85</v>
      </c>
      <c r="E15" s="102">
        <v>11</v>
      </c>
      <c r="F15" s="98">
        <f t="shared" si="2"/>
        <v>3.51</v>
      </c>
      <c r="G15" s="98">
        <f t="shared" si="2"/>
        <v>6.6</v>
      </c>
      <c r="H15" s="119"/>
      <c r="I15" s="119"/>
      <c r="J15" s="98">
        <f t="shared" si="3"/>
        <v>0</v>
      </c>
      <c r="K15" s="98">
        <f t="shared" si="4"/>
        <v>0</v>
      </c>
      <c r="L15" s="103"/>
      <c r="M15" s="98">
        <f t="shared" si="5"/>
        <v>0</v>
      </c>
      <c r="N15" s="98">
        <v>19.309999999999999</v>
      </c>
      <c r="O15" s="98">
        <v>23.25</v>
      </c>
      <c r="P15" s="98">
        <f t="shared" si="6"/>
        <v>22.206499999999998</v>
      </c>
      <c r="Q15" s="98">
        <f t="shared" si="7"/>
        <v>26.504999999999999</v>
      </c>
      <c r="R15" s="103">
        <v>183.32</v>
      </c>
      <c r="S15" s="98">
        <f t="shared" si="8"/>
        <v>208.98479999999998</v>
      </c>
      <c r="T15" s="103">
        <v>16.57</v>
      </c>
      <c r="U15" s="98">
        <v>14.02</v>
      </c>
      <c r="V15" s="98">
        <f t="shared" si="9"/>
        <v>19.055499999999999</v>
      </c>
      <c r="W15" s="98">
        <f t="shared" si="10"/>
        <v>15.982799999999997</v>
      </c>
      <c r="X15" s="120">
        <v>0</v>
      </c>
      <c r="Y15" s="120">
        <v>0</v>
      </c>
      <c r="Z15" s="110"/>
      <c r="AA15" s="121">
        <f t="shared" si="11"/>
        <v>0</v>
      </c>
      <c r="AB15" s="121">
        <f t="shared" si="12"/>
        <v>0</v>
      </c>
      <c r="AC15" s="110"/>
      <c r="AD15" s="110"/>
      <c r="AE15" s="121">
        <f t="shared" si="13"/>
        <v>0</v>
      </c>
      <c r="AF15" s="121">
        <f t="shared" si="13"/>
        <v>0</v>
      </c>
      <c r="AG15" s="98"/>
      <c r="AH15" s="98"/>
      <c r="AI15" s="98">
        <f t="shared" si="14"/>
        <v>0</v>
      </c>
      <c r="AJ15" s="98">
        <f t="shared" si="14"/>
        <v>0</v>
      </c>
      <c r="AK15" s="103">
        <v>84.05</v>
      </c>
      <c r="AL15" s="98">
        <v>94.59</v>
      </c>
      <c r="AM15" s="98">
        <f t="shared" si="15"/>
        <v>96.657499999999985</v>
      </c>
      <c r="AN15" s="98">
        <f t="shared" si="16"/>
        <v>107.8326</v>
      </c>
      <c r="AO15" s="98"/>
      <c r="AP15" s="98"/>
      <c r="AQ15" s="131"/>
      <c r="AR15" s="131"/>
      <c r="AS15" s="99"/>
      <c r="AT15" s="98">
        <f t="shared" si="17"/>
        <v>0</v>
      </c>
      <c r="AU15" s="99"/>
      <c r="AV15" s="149">
        <f t="shared" si="18"/>
        <v>0</v>
      </c>
      <c r="AW15" s="98"/>
      <c r="AX15" s="98"/>
      <c r="AY15" s="101"/>
      <c r="AZ15" s="98">
        <f t="shared" si="19"/>
        <v>0</v>
      </c>
      <c r="BA15" s="98"/>
      <c r="BB15" s="98"/>
      <c r="BC15" s="99"/>
      <c r="BD15" s="99"/>
      <c r="BE15" s="98">
        <f t="shared" si="20"/>
        <v>0</v>
      </c>
      <c r="BF15" s="98">
        <f t="shared" si="21"/>
        <v>0</v>
      </c>
      <c r="BG15" s="98">
        <v>194.83</v>
      </c>
      <c r="BH15" s="98">
        <v>9.14</v>
      </c>
      <c r="BI15" s="98">
        <f t="shared" si="22"/>
        <v>222.1062</v>
      </c>
      <c r="BJ15" s="98">
        <f t="shared" si="23"/>
        <v>10.419599999999999</v>
      </c>
      <c r="BK15" s="100"/>
      <c r="BL15" s="100"/>
      <c r="BM15" s="98">
        <v>124.64</v>
      </c>
      <c r="BN15" s="98">
        <f t="shared" si="24"/>
        <v>119.35526399999999</v>
      </c>
      <c r="BO15" s="105">
        <v>56.22</v>
      </c>
      <c r="BP15" s="149">
        <f t="shared" si="25"/>
        <v>64.090799999999987</v>
      </c>
      <c r="BQ15" s="112"/>
      <c r="BR15" s="112"/>
      <c r="BS15" s="104">
        <f t="shared" si="26"/>
        <v>0</v>
      </c>
      <c r="BT15" s="104">
        <f t="shared" si="27"/>
        <v>0</v>
      </c>
      <c r="BU15" s="105">
        <v>14</v>
      </c>
      <c r="BV15" s="105">
        <v>4.74</v>
      </c>
      <c r="BW15" s="142">
        <f t="shared" si="28"/>
        <v>18.386666200000001</v>
      </c>
      <c r="BX15" s="142">
        <f t="shared" si="29"/>
        <v>6.2094000000000005</v>
      </c>
      <c r="BY15" s="110">
        <v>39</v>
      </c>
      <c r="BZ15" s="110">
        <v>158.71</v>
      </c>
      <c r="CA15" s="142">
        <f t="shared" si="30"/>
        <v>19.5</v>
      </c>
      <c r="CB15" s="142">
        <f t="shared" si="30"/>
        <v>79.355000000000004</v>
      </c>
      <c r="CC15" s="106">
        <f>406+988</f>
        <v>1394</v>
      </c>
      <c r="CD15" s="106">
        <f>990+353</f>
        <v>1343</v>
      </c>
      <c r="CE15" s="98">
        <f t="shared" si="31"/>
        <v>69.7</v>
      </c>
      <c r="CF15" s="107">
        <f t="shared" si="31"/>
        <v>67.150000000000006</v>
      </c>
      <c r="CG15" s="81"/>
      <c r="CH15" s="65">
        <f t="shared" si="32"/>
        <v>2650000</v>
      </c>
      <c r="CI15" s="74"/>
      <c r="CJ15" s="74"/>
      <c r="CK15" s="54">
        <v>1300000</v>
      </c>
      <c r="CL15" s="74"/>
      <c r="CM15" s="54">
        <v>1350000</v>
      </c>
      <c r="CN15" s="74"/>
      <c r="CO15" s="74"/>
      <c r="CP15" s="90"/>
      <c r="CQ15" s="68">
        <v>0</v>
      </c>
      <c r="CR15" s="69">
        <f t="shared" si="33"/>
        <v>249.01616620000001</v>
      </c>
      <c r="CS15" s="69">
        <f t="shared" si="34"/>
        <v>924.1718639999998</v>
      </c>
      <c r="CT15" s="70">
        <f t="shared" si="0"/>
        <v>2645876.8977680393</v>
      </c>
      <c r="CU15" s="70">
        <f t="shared" si="1"/>
        <v>1754219.8891453599</v>
      </c>
      <c r="CV15" s="70">
        <f t="shared" si="35"/>
        <v>-4123.1022319607437</v>
      </c>
      <c r="CW15" s="55" t="s">
        <v>147</v>
      </c>
      <c r="CX15" s="118">
        <v>400000</v>
      </c>
    </row>
    <row r="16" spans="1:102">
      <c r="A16" s="18"/>
      <c r="B16" s="94" t="s">
        <v>157</v>
      </c>
      <c r="C16" s="92" t="s">
        <v>158</v>
      </c>
      <c r="D16" s="102">
        <v>0</v>
      </c>
      <c r="E16" s="102">
        <v>0</v>
      </c>
      <c r="F16" s="98">
        <f t="shared" si="2"/>
        <v>0</v>
      </c>
      <c r="G16" s="98">
        <f t="shared" si="2"/>
        <v>0</v>
      </c>
      <c r="H16" s="110"/>
      <c r="I16" s="110"/>
      <c r="J16" s="98">
        <f t="shared" si="3"/>
        <v>0</v>
      </c>
      <c r="K16" s="98">
        <f t="shared" si="4"/>
        <v>0</v>
      </c>
      <c r="L16" s="103"/>
      <c r="M16" s="98">
        <f t="shared" si="5"/>
        <v>0</v>
      </c>
      <c r="N16" s="98"/>
      <c r="O16" s="98"/>
      <c r="P16" s="98">
        <f t="shared" si="6"/>
        <v>0</v>
      </c>
      <c r="Q16" s="98">
        <f t="shared" si="7"/>
        <v>0</v>
      </c>
      <c r="R16" s="103">
        <v>26.31</v>
      </c>
      <c r="S16" s="98">
        <f t="shared" si="8"/>
        <v>29.993399999999998</v>
      </c>
      <c r="T16" s="103">
        <v>11.18</v>
      </c>
      <c r="U16" s="98">
        <v>13.58</v>
      </c>
      <c r="V16" s="98">
        <f t="shared" si="9"/>
        <v>12.856999999999999</v>
      </c>
      <c r="W16" s="98">
        <f t="shared" si="10"/>
        <v>15.481199999999999</v>
      </c>
      <c r="X16" s="120">
        <v>0</v>
      </c>
      <c r="Y16" s="120">
        <v>0</v>
      </c>
      <c r="Z16" s="110"/>
      <c r="AA16" s="121">
        <f t="shared" si="11"/>
        <v>0</v>
      </c>
      <c r="AB16" s="121">
        <f t="shared" si="12"/>
        <v>0</v>
      </c>
      <c r="AC16" s="110"/>
      <c r="AD16" s="110"/>
      <c r="AE16" s="121">
        <f t="shared" si="13"/>
        <v>0</v>
      </c>
      <c r="AF16" s="121">
        <f t="shared" si="13"/>
        <v>0</v>
      </c>
      <c r="AG16" s="98">
        <v>0</v>
      </c>
      <c r="AH16" s="98">
        <v>0</v>
      </c>
      <c r="AI16" s="98">
        <f t="shared" si="14"/>
        <v>0</v>
      </c>
      <c r="AJ16" s="98">
        <f t="shared" si="14"/>
        <v>0</v>
      </c>
      <c r="AK16" s="103">
        <v>12.83</v>
      </c>
      <c r="AL16" s="98">
        <v>17.690000000000001</v>
      </c>
      <c r="AM16" s="98">
        <f t="shared" si="15"/>
        <v>14.754499999999998</v>
      </c>
      <c r="AN16" s="98">
        <f t="shared" si="16"/>
        <v>20.166599999999999</v>
      </c>
      <c r="AO16" s="98"/>
      <c r="AP16" s="98"/>
      <c r="AQ16" s="131">
        <v>16.309999999999999</v>
      </c>
      <c r="AR16" s="131">
        <v>24.65</v>
      </c>
      <c r="AS16" s="99"/>
      <c r="AT16" s="98">
        <f t="shared" si="17"/>
        <v>0</v>
      </c>
      <c r="AU16" s="99"/>
      <c r="AV16" s="149">
        <f t="shared" si="18"/>
        <v>0</v>
      </c>
      <c r="AW16" s="98">
        <v>76.599999999999994</v>
      </c>
      <c r="AX16" s="98">
        <v>6.07</v>
      </c>
      <c r="AY16" s="101"/>
      <c r="AZ16" s="98">
        <f t="shared" si="19"/>
        <v>0</v>
      </c>
      <c r="BA16" s="98"/>
      <c r="BB16" s="98"/>
      <c r="BC16" s="99"/>
      <c r="BD16" s="99"/>
      <c r="BE16" s="98">
        <f t="shared" si="20"/>
        <v>0</v>
      </c>
      <c r="BF16" s="98">
        <f t="shared" si="21"/>
        <v>0</v>
      </c>
      <c r="BG16" s="99"/>
      <c r="BH16" s="99"/>
      <c r="BI16" s="98">
        <f t="shared" si="22"/>
        <v>0</v>
      </c>
      <c r="BJ16" s="98">
        <f t="shared" si="23"/>
        <v>0</v>
      </c>
      <c r="BK16" s="100"/>
      <c r="BL16" s="100"/>
      <c r="BM16" s="98"/>
      <c r="BN16" s="98">
        <f t="shared" si="24"/>
        <v>0</v>
      </c>
      <c r="BO16" s="105">
        <v>396.81</v>
      </c>
      <c r="BP16" s="149">
        <f t="shared" si="25"/>
        <v>452.36339999999996</v>
      </c>
      <c r="BQ16" s="112"/>
      <c r="BR16" s="112"/>
      <c r="BS16" s="104">
        <f t="shared" si="26"/>
        <v>0</v>
      </c>
      <c r="BT16" s="104">
        <f t="shared" si="27"/>
        <v>0</v>
      </c>
      <c r="BU16" s="105">
        <v>0</v>
      </c>
      <c r="BV16" s="105">
        <v>0</v>
      </c>
      <c r="BW16" s="142">
        <f t="shared" si="28"/>
        <v>0</v>
      </c>
      <c r="BX16" s="142">
        <f t="shared" si="29"/>
        <v>0</v>
      </c>
      <c r="BY16" s="110">
        <v>0</v>
      </c>
      <c r="BZ16" s="110">
        <v>0</v>
      </c>
      <c r="CA16" s="142">
        <f t="shared" si="30"/>
        <v>0</v>
      </c>
      <c r="CB16" s="142">
        <f t="shared" si="30"/>
        <v>0</v>
      </c>
      <c r="CC16" s="106"/>
      <c r="CD16" s="106"/>
      <c r="CE16" s="98">
        <f t="shared" si="31"/>
        <v>0</v>
      </c>
      <c r="CF16" s="107">
        <f t="shared" si="31"/>
        <v>0</v>
      </c>
      <c r="CG16" s="81"/>
      <c r="CH16" s="65">
        <f t="shared" si="32"/>
        <v>1494000</v>
      </c>
      <c r="CI16" s="74"/>
      <c r="CJ16" s="74"/>
      <c r="CK16" s="54">
        <v>1184000</v>
      </c>
      <c r="CL16" s="74"/>
      <c r="CM16" s="54">
        <v>310000</v>
      </c>
      <c r="CN16" s="74"/>
      <c r="CO16" s="74"/>
      <c r="CP16" s="90"/>
      <c r="CQ16" s="68">
        <v>0</v>
      </c>
      <c r="CR16" s="69">
        <f t="shared" si="33"/>
        <v>120.52149999999999</v>
      </c>
      <c r="CS16" s="69">
        <f t="shared" si="34"/>
        <v>548.72460000000001</v>
      </c>
      <c r="CT16" s="70">
        <f t="shared" si="0"/>
        <v>1493081.80278</v>
      </c>
      <c r="CU16" s="70">
        <f t="shared" si="1"/>
        <v>995387.86852000002</v>
      </c>
      <c r="CV16" s="70">
        <f t="shared" si="35"/>
        <v>-918.19721999997273</v>
      </c>
      <c r="CW16" s="55"/>
      <c r="CX16" s="118"/>
    </row>
    <row r="17" spans="1:102">
      <c r="A17" s="18" t="s">
        <v>166</v>
      </c>
      <c r="B17" s="94" t="s">
        <v>167</v>
      </c>
      <c r="C17" s="92" t="s">
        <v>168</v>
      </c>
      <c r="D17" s="102">
        <v>0</v>
      </c>
      <c r="E17" s="102">
        <v>0</v>
      </c>
      <c r="F17" s="98">
        <f t="shared" si="2"/>
        <v>0</v>
      </c>
      <c r="G17" s="98">
        <f t="shared" si="2"/>
        <v>0</v>
      </c>
      <c r="H17" s="110"/>
      <c r="I17" s="110"/>
      <c r="J17" s="98">
        <f t="shared" si="3"/>
        <v>0</v>
      </c>
      <c r="K17" s="98">
        <f t="shared" si="4"/>
        <v>0</v>
      </c>
      <c r="L17" s="103">
        <v>0.03</v>
      </c>
      <c r="M17" s="98">
        <f t="shared" si="5"/>
        <v>0.03</v>
      </c>
      <c r="N17" s="98"/>
      <c r="O17" s="98"/>
      <c r="P17" s="98">
        <f t="shared" si="6"/>
        <v>0</v>
      </c>
      <c r="Q17" s="98">
        <f t="shared" si="7"/>
        <v>0</v>
      </c>
      <c r="R17" s="103">
        <v>0</v>
      </c>
      <c r="S17" s="98">
        <f t="shared" si="8"/>
        <v>0</v>
      </c>
      <c r="T17" s="103">
        <v>0</v>
      </c>
      <c r="U17" s="98">
        <v>0</v>
      </c>
      <c r="V17" s="98">
        <f t="shared" si="9"/>
        <v>0</v>
      </c>
      <c r="W17" s="98">
        <f t="shared" si="10"/>
        <v>0</v>
      </c>
      <c r="X17" s="120">
        <v>0</v>
      </c>
      <c r="Y17" s="120">
        <v>0</v>
      </c>
      <c r="Z17" s="110"/>
      <c r="AA17" s="121">
        <f t="shared" si="11"/>
        <v>0</v>
      </c>
      <c r="AB17" s="121">
        <f t="shared" si="12"/>
        <v>0</v>
      </c>
      <c r="AC17" s="110"/>
      <c r="AD17" s="110"/>
      <c r="AE17" s="121">
        <f t="shared" si="13"/>
        <v>0</v>
      </c>
      <c r="AF17" s="121">
        <f t="shared" si="13"/>
        <v>0</v>
      </c>
      <c r="AG17" s="98">
        <v>0</v>
      </c>
      <c r="AH17" s="98">
        <v>0</v>
      </c>
      <c r="AI17" s="98">
        <f t="shared" si="14"/>
        <v>0</v>
      </c>
      <c r="AJ17" s="98">
        <f t="shared" si="14"/>
        <v>0</v>
      </c>
      <c r="AK17" s="103"/>
      <c r="AL17" s="98"/>
      <c r="AM17" s="98">
        <f t="shared" si="15"/>
        <v>0</v>
      </c>
      <c r="AN17" s="98">
        <f t="shared" si="16"/>
        <v>0</v>
      </c>
      <c r="AO17" s="98"/>
      <c r="AP17" s="98"/>
      <c r="AQ17" s="131"/>
      <c r="AR17" s="131"/>
      <c r="AS17" s="99"/>
      <c r="AT17" s="98">
        <f t="shared" si="17"/>
        <v>0</v>
      </c>
      <c r="AU17" s="99"/>
      <c r="AV17" s="149">
        <f t="shared" si="18"/>
        <v>0</v>
      </c>
      <c r="AW17" s="98">
        <v>0</v>
      </c>
      <c r="AX17" s="98">
        <v>0</v>
      </c>
      <c r="AY17" s="101"/>
      <c r="AZ17" s="98">
        <f t="shared" si="19"/>
        <v>0</v>
      </c>
      <c r="BA17" s="98"/>
      <c r="BB17" s="98"/>
      <c r="BC17" s="99"/>
      <c r="BD17" s="99"/>
      <c r="BE17" s="98">
        <f t="shared" si="20"/>
        <v>0</v>
      </c>
      <c r="BF17" s="98">
        <f t="shared" si="21"/>
        <v>0</v>
      </c>
      <c r="BG17" s="99"/>
      <c r="BH17" s="99"/>
      <c r="BI17" s="98">
        <f t="shared" si="22"/>
        <v>0</v>
      </c>
      <c r="BJ17" s="98">
        <f t="shared" si="23"/>
        <v>0</v>
      </c>
      <c r="BK17" s="100"/>
      <c r="BL17" s="100"/>
      <c r="BM17" s="98"/>
      <c r="BN17" s="98">
        <f t="shared" si="24"/>
        <v>0</v>
      </c>
      <c r="BO17" s="105">
        <v>0</v>
      </c>
      <c r="BP17" s="149">
        <f t="shared" si="25"/>
        <v>0</v>
      </c>
      <c r="BQ17" s="112"/>
      <c r="BR17" s="112"/>
      <c r="BS17" s="104">
        <f t="shared" si="26"/>
        <v>0</v>
      </c>
      <c r="BT17" s="104">
        <f t="shared" si="27"/>
        <v>0</v>
      </c>
      <c r="BU17" s="105">
        <v>0</v>
      </c>
      <c r="BV17" s="105">
        <v>0</v>
      </c>
      <c r="BW17" s="142">
        <f t="shared" si="28"/>
        <v>0</v>
      </c>
      <c r="BX17" s="142">
        <f t="shared" si="29"/>
        <v>0</v>
      </c>
      <c r="BY17" s="110"/>
      <c r="BZ17" s="110"/>
      <c r="CA17" s="142">
        <f t="shared" si="30"/>
        <v>0</v>
      </c>
      <c r="CB17" s="142">
        <f t="shared" si="30"/>
        <v>0</v>
      </c>
      <c r="CC17" s="106"/>
      <c r="CD17" s="106"/>
      <c r="CE17" s="98">
        <f t="shared" si="31"/>
        <v>0</v>
      </c>
      <c r="CF17" s="107">
        <f t="shared" si="31"/>
        <v>0</v>
      </c>
      <c r="CG17" s="81"/>
      <c r="CH17" s="65">
        <f t="shared" si="32"/>
        <v>0</v>
      </c>
      <c r="CI17" s="74"/>
      <c r="CJ17" s="74"/>
      <c r="CK17" s="54"/>
      <c r="CL17" s="74"/>
      <c r="CM17" s="54"/>
      <c r="CN17" s="74"/>
      <c r="CO17" s="74"/>
      <c r="CP17" s="90"/>
      <c r="CQ17" s="68">
        <v>0</v>
      </c>
      <c r="CR17" s="69">
        <f t="shared" si="33"/>
        <v>0</v>
      </c>
      <c r="CS17" s="69">
        <f t="shared" si="34"/>
        <v>0.03</v>
      </c>
      <c r="CT17" s="70">
        <f t="shared" si="0"/>
        <v>67.013999999999996</v>
      </c>
      <c r="CU17" s="70">
        <f t="shared" si="1"/>
        <v>44.676000000000002</v>
      </c>
      <c r="CV17" s="70">
        <f t="shared" si="35"/>
        <v>67.013999999999996</v>
      </c>
      <c r="CW17" s="55"/>
      <c r="CX17" s="118"/>
    </row>
    <row r="18" spans="1:102">
      <c r="A18" s="18"/>
      <c r="B18" s="94" t="s">
        <v>178</v>
      </c>
      <c r="C18" s="92" t="s">
        <v>179</v>
      </c>
      <c r="D18" s="102">
        <v>0</v>
      </c>
      <c r="E18" s="102">
        <v>0</v>
      </c>
      <c r="F18" s="98">
        <f t="shared" si="2"/>
        <v>0</v>
      </c>
      <c r="G18" s="98">
        <f t="shared" si="2"/>
        <v>0</v>
      </c>
      <c r="H18" s="110"/>
      <c r="I18" s="110"/>
      <c r="J18" s="98">
        <f t="shared" si="3"/>
        <v>0</v>
      </c>
      <c r="K18" s="98">
        <f t="shared" si="4"/>
        <v>0</v>
      </c>
      <c r="L18" s="103">
        <v>69.95</v>
      </c>
      <c r="M18" s="98">
        <f t="shared" si="5"/>
        <v>69.95</v>
      </c>
      <c r="N18" s="98"/>
      <c r="O18" s="98"/>
      <c r="P18" s="98">
        <f t="shared" si="6"/>
        <v>0</v>
      </c>
      <c r="Q18" s="98">
        <f t="shared" si="7"/>
        <v>0</v>
      </c>
      <c r="R18" s="103">
        <v>81.25</v>
      </c>
      <c r="S18" s="98">
        <f t="shared" si="8"/>
        <v>92.624999999999986</v>
      </c>
      <c r="T18" s="103">
        <v>6.8</v>
      </c>
      <c r="U18" s="98">
        <v>0.53</v>
      </c>
      <c r="V18" s="98">
        <f t="shared" si="9"/>
        <v>7.8199999999999994</v>
      </c>
      <c r="W18" s="98">
        <f t="shared" si="10"/>
        <v>0.60419999999999996</v>
      </c>
      <c r="X18" s="120">
        <v>0</v>
      </c>
      <c r="Y18" s="120">
        <v>0</v>
      </c>
      <c r="Z18" s="110"/>
      <c r="AA18" s="121">
        <f t="shared" si="11"/>
        <v>0</v>
      </c>
      <c r="AB18" s="121">
        <f t="shared" si="12"/>
        <v>0</v>
      </c>
      <c r="AC18" s="110"/>
      <c r="AD18" s="110"/>
      <c r="AE18" s="121">
        <f t="shared" si="13"/>
        <v>0</v>
      </c>
      <c r="AF18" s="121">
        <f t="shared" si="13"/>
        <v>0</v>
      </c>
      <c r="AG18" s="98">
        <v>0</v>
      </c>
      <c r="AH18" s="98">
        <v>0</v>
      </c>
      <c r="AI18" s="98">
        <f t="shared" si="14"/>
        <v>0</v>
      </c>
      <c r="AJ18" s="98">
        <f t="shared" si="14"/>
        <v>0</v>
      </c>
      <c r="AK18" s="103">
        <v>5.08</v>
      </c>
      <c r="AL18" s="98">
        <v>5.83</v>
      </c>
      <c r="AM18" s="98">
        <f t="shared" si="15"/>
        <v>5.8419999999999996</v>
      </c>
      <c r="AN18" s="98">
        <f t="shared" si="16"/>
        <v>6.6461999999999994</v>
      </c>
      <c r="AO18" s="98">
        <v>0</v>
      </c>
      <c r="AP18" s="98">
        <v>0</v>
      </c>
      <c r="AQ18" s="131">
        <v>182.85</v>
      </c>
      <c r="AR18" s="131">
        <v>276.64999999999998</v>
      </c>
      <c r="AS18" s="99"/>
      <c r="AT18" s="98">
        <f t="shared" si="17"/>
        <v>0</v>
      </c>
      <c r="AU18" s="99"/>
      <c r="AV18" s="149">
        <f t="shared" si="18"/>
        <v>0</v>
      </c>
      <c r="AW18" s="98">
        <v>0</v>
      </c>
      <c r="AX18" s="98">
        <v>31.86</v>
      </c>
      <c r="AY18" s="101"/>
      <c r="AZ18" s="98">
        <f t="shared" si="19"/>
        <v>0</v>
      </c>
      <c r="BA18" s="98"/>
      <c r="BB18" s="98"/>
      <c r="BC18" s="99"/>
      <c r="BD18" s="99"/>
      <c r="BE18" s="98">
        <f t="shared" si="20"/>
        <v>0</v>
      </c>
      <c r="BF18" s="98">
        <f t="shared" si="21"/>
        <v>0</v>
      </c>
      <c r="BG18" s="99"/>
      <c r="BH18" s="99"/>
      <c r="BI18" s="98">
        <f t="shared" si="22"/>
        <v>0</v>
      </c>
      <c r="BJ18" s="98">
        <f t="shared" si="23"/>
        <v>0</v>
      </c>
      <c r="BK18" s="100"/>
      <c r="BL18" s="100"/>
      <c r="BM18" s="98"/>
      <c r="BN18" s="98">
        <f t="shared" si="24"/>
        <v>0</v>
      </c>
      <c r="BO18" s="173"/>
      <c r="BP18" s="149">
        <f t="shared" si="25"/>
        <v>0</v>
      </c>
      <c r="BQ18" s="112"/>
      <c r="BR18" s="112"/>
      <c r="BS18" s="104">
        <f t="shared" si="26"/>
        <v>0</v>
      </c>
      <c r="BT18" s="104">
        <f t="shared" si="27"/>
        <v>0</v>
      </c>
      <c r="BU18" s="105">
        <v>0</v>
      </c>
      <c r="BV18" s="105">
        <v>0</v>
      </c>
      <c r="BW18" s="142">
        <f t="shared" si="28"/>
        <v>0</v>
      </c>
      <c r="BX18" s="142">
        <f t="shared" si="29"/>
        <v>0</v>
      </c>
      <c r="BY18" s="110"/>
      <c r="BZ18" s="110"/>
      <c r="CA18" s="142">
        <f t="shared" si="30"/>
        <v>0</v>
      </c>
      <c r="CB18" s="142">
        <f t="shared" si="30"/>
        <v>0</v>
      </c>
      <c r="CC18" s="106"/>
      <c r="CD18" s="106"/>
      <c r="CE18" s="98">
        <f t="shared" si="31"/>
        <v>0</v>
      </c>
      <c r="CF18" s="107">
        <f t="shared" si="31"/>
        <v>0</v>
      </c>
      <c r="CG18" s="81"/>
      <c r="CH18" s="65">
        <f t="shared" si="32"/>
        <v>1500000</v>
      </c>
      <c r="CI18" s="74"/>
      <c r="CJ18" s="74"/>
      <c r="CK18" s="54">
        <v>560000</v>
      </c>
      <c r="CL18" s="74"/>
      <c r="CM18" s="54">
        <v>940000</v>
      </c>
      <c r="CN18" s="74"/>
      <c r="CO18" s="74"/>
      <c r="CP18" s="90"/>
      <c r="CQ18" s="68">
        <v>0</v>
      </c>
      <c r="CR18" s="69">
        <f t="shared" si="33"/>
        <v>196.512</v>
      </c>
      <c r="CS18" s="69">
        <f t="shared" si="34"/>
        <v>478.33539999999999</v>
      </c>
      <c r="CT18" s="70">
        <f t="shared" si="0"/>
        <v>1504408.5349199998</v>
      </c>
      <c r="CU18" s="70">
        <f t="shared" si="1"/>
        <v>1002939.02328</v>
      </c>
      <c r="CV18" s="70">
        <f t="shared" si="35"/>
        <v>4408.5349199997727</v>
      </c>
      <c r="CW18" s="55"/>
      <c r="CX18" s="118"/>
    </row>
    <row r="19" spans="1:102">
      <c r="A19" s="18"/>
      <c r="B19" s="94" t="s">
        <v>186</v>
      </c>
      <c r="C19" s="92" t="s">
        <v>187</v>
      </c>
      <c r="D19" s="102">
        <v>0</v>
      </c>
      <c r="E19" s="102">
        <v>0</v>
      </c>
      <c r="F19" s="98">
        <f t="shared" si="2"/>
        <v>0</v>
      </c>
      <c r="G19" s="98">
        <f t="shared" si="2"/>
        <v>0</v>
      </c>
      <c r="H19" s="110"/>
      <c r="I19" s="110"/>
      <c r="J19" s="98">
        <f t="shared" si="3"/>
        <v>0</v>
      </c>
      <c r="K19" s="98">
        <f t="shared" si="4"/>
        <v>0</v>
      </c>
      <c r="L19" s="103"/>
      <c r="M19" s="98">
        <f t="shared" si="5"/>
        <v>0</v>
      </c>
      <c r="N19" s="98">
        <v>0</v>
      </c>
      <c r="O19" s="98">
        <v>0</v>
      </c>
      <c r="P19" s="98">
        <f t="shared" si="6"/>
        <v>0</v>
      </c>
      <c r="Q19" s="98">
        <f t="shared" si="7"/>
        <v>0</v>
      </c>
      <c r="R19" s="103">
        <v>9.68</v>
      </c>
      <c r="S19" s="98">
        <f t="shared" si="8"/>
        <v>11.035199999999998</v>
      </c>
      <c r="T19" s="103">
        <v>10.51</v>
      </c>
      <c r="U19" s="98">
        <v>3.99</v>
      </c>
      <c r="V19" s="98">
        <f t="shared" si="9"/>
        <v>12.086499999999999</v>
      </c>
      <c r="W19" s="98">
        <f t="shared" si="10"/>
        <v>4.5485999999999995</v>
      </c>
      <c r="X19" s="120">
        <v>0</v>
      </c>
      <c r="Y19" s="120">
        <v>0</v>
      </c>
      <c r="Z19" s="110"/>
      <c r="AA19" s="121">
        <f t="shared" si="11"/>
        <v>0</v>
      </c>
      <c r="AB19" s="121">
        <f t="shared" si="12"/>
        <v>0</v>
      </c>
      <c r="AC19" s="110"/>
      <c r="AD19" s="110"/>
      <c r="AE19" s="121">
        <f t="shared" si="13"/>
        <v>0</v>
      </c>
      <c r="AF19" s="121">
        <f t="shared" si="13"/>
        <v>0</v>
      </c>
      <c r="AG19" s="98">
        <v>0</v>
      </c>
      <c r="AH19" s="98">
        <v>0</v>
      </c>
      <c r="AI19" s="98">
        <f t="shared" si="14"/>
        <v>0</v>
      </c>
      <c r="AJ19" s="98">
        <f t="shared" si="14"/>
        <v>0</v>
      </c>
      <c r="AK19" s="103">
        <v>64.17</v>
      </c>
      <c r="AL19" s="98">
        <v>25.89</v>
      </c>
      <c r="AM19" s="98">
        <f t="shared" si="15"/>
        <v>73.79549999999999</v>
      </c>
      <c r="AN19" s="98">
        <f t="shared" si="16"/>
        <v>29.514599999999998</v>
      </c>
      <c r="AO19" s="98"/>
      <c r="AP19" s="98"/>
      <c r="AQ19" s="131"/>
      <c r="AR19" s="131">
        <v>0</v>
      </c>
      <c r="AS19" s="99"/>
      <c r="AT19" s="98">
        <f t="shared" si="17"/>
        <v>0</v>
      </c>
      <c r="AU19" s="99">
        <v>21</v>
      </c>
      <c r="AV19" s="149">
        <f t="shared" si="18"/>
        <v>21</v>
      </c>
      <c r="AW19" s="98">
        <v>17.239999999999998</v>
      </c>
      <c r="AX19" s="98">
        <v>0.99</v>
      </c>
      <c r="AY19" s="101"/>
      <c r="AZ19" s="98">
        <f t="shared" si="19"/>
        <v>0</v>
      </c>
      <c r="BA19" s="98"/>
      <c r="BB19" s="98"/>
      <c r="BC19" s="99"/>
      <c r="BD19" s="99"/>
      <c r="BE19" s="98">
        <f t="shared" si="20"/>
        <v>0</v>
      </c>
      <c r="BF19" s="98">
        <f t="shared" si="21"/>
        <v>0</v>
      </c>
      <c r="BG19" s="99">
        <v>150.85</v>
      </c>
      <c r="BH19" s="99">
        <v>5.36</v>
      </c>
      <c r="BI19" s="98">
        <f t="shared" si="22"/>
        <v>171.96899999999997</v>
      </c>
      <c r="BJ19" s="98">
        <f t="shared" si="23"/>
        <v>6.1104000000000003</v>
      </c>
      <c r="BK19" s="100"/>
      <c r="BL19" s="100"/>
      <c r="BM19" s="98">
        <v>0</v>
      </c>
      <c r="BN19" s="98">
        <f t="shared" si="24"/>
        <v>0</v>
      </c>
      <c r="BO19" s="105">
        <v>21.44</v>
      </c>
      <c r="BP19" s="149">
        <f t="shared" si="25"/>
        <v>24.441600000000001</v>
      </c>
      <c r="BQ19" s="112"/>
      <c r="BR19" s="112"/>
      <c r="BS19" s="104">
        <f t="shared" si="26"/>
        <v>0</v>
      </c>
      <c r="BT19" s="104">
        <f t="shared" si="27"/>
        <v>0</v>
      </c>
      <c r="BU19" s="105">
        <v>0</v>
      </c>
      <c r="BV19" s="105">
        <v>0</v>
      </c>
      <c r="BW19" s="142">
        <f t="shared" si="28"/>
        <v>0</v>
      </c>
      <c r="BX19" s="142">
        <f t="shared" si="29"/>
        <v>0</v>
      </c>
      <c r="BY19" s="110"/>
      <c r="BZ19" s="110"/>
      <c r="CA19" s="142">
        <f t="shared" si="30"/>
        <v>0</v>
      </c>
      <c r="CB19" s="142">
        <f t="shared" si="30"/>
        <v>0</v>
      </c>
      <c r="CC19" s="106"/>
      <c r="CD19" s="106"/>
      <c r="CE19" s="98">
        <f t="shared" si="31"/>
        <v>0</v>
      </c>
      <c r="CF19" s="107">
        <f t="shared" si="31"/>
        <v>0</v>
      </c>
      <c r="CG19" s="81"/>
      <c r="CH19" s="65">
        <f t="shared" si="32"/>
        <v>830000</v>
      </c>
      <c r="CI19" s="74"/>
      <c r="CJ19" s="74"/>
      <c r="CK19" s="54">
        <v>480000</v>
      </c>
      <c r="CL19" s="74"/>
      <c r="CM19" s="54">
        <v>350000</v>
      </c>
      <c r="CN19" s="74"/>
      <c r="CO19" s="74">
        <v>0</v>
      </c>
      <c r="CP19" s="90"/>
      <c r="CQ19" s="68">
        <v>0</v>
      </c>
      <c r="CR19" s="69">
        <f t="shared" si="33"/>
        <v>103.12199999999999</v>
      </c>
      <c r="CS19" s="69">
        <f t="shared" si="34"/>
        <v>263.49899999999997</v>
      </c>
      <c r="CT19" s="70">
        <f t="shared" si="0"/>
        <v>834411.05099999986</v>
      </c>
      <c r="CU19" s="70">
        <f t="shared" si="1"/>
        <v>550586.77919999987</v>
      </c>
      <c r="CV19" s="70">
        <f t="shared" si="35"/>
        <v>4411.0509999998612</v>
      </c>
      <c r="CW19" s="55"/>
      <c r="CX19" s="118"/>
    </row>
    <row r="20" spans="1:102">
      <c r="A20" s="18"/>
      <c r="B20" s="94" t="s">
        <v>193</v>
      </c>
      <c r="C20" s="92" t="s">
        <v>194</v>
      </c>
      <c r="D20" s="102">
        <v>0</v>
      </c>
      <c r="E20" s="102">
        <v>0</v>
      </c>
      <c r="F20" s="98">
        <f t="shared" si="2"/>
        <v>0</v>
      </c>
      <c r="G20" s="98">
        <f t="shared" si="2"/>
        <v>0</v>
      </c>
      <c r="H20" s="110"/>
      <c r="I20" s="110"/>
      <c r="J20" s="98">
        <f t="shared" si="3"/>
        <v>0</v>
      </c>
      <c r="K20" s="98">
        <f t="shared" si="4"/>
        <v>0</v>
      </c>
      <c r="L20" s="103"/>
      <c r="M20" s="98">
        <f t="shared" si="5"/>
        <v>0</v>
      </c>
      <c r="N20" s="98"/>
      <c r="O20" s="98"/>
      <c r="P20" s="98">
        <f t="shared" si="6"/>
        <v>0</v>
      </c>
      <c r="Q20" s="98">
        <f t="shared" si="7"/>
        <v>0</v>
      </c>
      <c r="R20" s="103">
        <v>568.66999999999996</v>
      </c>
      <c r="S20" s="98">
        <f t="shared" si="8"/>
        <v>648.28379999999993</v>
      </c>
      <c r="T20" s="103">
        <v>0</v>
      </c>
      <c r="U20" s="98">
        <v>0</v>
      </c>
      <c r="V20" s="98">
        <f t="shared" si="9"/>
        <v>0</v>
      </c>
      <c r="W20" s="98">
        <f t="shared" si="10"/>
        <v>0</v>
      </c>
      <c r="X20" s="120">
        <v>0</v>
      </c>
      <c r="Y20" s="120">
        <v>0</v>
      </c>
      <c r="Z20" s="110"/>
      <c r="AA20" s="121">
        <f t="shared" si="11"/>
        <v>0</v>
      </c>
      <c r="AB20" s="121">
        <f t="shared" si="12"/>
        <v>0</v>
      </c>
      <c r="AC20" s="110"/>
      <c r="AD20" s="110"/>
      <c r="AE20" s="121">
        <f t="shared" si="13"/>
        <v>0</v>
      </c>
      <c r="AF20" s="121">
        <f t="shared" si="13"/>
        <v>0</v>
      </c>
      <c r="AG20" s="98">
        <v>0</v>
      </c>
      <c r="AH20" s="98">
        <v>0</v>
      </c>
      <c r="AI20" s="98">
        <f t="shared" si="14"/>
        <v>0</v>
      </c>
      <c r="AJ20" s="98">
        <f t="shared" si="14"/>
        <v>0</v>
      </c>
      <c r="AK20" s="103">
        <v>227.43</v>
      </c>
      <c r="AL20" s="98">
        <v>236.73</v>
      </c>
      <c r="AM20" s="98">
        <f t="shared" si="15"/>
        <v>261.54449999999997</v>
      </c>
      <c r="AN20" s="98">
        <f t="shared" si="16"/>
        <v>269.87219999999996</v>
      </c>
      <c r="AO20" s="98"/>
      <c r="AP20" s="98"/>
      <c r="AQ20" s="131"/>
      <c r="AR20" s="131"/>
      <c r="AS20" s="99"/>
      <c r="AT20" s="98">
        <f t="shared" si="17"/>
        <v>0</v>
      </c>
      <c r="AU20" s="99"/>
      <c r="AV20" s="149">
        <f t="shared" si="18"/>
        <v>0</v>
      </c>
      <c r="AW20" s="98">
        <v>52.82</v>
      </c>
      <c r="AX20" s="98">
        <v>48.66</v>
      </c>
      <c r="AY20" s="101"/>
      <c r="AZ20" s="98">
        <f t="shared" si="19"/>
        <v>0</v>
      </c>
      <c r="BA20" s="98"/>
      <c r="BB20" s="98"/>
      <c r="BC20" s="99">
        <v>3</v>
      </c>
      <c r="BD20" s="99">
        <f>22.94+5.85</f>
        <v>28.79</v>
      </c>
      <c r="BE20" s="98">
        <f t="shared" si="20"/>
        <v>2.4737999999999998</v>
      </c>
      <c r="BF20" s="98">
        <f t="shared" si="21"/>
        <v>23.383237999999999</v>
      </c>
      <c r="BG20" s="99"/>
      <c r="BH20" s="99"/>
      <c r="BI20" s="98">
        <f t="shared" si="22"/>
        <v>0</v>
      </c>
      <c r="BJ20" s="98">
        <f t="shared" si="23"/>
        <v>0</v>
      </c>
      <c r="BK20" s="100"/>
      <c r="BL20" s="100"/>
      <c r="BM20" s="98">
        <v>103.84</v>
      </c>
      <c r="BN20" s="98">
        <f t="shared" si="24"/>
        <v>99.437183999999988</v>
      </c>
      <c r="BO20" s="105">
        <v>59.68</v>
      </c>
      <c r="BP20" s="149">
        <f t="shared" si="25"/>
        <v>68.035199999999989</v>
      </c>
      <c r="BQ20" s="112"/>
      <c r="BR20" s="112"/>
      <c r="BS20" s="104">
        <f t="shared" si="26"/>
        <v>0</v>
      </c>
      <c r="BT20" s="104">
        <f t="shared" si="27"/>
        <v>0</v>
      </c>
      <c r="BU20" s="105">
        <v>0</v>
      </c>
      <c r="BV20" s="105">
        <v>0</v>
      </c>
      <c r="BW20" s="142">
        <f t="shared" si="28"/>
        <v>0</v>
      </c>
      <c r="BX20" s="142">
        <f t="shared" si="29"/>
        <v>0</v>
      </c>
      <c r="BY20" s="110"/>
      <c r="BZ20" s="110"/>
      <c r="CA20" s="142">
        <f t="shared" si="30"/>
        <v>0</v>
      </c>
      <c r="CB20" s="142">
        <f t="shared" si="30"/>
        <v>0</v>
      </c>
      <c r="CC20" s="106"/>
      <c r="CD20" s="106"/>
      <c r="CE20" s="98">
        <f t="shared" si="31"/>
        <v>0</v>
      </c>
      <c r="CF20" s="107">
        <f t="shared" si="31"/>
        <v>0</v>
      </c>
      <c r="CG20" s="81"/>
      <c r="CH20" s="65">
        <f t="shared" si="32"/>
        <v>3290000</v>
      </c>
      <c r="CI20" s="74"/>
      <c r="CJ20" s="74"/>
      <c r="CK20" s="54">
        <v>1470000</v>
      </c>
      <c r="CL20" s="74"/>
      <c r="CM20" s="54">
        <v>1820000</v>
      </c>
      <c r="CN20" s="74"/>
      <c r="CO20" s="74"/>
      <c r="CP20" s="90"/>
      <c r="CQ20" s="68">
        <v>0</v>
      </c>
      <c r="CR20" s="69">
        <f t="shared" si="33"/>
        <v>316.83829999999995</v>
      </c>
      <c r="CS20" s="69">
        <f t="shared" si="34"/>
        <v>1157.6716219999998</v>
      </c>
      <c r="CT20" s="70">
        <f t="shared" si="0"/>
        <v>3288817.5862835995</v>
      </c>
      <c r="CU20" s="70">
        <f t="shared" si="1"/>
        <v>2192545.0575223998</v>
      </c>
      <c r="CV20" s="70">
        <f t="shared" si="35"/>
        <v>-1182.4137164005078</v>
      </c>
      <c r="CW20" s="55"/>
      <c r="CX20" s="118"/>
    </row>
    <row r="21" spans="1:102">
      <c r="A21" s="171" t="s">
        <v>199</v>
      </c>
      <c r="B21" s="169" t="s">
        <v>200</v>
      </c>
      <c r="C21" s="170" t="s">
        <v>201</v>
      </c>
      <c r="D21" s="102">
        <v>0</v>
      </c>
      <c r="E21" s="102">
        <v>0</v>
      </c>
      <c r="F21" s="98">
        <f t="shared" si="2"/>
        <v>0</v>
      </c>
      <c r="G21" s="98">
        <f t="shared" si="2"/>
        <v>0</v>
      </c>
      <c r="H21" s="110">
        <v>25</v>
      </c>
      <c r="I21" s="110">
        <v>0</v>
      </c>
      <c r="J21" s="98">
        <f t="shared" si="3"/>
        <v>22.424999999999997</v>
      </c>
      <c r="K21" s="98">
        <f t="shared" si="4"/>
        <v>0</v>
      </c>
      <c r="L21" s="103">
        <v>137.41999999999999</v>
      </c>
      <c r="M21" s="98">
        <f t="shared" si="5"/>
        <v>137.41999999999999</v>
      </c>
      <c r="N21" s="98"/>
      <c r="O21" s="98"/>
      <c r="P21" s="98">
        <f t="shared" si="6"/>
        <v>0</v>
      </c>
      <c r="Q21" s="98">
        <f t="shared" si="7"/>
        <v>0</v>
      </c>
      <c r="R21" s="103">
        <v>26.19</v>
      </c>
      <c r="S21" s="98">
        <f t="shared" si="8"/>
        <v>29.8566</v>
      </c>
      <c r="T21" s="103">
        <v>3.34</v>
      </c>
      <c r="U21" s="98">
        <v>9.48</v>
      </c>
      <c r="V21" s="98">
        <f t="shared" si="9"/>
        <v>3.8409999999999997</v>
      </c>
      <c r="W21" s="98">
        <f t="shared" si="10"/>
        <v>10.8072</v>
      </c>
      <c r="X21" s="120">
        <v>45.82</v>
      </c>
      <c r="Y21" s="120">
        <v>0</v>
      </c>
      <c r="Z21" s="110"/>
      <c r="AA21" s="121">
        <f t="shared" si="11"/>
        <v>34.365000000000002</v>
      </c>
      <c r="AB21" s="121">
        <f t="shared" si="12"/>
        <v>0</v>
      </c>
      <c r="AC21" s="110"/>
      <c r="AD21" s="110"/>
      <c r="AE21" s="121">
        <f t="shared" si="13"/>
        <v>0</v>
      </c>
      <c r="AF21" s="121">
        <f t="shared" si="13"/>
        <v>0</v>
      </c>
      <c r="AG21" s="98">
        <v>0</v>
      </c>
      <c r="AH21" s="98">
        <v>0</v>
      </c>
      <c r="AI21" s="98">
        <f t="shared" si="14"/>
        <v>0</v>
      </c>
      <c r="AJ21" s="98">
        <f t="shared" si="14"/>
        <v>0</v>
      </c>
      <c r="AK21" s="103">
        <v>35.08</v>
      </c>
      <c r="AL21" s="98">
        <v>61.41</v>
      </c>
      <c r="AM21" s="98">
        <f t="shared" si="15"/>
        <v>40.341999999999992</v>
      </c>
      <c r="AN21" s="98">
        <f t="shared" si="16"/>
        <v>70.00739999999999</v>
      </c>
      <c r="AO21" s="98"/>
      <c r="AP21" s="98"/>
      <c r="AQ21" s="131"/>
      <c r="AR21" s="131"/>
      <c r="AS21" s="99"/>
      <c r="AT21" s="98">
        <f t="shared" si="17"/>
        <v>0</v>
      </c>
      <c r="AU21" s="99">
        <v>173.75</v>
      </c>
      <c r="AV21" s="149">
        <f t="shared" si="18"/>
        <v>173.75</v>
      </c>
      <c r="AW21" s="98">
        <v>46.37</v>
      </c>
      <c r="AX21" s="98">
        <v>15.1</v>
      </c>
      <c r="AY21" s="101"/>
      <c r="AZ21" s="98">
        <f t="shared" si="19"/>
        <v>0</v>
      </c>
      <c r="BA21" s="98"/>
      <c r="BB21" s="98"/>
      <c r="BC21" s="99"/>
      <c r="BD21" s="99"/>
      <c r="BE21" s="98">
        <f t="shared" si="20"/>
        <v>0</v>
      </c>
      <c r="BF21" s="98">
        <f t="shared" si="21"/>
        <v>0</v>
      </c>
      <c r="BG21" s="99"/>
      <c r="BH21" s="99"/>
      <c r="BI21" s="98">
        <f t="shared" si="22"/>
        <v>0</v>
      </c>
      <c r="BJ21" s="98">
        <f t="shared" si="23"/>
        <v>0</v>
      </c>
      <c r="BK21" s="100"/>
      <c r="BL21" s="100"/>
      <c r="BM21" s="98">
        <v>5.05</v>
      </c>
      <c r="BN21" s="98">
        <f t="shared" si="24"/>
        <v>4.8358799999999995</v>
      </c>
      <c r="BO21" s="105">
        <v>352.01</v>
      </c>
      <c r="BP21" s="149">
        <f t="shared" si="25"/>
        <v>401.29139999999995</v>
      </c>
      <c r="BQ21" s="112"/>
      <c r="BR21" s="112"/>
      <c r="BS21" s="104">
        <f t="shared" si="26"/>
        <v>0</v>
      </c>
      <c r="BT21" s="104">
        <f t="shared" si="27"/>
        <v>0</v>
      </c>
      <c r="BU21" s="105">
        <v>20</v>
      </c>
      <c r="BV21" s="105">
        <v>0.2</v>
      </c>
      <c r="BW21" s="142">
        <f t="shared" si="28"/>
        <v>26.266666000000001</v>
      </c>
      <c r="BX21" s="142">
        <f t="shared" si="29"/>
        <v>0.26200000000000001</v>
      </c>
      <c r="BY21" s="110">
        <v>0</v>
      </c>
      <c r="BZ21" s="110">
        <v>0</v>
      </c>
      <c r="CA21" s="142">
        <f t="shared" si="30"/>
        <v>0</v>
      </c>
      <c r="CB21" s="142">
        <f t="shared" si="30"/>
        <v>0</v>
      </c>
      <c r="CC21" s="106"/>
      <c r="CD21" s="106"/>
      <c r="CE21" s="98">
        <f t="shared" si="31"/>
        <v>0</v>
      </c>
      <c r="CF21" s="107">
        <f t="shared" si="31"/>
        <v>0</v>
      </c>
      <c r="CG21" s="81"/>
      <c r="CH21" s="65">
        <f t="shared" si="32"/>
        <v>2640000</v>
      </c>
      <c r="CI21" s="74"/>
      <c r="CJ21" s="74"/>
      <c r="CK21" s="54">
        <v>1270000</v>
      </c>
      <c r="CL21" s="74"/>
      <c r="CM21" s="54">
        <v>1370000</v>
      </c>
      <c r="CN21" s="74"/>
      <c r="CO21" s="74"/>
      <c r="CP21" s="90"/>
      <c r="CQ21" s="68">
        <v>0</v>
      </c>
      <c r="CR21" s="69">
        <f>SUM(AO21,AQ21,F21,P21,BS21,AM21,AA21,AE21,J21,AI21,V21,BA21,BE21,CE21,AW21,CA21,BW21)</f>
        <v>173.609666</v>
      </c>
      <c r="CS21" s="69">
        <f t="shared" si="34"/>
        <v>843.33047999999985</v>
      </c>
      <c r="CT21" s="70">
        <f>(((CR21*$A$2)+(CS21*$A$3))*0.7)+((BJ21*$A$3)*0.75)</f>
        <v>2647088.0185693996</v>
      </c>
      <c r="CU21" s="70">
        <f>((CR21*$A$2)+(CS21*$A$3))*0.3+((BJ21*$A$3)*0.25)</f>
        <v>1134466.2936725998</v>
      </c>
      <c r="CV21" s="70">
        <f t="shared" si="35"/>
        <v>7088.0185693996027</v>
      </c>
      <c r="CW21" s="55"/>
      <c r="CX21" s="118"/>
    </row>
    <row r="22" spans="1:102">
      <c r="A22" s="18"/>
      <c r="B22" s="94" t="s">
        <v>202</v>
      </c>
      <c r="C22" s="92" t="s">
        <v>203</v>
      </c>
      <c r="D22" s="102">
        <v>0</v>
      </c>
      <c r="E22" s="102">
        <v>0</v>
      </c>
      <c r="F22" s="98">
        <f t="shared" si="2"/>
        <v>0</v>
      </c>
      <c r="G22" s="98">
        <f t="shared" si="2"/>
        <v>0</v>
      </c>
      <c r="H22" s="110"/>
      <c r="I22" s="110"/>
      <c r="J22" s="98">
        <f t="shared" si="3"/>
        <v>0</v>
      </c>
      <c r="K22" s="98">
        <f t="shared" si="4"/>
        <v>0</v>
      </c>
      <c r="L22" s="103"/>
      <c r="M22" s="98">
        <f t="shared" si="5"/>
        <v>0</v>
      </c>
      <c r="N22" s="98"/>
      <c r="O22" s="98"/>
      <c r="P22" s="98">
        <f t="shared" si="6"/>
        <v>0</v>
      </c>
      <c r="Q22" s="98">
        <f t="shared" si="7"/>
        <v>0</v>
      </c>
      <c r="R22" s="103">
        <v>6.38</v>
      </c>
      <c r="S22" s="98">
        <f t="shared" si="8"/>
        <v>7.2731999999999992</v>
      </c>
      <c r="T22" s="103">
        <v>0</v>
      </c>
      <c r="U22" s="98">
        <v>0</v>
      </c>
      <c r="V22" s="98">
        <f t="shared" si="9"/>
        <v>0</v>
      </c>
      <c r="W22" s="98">
        <f t="shared" si="10"/>
        <v>0</v>
      </c>
      <c r="X22" s="120">
        <v>0</v>
      </c>
      <c r="Y22" s="120">
        <v>0</v>
      </c>
      <c r="Z22" s="110"/>
      <c r="AA22" s="121">
        <f t="shared" si="11"/>
        <v>0</v>
      </c>
      <c r="AB22" s="121">
        <f t="shared" si="12"/>
        <v>0</v>
      </c>
      <c r="AC22" s="110"/>
      <c r="AD22" s="110"/>
      <c r="AE22" s="121">
        <f t="shared" si="13"/>
        <v>0</v>
      </c>
      <c r="AF22" s="121">
        <f t="shared" si="13"/>
        <v>0</v>
      </c>
      <c r="AG22" s="98">
        <v>0</v>
      </c>
      <c r="AH22" s="98">
        <v>0</v>
      </c>
      <c r="AI22" s="98">
        <f t="shared" si="14"/>
        <v>0</v>
      </c>
      <c r="AJ22" s="98">
        <f t="shared" si="14"/>
        <v>0</v>
      </c>
      <c r="AK22" s="103"/>
      <c r="AL22" s="98"/>
      <c r="AM22" s="98">
        <f t="shared" si="15"/>
        <v>0</v>
      </c>
      <c r="AN22" s="98">
        <f t="shared" si="16"/>
        <v>0</v>
      </c>
      <c r="AO22" s="98"/>
      <c r="AP22" s="98"/>
      <c r="AQ22" s="131">
        <v>3.54</v>
      </c>
      <c r="AR22" s="131">
        <v>0</v>
      </c>
      <c r="AS22" s="99"/>
      <c r="AT22" s="98">
        <f t="shared" si="17"/>
        <v>0</v>
      </c>
      <c r="AU22" s="99"/>
      <c r="AV22" s="149">
        <f t="shared" si="18"/>
        <v>0</v>
      </c>
      <c r="AW22" s="98">
        <v>11.59</v>
      </c>
      <c r="AX22" s="98">
        <v>0</v>
      </c>
      <c r="AY22" s="101"/>
      <c r="AZ22" s="98">
        <f t="shared" si="19"/>
        <v>0</v>
      </c>
      <c r="BA22" s="98"/>
      <c r="BB22" s="98"/>
      <c r="BC22" s="99"/>
      <c r="BD22" s="99"/>
      <c r="BE22" s="98">
        <f t="shared" si="20"/>
        <v>0</v>
      </c>
      <c r="BF22" s="98">
        <f t="shared" si="21"/>
        <v>0</v>
      </c>
      <c r="BG22" s="99"/>
      <c r="BH22" s="99"/>
      <c r="BI22" s="98">
        <f t="shared" si="22"/>
        <v>0</v>
      </c>
      <c r="BJ22" s="98">
        <f t="shared" si="23"/>
        <v>0</v>
      </c>
      <c r="BK22" s="100"/>
      <c r="BL22" s="100"/>
      <c r="BM22" s="98">
        <v>14.36</v>
      </c>
      <c r="BN22" s="98">
        <f t="shared" si="24"/>
        <v>13.751135999999997</v>
      </c>
      <c r="BO22" s="105">
        <v>0</v>
      </c>
      <c r="BP22" s="149">
        <f t="shared" si="25"/>
        <v>0</v>
      </c>
      <c r="BQ22" s="112"/>
      <c r="BR22" s="112"/>
      <c r="BS22" s="104">
        <f t="shared" si="26"/>
        <v>0</v>
      </c>
      <c r="BT22" s="104">
        <f t="shared" si="27"/>
        <v>0</v>
      </c>
      <c r="BU22" s="105">
        <v>0</v>
      </c>
      <c r="BV22" s="105">
        <v>0</v>
      </c>
      <c r="BW22" s="142">
        <f t="shared" si="28"/>
        <v>0</v>
      </c>
      <c r="BX22" s="142">
        <f t="shared" si="29"/>
        <v>0</v>
      </c>
      <c r="BY22" s="110"/>
      <c r="BZ22" s="110"/>
      <c r="CA22" s="142">
        <f t="shared" si="30"/>
        <v>0</v>
      </c>
      <c r="CB22" s="142">
        <f t="shared" si="30"/>
        <v>0</v>
      </c>
      <c r="CC22" s="106"/>
      <c r="CD22" s="106"/>
      <c r="CE22" s="98">
        <f t="shared" si="31"/>
        <v>0</v>
      </c>
      <c r="CF22" s="107">
        <f t="shared" si="31"/>
        <v>0</v>
      </c>
      <c r="CG22" s="81"/>
      <c r="CH22" s="65">
        <f t="shared" si="32"/>
        <v>80000</v>
      </c>
      <c r="CI22" s="74"/>
      <c r="CJ22" s="74"/>
      <c r="CK22" s="54">
        <v>80000</v>
      </c>
      <c r="CL22" s="74"/>
      <c r="CM22" s="54"/>
      <c r="CN22" s="74"/>
      <c r="CO22" s="74"/>
      <c r="CP22" s="90"/>
      <c r="CQ22" s="68">
        <v>0</v>
      </c>
      <c r="CR22" s="69">
        <f t="shared" ref="CR22" si="36">SUM(AO22,AQ22,F22,P22,BS22,AM22,AA22,AE22,J22,AI22,V22,BA22,BE22,CE22,AW22,CA22,BW22)</f>
        <v>15.129999999999999</v>
      </c>
      <c r="CS22" s="69">
        <f>SUM(AP22,AR22,G22,Q22,BN22,AZ22,M22,BT22,AN22,S22,AB22,AF22,K22,AJ22,BI22,W22,BB22,BF22,CF22,BP22,BL22,CG22,AT22,AV22,AX22,CB22,BX22)</f>
        <v>21.024335999999998</v>
      </c>
      <c r="CT22" s="70">
        <f t="shared" ref="CT22" si="37">(((CR22*$A$2)+(CS22*$A$3))*0.6)+((BJ22*$A$3)*0.75)</f>
        <v>80525.527756799987</v>
      </c>
      <c r="CU22" s="70">
        <f t="shared" ref="CU22" si="38">((CR22*$A$2)+(CS22*$A$3))*0.4+((BJ22*$A$3)*0.25)</f>
        <v>53683.685171199999</v>
      </c>
      <c r="CV22" s="70">
        <f t="shared" si="35"/>
        <v>525.5277567999874</v>
      </c>
      <c r="CW22" s="55"/>
      <c r="CX22" s="118"/>
    </row>
    <row r="23" spans="1:102">
      <c r="A23" s="18"/>
      <c r="B23" s="94" t="s">
        <v>206</v>
      </c>
      <c r="C23" s="92" t="s">
        <v>207</v>
      </c>
      <c r="D23" s="102">
        <v>0</v>
      </c>
      <c r="E23" s="102">
        <v>0</v>
      </c>
      <c r="F23" s="98">
        <f>SUM((D23*2)*0.3)</f>
        <v>0</v>
      </c>
      <c r="G23" s="98">
        <f>SUM((E23*2)*0.3)</f>
        <v>0</v>
      </c>
      <c r="H23" s="110"/>
      <c r="I23" s="110"/>
      <c r="J23" s="98">
        <f>SUM(H23*0.78)*$C$2</f>
        <v>0</v>
      </c>
      <c r="K23" s="98">
        <f>SUM(I23*0.78)*$C$3</f>
        <v>0</v>
      </c>
      <c r="L23" s="103"/>
      <c r="M23" s="98">
        <f>L23</f>
        <v>0</v>
      </c>
      <c r="N23" s="98"/>
      <c r="O23" s="98"/>
      <c r="P23" s="98">
        <f>N23*$C$2</f>
        <v>0</v>
      </c>
      <c r="Q23" s="98">
        <f>O23*$C$3</f>
        <v>0</v>
      </c>
      <c r="R23" s="103">
        <v>73.48</v>
      </c>
      <c r="S23" s="98">
        <f>R23*$C$3</f>
        <v>83.767200000000003</v>
      </c>
      <c r="T23" s="108"/>
      <c r="U23" s="99"/>
      <c r="V23" s="98">
        <f>SUM(T23*($C$2))</f>
        <v>0</v>
      </c>
      <c r="W23" s="98">
        <f>SUM(U23*($C$3))</f>
        <v>0</v>
      </c>
      <c r="X23" s="120">
        <v>0</v>
      </c>
      <c r="Y23" s="120">
        <v>0</v>
      </c>
      <c r="Z23" s="110"/>
      <c r="AA23" s="121">
        <f>SUM(X23*0.75)+(Z23*0.75)</f>
        <v>0</v>
      </c>
      <c r="AB23" s="121">
        <f>(Y23*0.75)+(Z23*0.75)</f>
        <v>0</v>
      </c>
      <c r="AC23" s="110"/>
      <c r="AD23" s="110"/>
      <c r="AE23" s="121">
        <f>AC23*0.75</f>
        <v>0</v>
      </c>
      <c r="AF23" s="121">
        <f>AD23*0.75</f>
        <v>0</v>
      </c>
      <c r="AG23" s="98">
        <v>0</v>
      </c>
      <c r="AH23" s="98">
        <v>0</v>
      </c>
      <c r="AI23" s="98">
        <f>AG23*0.75</f>
        <v>0</v>
      </c>
      <c r="AJ23" s="98">
        <f>AH23*0.75</f>
        <v>0</v>
      </c>
      <c r="AK23" s="103">
        <v>59.32</v>
      </c>
      <c r="AL23" s="98">
        <v>29.94</v>
      </c>
      <c r="AM23" s="98">
        <f>AK23*$C$2</f>
        <v>68.217999999999989</v>
      </c>
      <c r="AN23" s="98">
        <f>AL23*$C$3</f>
        <v>34.131599999999999</v>
      </c>
      <c r="AO23" s="98"/>
      <c r="AP23" s="98"/>
      <c r="AQ23" s="131"/>
      <c r="AR23" s="131"/>
      <c r="AS23" s="99"/>
      <c r="AT23" s="98">
        <f>AS23*$C$3</f>
        <v>0</v>
      </c>
      <c r="AU23" s="99"/>
      <c r="AV23" s="149">
        <f t="shared" si="18"/>
        <v>0</v>
      </c>
      <c r="AW23" s="99">
        <v>14.51</v>
      </c>
      <c r="AX23" s="99">
        <v>24.87</v>
      </c>
      <c r="AY23" s="101"/>
      <c r="AZ23" s="98">
        <f>AY23*$D$2</f>
        <v>0</v>
      </c>
      <c r="BA23" s="98"/>
      <c r="BB23" s="98"/>
      <c r="BC23" s="99"/>
      <c r="BD23" s="99"/>
      <c r="BE23" s="98">
        <f>SUM(BC23*0.62)*$B$2</f>
        <v>0</v>
      </c>
      <c r="BF23" s="98">
        <f>SUM(BD23*0.62)*$B$3</f>
        <v>0</v>
      </c>
      <c r="BG23" s="99"/>
      <c r="BH23" s="99"/>
      <c r="BI23" s="98">
        <f>(BG23*$C$3)</f>
        <v>0</v>
      </c>
      <c r="BJ23" s="98">
        <f>BH23*$C$3</f>
        <v>0</v>
      </c>
      <c r="BK23" s="100"/>
      <c r="BL23" s="100"/>
      <c r="BM23" s="98"/>
      <c r="BN23" s="98">
        <f t="shared" si="24"/>
        <v>0</v>
      </c>
      <c r="BO23" s="105">
        <v>111.89</v>
      </c>
      <c r="BP23" s="149">
        <f>BO23*$C$3</f>
        <v>127.55459999999999</v>
      </c>
      <c r="BQ23" s="112"/>
      <c r="BR23" s="112"/>
      <c r="BS23" s="104">
        <f>(BQ23/$D$2)*$C$2</f>
        <v>0</v>
      </c>
      <c r="BT23" s="104">
        <f>(BR23/$D$3)*$C$3</f>
        <v>0</v>
      </c>
      <c r="BU23" s="105">
        <v>0</v>
      </c>
      <c r="BV23" s="105">
        <v>0</v>
      </c>
      <c r="BW23" s="142">
        <f>BU23*$E$2</f>
        <v>0</v>
      </c>
      <c r="BX23" s="142">
        <f>BV23*$E$3</f>
        <v>0</v>
      </c>
      <c r="BY23" s="110"/>
      <c r="BZ23" s="110"/>
      <c r="CA23" s="142">
        <f>BY23/2</f>
        <v>0</v>
      </c>
      <c r="CB23" s="142">
        <f>BZ23/2</f>
        <v>0</v>
      </c>
      <c r="CC23" s="106"/>
      <c r="CD23" s="106"/>
      <c r="CE23" s="98">
        <f>CC23*0.05</f>
        <v>0</v>
      </c>
      <c r="CF23" s="107">
        <f>CD23*0.05</f>
        <v>0</v>
      </c>
      <c r="CG23" s="81"/>
      <c r="CH23" s="65">
        <f>SUM(CI23:CO23)</f>
        <v>780000</v>
      </c>
      <c r="CI23" s="133"/>
      <c r="CJ23" s="133"/>
      <c r="CK23" s="54">
        <v>460000</v>
      </c>
      <c r="CL23" s="133"/>
      <c r="CM23" s="54">
        <v>320000</v>
      </c>
      <c r="CN23" s="133"/>
      <c r="CO23" s="133"/>
      <c r="CP23" s="69"/>
      <c r="CQ23" s="68">
        <v>0</v>
      </c>
      <c r="CR23" s="69">
        <f>SUM(AO23,AQ23,F23,P23,BS23,AM23,AA23,AE23,J23,AI23,V23,BA23,BE23,CE23,AW23,CA23,BW23)</f>
        <v>82.727999999999994</v>
      </c>
      <c r="CS23" s="69">
        <f>SUM(AP23,AR23,G23,Q23,BN23,AZ23,M23,BT23,AN23,S23,AB23,AF23,K23,AJ23,BI23,W23,BB23,BF23,CF23,BP23,BL23,CG23,AT23,AV23,AX23,CB23,BX23)</f>
        <v>270.32339999999999</v>
      </c>
      <c r="CT23" s="70">
        <f>(((CR23*$A$2)+(CS23*$A$3))*0.6)+((BJ23*$A$3)*0.75)</f>
        <v>787355.66052000003</v>
      </c>
      <c r="CU23" s="70">
        <f>((CR23*$A$2)+(CS23*$A$3))*0.4+((BJ23*$A$3)*0.25)</f>
        <v>524903.77367999998</v>
      </c>
      <c r="CV23" s="70">
        <f>CT23-CH23</f>
        <v>7355.660520000034</v>
      </c>
      <c r="CW23" s="55"/>
      <c r="CX23" s="118"/>
    </row>
    <row r="24" spans="1:102">
      <c r="A24" s="18"/>
      <c r="B24" s="94"/>
      <c r="C24" s="92" t="s">
        <v>209</v>
      </c>
      <c r="D24" s="102">
        <v>380.44</v>
      </c>
      <c r="E24" s="102">
        <v>0</v>
      </c>
      <c r="F24" s="98">
        <f t="shared" ref="F24" si="39">SUM((D24*2)*0.3)</f>
        <v>228.26399999999998</v>
      </c>
      <c r="G24" s="98">
        <f t="shared" ref="G24" si="40">SUM((E24*2)*0.3)</f>
        <v>0</v>
      </c>
      <c r="H24" s="110"/>
      <c r="I24" s="110"/>
      <c r="J24" s="98">
        <f t="shared" ref="J24" si="41">SUM(H24*0.78)*$C$2</f>
        <v>0</v>
      </c>
      <c r="K24" s="98">
        <f t="shared" ref="K24" si="42">SUM(I24*0.78)*$C$3</f>
        <v>0</v>
      </c>
      <c r="L24" s="103">
        <v>0</v>
      </c>
      <c r="M24" s="98">
        <f t="shared" ref="M24" si="43">L24</f>
        <v>0</v>
      </c>
      <c r="N24" s="98"/>
      <c r="O24" s="98"/>
      <c r="P24" s="98">
        <f t="shared" ref="P24" si="44">N24*$C$2</f>
        <v>0</v>
      </c>
      <c r="Q24" s="98">
        <f t="shared" ref="Q24" si="45">O24*$C$3</f>
        <v>0</v>
      </c>
      <c r="R24" s="103">
        <v>0</v>
      </c>
      <c r="S24" s="98">
        <f t="shared" ref="S24" si="46">R24*$C$3</f>
        <v>0</v>
      </c>
      <c r="T24" s="108">
        <v>0</v>
      </c>
      <c r="U24" s="99">
        <v>0</v>
      </c>
      <c r="V24" s="98">
        <f t="shared" ref="V24" si="47">SUM(T24*($C$2))</f>
        <v>0</v>
      </c>
      <c r="W24" s="98">
        <f t="shared" ref="W24" si="48">SUM(U24*($C$3))</f>
        <v>0</v>
      </c>
      <c r="X24" s="120">
        <v>0</v>
      </c>
      <c r="Y24" s="120">
        <v>0</v>
      </c>
      <c r="Z24" s="110"/>
      <c r="AA24" s="121">
        <f t="shared" ref="AA24" si="49">SUM(X24*0.75)+(Z24*0.75)</f>
        <v>0</v>
      </c>
      <c r="AB24" s="121">
        <f t="shared" ref="AB24" si="50">(Y24*0.75)+(Z24*0.75)</f>
        <v>0</v>
      </c>
      <c r="AC24" s="110"/>
      <c r="AD24" s="110"/>
      <c r="AE24" s="121">
        <f t="shared" ref="AE24" si="51">AC24*0.75</f>
        <v>0</v>
      </c>
      <c r="AF24" s="121">
        <f t="shared" ref="AF24" si="52">AD24*0.75</f>
        <v>0</v>
      </c>
      <c r="AG24" s="98">
        <v>0</v>
      </c>
      <c r="AH24" s="98">
        <v>0</v>
      </c>
      <c r="AI24" s="98">
        <f t="shared" ref="AI24" si="53">AG24*0.75</f>
        <v>0</v>
      </c>
      <c r="AJ24" s="98">
        <f t="shared" ref="AJ24" si="54">AH24*0.75</f>
        <v>0</v>
      </c>
      <c r="AK24" s="103"/>
      <c r="AL24" s="98"/>
      <c r="AM24" s="98">
        <f t="shared" ref="AM24" si="55">AK24*$C$2</f>
        <v>0</v>
      </c>
      <c r="AN24" s="98">
        <f t="shared" ref="AN24" si="56">AL24*$C$3</f>
        <v>0</v>
      </c>
      <c r="AO24" s="98"/>
      <c r="AP24" s="98"/>
      <c r="AQ24" s="131"/>
      <c r="AR24" s="131"/>
      <c r="AS24" s="99"/>
      <c r="AT24" s="98">
        <f t="shared" ref="AT24" si="57">AS24*$C$3</f>
        <v>0</v>
      </c>
      <c r="AU24" s="99"/>
      <c r="AV24" s="149">
        <f t="shared" ref="AV24" si="58">AU24</f>
        <v>0</v>
      </c>
      <c r="AW24" s="99">
        <v>0</v>
      </c>
      <c r="AX24" s="99">
        <v>0</v>
      </c>
      <c r="AY24" s="101"/>
      <c r="AZ24" s="98">
        <f t="shared" ref="AZ24" si="59">AY24*$D$2</f>
        <v>0</v>
      </c>
      <c r="BA24" s="194">
        <v>65.959999999999994</v>
      </c>
      <c r="BB24" s="194"/>
      <c r="BC24" s="99"/>
      <c r="BD24" s="99"/>
      <c r="BE24" s="98">
        <f t="shared" ref="BE24" si="60">SUM(BC24*0.62)*$B$2</f>
        <v>0</v>
      </c>
      <c r="BF24" s="98">
        <f t="shared" ref="BF24" si="61">SUM(BD24*0.62)*$B$3</f>
        <v>0</v>
      </c>
      <c r="BG24" s="99"/>
      <c r="BH24" s="99"/>
      <c r="BI24" s="98">
        <f t="shared" ref="BI24" si="62">(BG24*$C$3)</f>
        <v>0</v>
      </c>
      <c r="BJ24" s="98">
        <f t="shared" ref="BJ24" si="63">BH24*$C$3</f>
        <v>0</v>
      </c>
      <c r="BK24" s="100"/>
      <c r="BL24" s="100"/>
      <c r="BM24" s="98"/>
      <c r="BN24" s="98">
        <f t="shared" ref="BN24" si="64">(BM24*$C$3)-((BM24*$C$3)*0.16)</f>
        <v>0</v>
      </c>
      <c r="BO24" s="105">
        <v>0</v>
      </c>
      <c r="BP24" s="149">
        <f t="shared" ref="BP24" si="65">BO24*$C$3</f>
        <v>0</v>
      </c>
      <c r="BQ24" s="112"/>
      <c r="BR24" s="112"/>
      <c r="BS24" s="104">
        <f t="shared" ref="BS24" si="66">(BQ24/$D$2)*$C$2</f>
        <v>0</v>
      </c>
      <c r="BT24" s="104">
        <f t="shared" ref="BT24" si="67">(BR24/$D$3)*$C$3</f>
        <v>0</v>
      </c>
      <c r="BU24" s="105">
        <v>0</v>
      </c>
      <c r="BV24" s="105">
        <v>0</v>
      </c>
      <c r="BW24" s="142">
        <f t="shared" ref="BW24" si="68">BU24*$E$2</f>
        <v>0</v>
      </c>
      <c r="BX24" s="142">
        <f t="shared" ref="BX24" si="69">BV24*$E$3</f>
        <v>0</v>
      </c>
      <c r="BY24" s="110"/>
      <c r="BZ24" s="110"/>
      <c r="CA24" s="142">
        <f t="shared" ref="CA24" si="70">BY24/2</f>
        <v>0</v>
      </c>
      <c r="CB24" s="142">
        <f t="shared" ref="CB24" si="71">BZ24/2</f>
        <v>0</v>
      </c>
      <c r="CC24" s="106"/>
      <c r="CD24" s="106"/>
      <c r="CE24" s="98">
        <f t="shared" ref="CE24" si="72">CC24*0.05</f>
        <v>0</v>
      </c>
      <c r="CF24" s="107">
        <f t="shared" ref="CF24" si="73">CD24*0.05</f>
        <v>0</v>
      </c>
      <c r="CG24" s="81"/>
      <c r="CH24" s="65">
        <f t="shared" ref="CH24" si="74">SUM(CI24:CO24)</f>
        <v>652000</v>
      </c>
      <c r="CI24" s="74"/>
      <c r="CJ24" s="74"/>
      <c r="CK24" s="54">
        <v>652000</v>
      </c>
      <c r="CL24" s="74"/>
      <c r="CM24" s="54"/>
      <c r="CN24" s="74"/>
      <c r="CO24" s="74"/>
      <c r="CP24" s="90"/>
      <c r="CQ24" s="68">
        <v>0</v>
      </c>
      <c r="CR24" s="69">
        <f t="shared" ref="CR24" si="75">SUM(AO24,AQ24,F24,P24,BS24,AM24,AA24,AE24,J24,AI24,V24,BA24,BE24,CE24,AW24,CA24,BW24)</f>
        <v>294.22399999999999</v>
      </c>
      <c r="CS24" s="69">
        <f>SUM(AP24,AR24,G24,Q24,BN24,AZ24,M24,BT24,AN24,S24,AB24,AF24,K24,AJ24,BI24,W24,BB24,BF24,CF24,BP24,BL24,CG24,AT24,AV24,AX24,CB24,BX24)</f>
        <v>0</v>
      </c>
      <c r="CT24" s="70">
        <f t="shared" ref="CT24" si="76">(((CR24*$A$2)+(CS24*$A$3))*0.6)+((BJ24*$A$3)*0.75)</f>
        <v>652647.67680000002</v>
      </c>
      <c r="CU24" s="70">
        <f t="shared" ref="CU24" si="77">((CR24*$A$2)+(CS24*$A$3))*0.4+((BJ24*$A$3)*0.25)</f>
        <v>435098.45120000001</v>
      </c>
      <c r="CV24" s="70">
        <f t="shared" ref="CV24" si="78">CT24-CH24</f>
        <v>647.67680000001565</v>
      </c>
      <c r="CW24" s="55"/>
      <c r="CX24" s="118"/>
    </row>
    <row r="25" spans="1:102">
      <c r="A25" s="18"/>
      <c r="B25" s="94"/>
      <c r="C25" s="92"/>
      <c r="D25" s="102">
        <v>0</v>
      </c>
      <c r="E25" s="102">
        <v>0</v>
      </c>
      <c r="F25" s="98">
        <f t="shared" ref="F25:G25" si="79">SUM((D25*2)*0.3)</f>
        <v>0</v>
      </c>
      <c r="G25" s="98">
        <f t="shared" si="79"/>
        <v>0</v>
      </c>
      <c r="H25" s="110"/>
      <c r="I25" s="110"/>
      <c r="J25" s="98">
        <f t="shared" si="3"/>
        <v>0</v>
      </c>
      <c r="K25" s="98">
        <f t="shared" si="4"/>
        <v>0</v>
      </c>
      <c r="L25" s="103">
        <v>0</v>
      </c>
      <c r="M25" s="98">
        <f t="shared" si="5"/>
        <v>0</v>
      </c>
      <c r="N25" s="98"/>
      <c r="O25" s="98"/>
      <c r="P25" s="98">
        <f t="shared" si="6"/>
        <v>0</v>
      </c>
      <c r="Q25" s="98">
        <f t="shared" si="7"/>
        <v>0</v>
      </c>
      <c r="R25" s="103">
        <v>0</v>
      </c>
      <c r="S25" s="98">
        <f t="shared" si="8"/>
        <v>0</v>
      </c>
      <c r="T25" s="108">
        <v>0</v>
      </c>
      <c r="U25" s="99">
        <v>0</v>
      </c>
      <c r="V25" s="98">
        <f t="shared" si="9"/>
        <v>0</v>
      </c>
      <c r="W25" s="98">
        <f t="shared" si="10"/>
        <v>0</v>
      </c>
      <c r="X25" s="120">
        <v>0</v>
      </c>
      <c r="Y25" s="120">
        <v>0</v>
      </c>
      <c r="Z25" s="110"/>
      <c r="AA25" s="121">
        <f t="shared" si="11"/>
        <v>0</v>
      </c>
      <c r="AB25" s="121">
        <f t="shared" si="12"/>
        <v>0</v>
      </c>
      <c r="AC25" s="110"/>
      <c r="AD25" s="110"/>
      <c r="AE25" s="121">
        <f t="shared" si="13"/>
        <v>0</v>
      </c>
      <c r="AF25" s="121">
        <f t="shared" si="13"/>
        <v>0</v>
      </c>
      <c r="AG25" s="98">
        <v>0</v>
      </c>
      <c r="AH25" s="98">
        <v>0</v>
      </c>
      <c r="AI25" s="98">
        <f t="shared" si="14"/>
        <v>0</v>
      </c>
      <c r="AJ25" s="98">
        <f t="shared" si="14"/>
        <v>0</v>
      </c>
      <c r="AK25" s="103"/>
      <c r="AL25" s="98"/>
      <c r="AM25" s="98">
        <f t="shared" si="15"/>
        <v>0</v>
      </c>
      <c r="AN25" s="98">
        <f t="shared" si="16"/>
        <v>0</v>
      </c>
      <c r="AO25" s="98"/>
      <c r="AP25" s="98"/>
      <c r="AQ25" s="131"/>
      <c r="AR25" s="131"/>
      <c r="AS25" s="99"/>
      <c r="AT25" s="98">
        <f t="shared" si="17"/>
        <v>0</v>
      </c>
      <c r="AU25" s="99"/>
      <c r="AV25" s="149">
        <f t="shared" si="18"/>
        <v>0</v>
      </c>
      <c r="AW25" s="99">
        <v>0</v>
      </c>
      <c r="AX25" s="99">
        <v>0</v>
      </c>
      <c r="AY25" s="101"/>
      <c r="AZ25" s="98">
        <f t="shared" si="19"/>
        <v>0</v>
      </c>
      <c r="BA25" s="98">
        <v>0</v>
      </c>
      <c r="BB25" s="98"/>
      <c r="BC25" s="99"/>
      <c r="BD25" s="99"/>
      <c r="BE25" s="98">
        <f t="shared" si="20"/>
        <v>0</v>
      </c>
      <c r="BF25" s="98">
        <f t="shared" si="21"/>
        <v>0</v>
      </c>
      <c r="BG25" s="99"/>
      <c r="BH25" s="99"/>
      <c r="BI25" s="98">
        <f t="shared" si="22"/>
        <v>0</v>
      </c>
      <c r="BJ25" s="98">
        <f t="shared" si="23"/>
        <v>0</v>
      </c>
      <c r="BK25" s="100"/>
      <c r="BL25" s="100"/>
      <c r="BM25" s="98"/>
      <c r="BN25" s="98">
        <f t="shared" si="24"/>
        <v>0</v>
      </c>
      <c r="BO25" s="105">
        <v>0</v>
      </c>
      <c r="BP25" s="149">
        <f t="shared" si="25"/>
        <v>0</v>
      </c>
      <c r="BQ25" s="112"/>
      <c r="BR25" s="112"/>
      <c r="BS25" s="104">
        <f t="shared" si="26"/>
        <v>0</v>
      </c>
      <c r="BT25" s="104">
        <f t="shared" si="27"/>
        <v>0</v>
      </c>
      <c r="BU25" s="105">
        <v>0</v>
      </c>
      <c r="BV25" s="105">
        <v>0</v>
      </c>
      <c r="BW25" s="142">
        <f t="shared" si="28"/>
        <v>0</v>
      </c>
      <c r="BX25" s="142">
        <f t="shared" si="29"/>
        <v>0</v>
      </c>
      <c r="BY25" s="110"/>
      <c r="BZ25" s="110"/>
      <c r="CA25" s="142">
        <f t="shared" si="30"/>
        <v>0</v>
      </c>
      <c r="CB25" s="142">
        <f t="shared" si="30"/>
        <v>0</v>
      </c>
      <c r="CC25" s="106"/>
      <c r="CD25" s="106"/>
      <c r="CE25" s="98">
        <f t="shared" si="31"/>
        <v>0</v>
      </c>
      <c r="CF25" s="107">
        <f t="shared" si="31"/>
        <v>0</v>
      </c>
      <c r="CG25" s="81"/>
      <c r="CH25" s="65">
        <f t="shared" si="32"/>
        <v>0</v>
      </c>
      <c r="CI25" s="74"/>
      <c r="CJ25" s="74"/>
      <c r="CK25" s="54"/>
      <c r="CL25" s="74"/>
      <c r="CM25" s="54"/>
      <c r="CN25" s="74"/>
      <c r="CO25" s="74"/>
      <c r="CP25" s="90"/>
      <c r="CQ25" s="68">
        <v>0</v>
      </c>
      <c r="CR25" s="69">
        <f t="shared" si="33"/>
        <v>0</v>
      </c>
      <c r="CS25" s="69">
        <f>SUM(AP25,AR25,G25,Q25,BN25,AZ25,M25,BT25,AN25,S25,AB25,AF25,K25,AJ25,BI25,W25,BB25,BF25,CF25,BP25,BL25,CG25,AT25,AV25,AX25,CB25,BX25)</f>
        <v>0</v>
      </c>
      <c r="CT25" s="70">
        <f t="shared" si="0"/>
        <v>0</v>
      </c>
      <c r="CU25" s="70">
        <f t="shared" si="1"/>
        <v>0</v>
      </c>
      <c r="CV25" s="70">
        <f t="shared" si="35"/>
        <v>0</v>
      </c>
      <c r="CW25" s="55"/>
      <c r="CX25" s="118"/>
    </row>
    <row r="26" spans="1:102" s="5" customFormat="1" ht="44.25" customHeight="1">
      <c r="A26" s="19"/>
      <c r="B26" s="38"/>
      <c r="C26" s="20" t="s">
        <v>172</v>
      </c>
      <c r="D26" s="77">
        <f t="shared" ref="D26:BO26" si="80">SUM(D7:D25)</f>
        <v>500.49</v>
      </c>
      <c r="E26" s="77">
        <f t="shared" si="80"/>
        <v>32.72</v>
      </c>
      <c r="F26" s="77">
        <f t="shared" si="80"/>
        <v>300.29399999999998</v>
      </c>
      <c r="G26" s="77">
        <f t="shared" si="80"/>
        <v>19.631999999999998</v>
      </c>
      <c r="H26" s="77">
        <f t="shared" si="80"/>
        <v>115</v>
      </c>
      <c r="I26" s="77">
        <f t="shared" si="80"/>
        <v>15</v>
      </c>
      <c r="J26" s="77">
        <f t="shared" si="80"/>
        <v>103.155</v>
      </c>
      <c r="K26" s="77">
        <f t="shared" si="80"/>
        <v>13.337999999999999</v>
      </c>
      <c r="L26" s="77">
        <f t="shared" si="80"/>
        <v>544.98</v>
      </c>
      <c r="M26" s="77">
        <f t="shared" si="80"/>
        <v>544.98</v>
      </c>
      <c r="N26" s="77">
        <f t="shared" si="80"/>
        <v>54.41</v>
      </c>
      <c r="O26" s="77">
        <f t="shared" si="80"/>
        <v>55.87</v>
      </c>
      <c r="P26" s="77">
        <f t="shared" si="80"/>
        <v>62.5715</v>
      </c>
      <c r="Q26" s="77">
        <f t="shared" si="80"/>
        <v>63.691799999999986</v>
      </c>
      <c r="R26" s="77">
        <f t="shared" si="80"/>
        <v>1390.51</v>
      </c>
      <c r="S26" s="77">
        <f t="shared" si="80"/>
        <v>1585.1813999999999</v>
      </c>
      <c r="T26" s="77">
        <f t="shared" si="80"/>
        <v>178.40000000000003</v>
      </c>
      <c r="U26" s="77">
        <f t="shared" si="80"/>
        <v>147.45000000000002</v>
      </c>
      <c r="V26" s="77">
        <f t="shared" si="80"/>
        <v>205.16</v>
      </c>
      <c r="W26" s="77">
        <f t="shared" si="80"/>
        <v>168.09299999999996</v>
      </c>
      <c r="X26" s="77">
        <f t="shared" si="80"/>
        <v>578.62</v>
      </c>
      <c r="Y26" s="77">
        <f t="shared" si="80"/>
        <v>471</v>
      </c>
      <c r="Z26" s="77">
        <f t="shared" si="80"/>
        <v>0</v>
      </c>
      <c r="AA26" s="77">
        <f t="shared" si="80"/>
        <v>433.96500000000003</v>
      </c>
      <c r="AB26" s="77">
        <f t="shared" si="80"/>
        <v>353.25</v>
      </c>
      <c r="AC26" s="77">
        <f t="shared" si="80"/>
        <v>0</v>
      </c>
      <c r="AD26" s="77">
        <f t="shared" si="80"/>
        <v>0</v>
      </c>
      <c r="AE26" s="77">
        <f t="shared" si="80"/>
        <v>0</v>
      </c>
      <c r="AF26" s="77">
        <f t="shared" si="80"/>
        <v>0</v>
      </c>
      <c r="AG26" s="77">
        <f t="shared" si="80"/>
        <v>0</v>
      </c>
      <c r="AH26" s="77">
        <f t="shared" si="80"/>
        <v>0</v>
      </c>
      <c r="AI26" s="77">
        <f t="shared" si="80"/>
        <v>0</v>
      </c>
      <c r="AJ26" s="77">
        <f t="shared" si="80"/>
        <v>0</v>
      </c>
      <c r="AK26" s="77">
        <f t="shared" si="80"/>
        <v>874.49</v>
      </c>
      <c r="AL26" s="77">
        <f t="shared" si="80"/>
        <v>809.06000000000006</v>
      </c>
      <c r="AM26" s="77">
        <f t="shared" si="80"/>
        <v>1005.6634999999999</v>
      </c>
      <c r="AN26" s="77">
        <f t="shared" si="80"/>
        <v>922.32839999999999</v>
      </c>
      <c r="AO26" s="77">
        <f t="shared" si="80"/>
        <v>0</v>
      </c>
      <c r="AP26" s="77">
        <f t="shared" si="80"/>
        <v>0</v>
      </c>
      <c r="AQ26" s="77">
        <f t="shared" si="80"/>
        <v>205.42</v>
      </c>
      <c r="AR26" s="77">
        <f t="shared" si="80"/>
        <v>308.15999999999997</v>
      </c>
      <c r="AS26" s="77">
        <f t="shared" si="80"/>
        <v>0</v>
      </c>
      <c r="AT26" s="77">
        <f t="shared" si="80"/>
        <v>0</v>
      </c>
      <c r="AU26" s="77">
        <f t="shared" si="80"/>
        <v>300.05</v>
      </c>
      <c r="AV26" s="77">
        <f t="shared" si="80"/>
        <v>300.05</v>
      </c>
      <c r="AW26" s="77">
        <f t="shared" si="80"/>
        <v>473.99</v>
      </c>
      <c r="AX26" s="77">
        <f t="shared" si="80"/>
        <v>316.48</v>
      </c>
      <c r="AY26" s="77">
        <f t="shared" si="80"/>
        <v>0</v>
      </c>
      <c r="AZ26" s="77">
        <f t="shared" si="80"/>
        <v>0</v>
      </c>
      <c r="BA26" s="77">
        <f t="shared" si="80"/>
        <v>105.47999999999999</v>
      </c>
      <c r="BB26" s="77">
        <f t="shared" si="80"/>
        <v>27.17</v>
      </c>
      <c r="BC26" s="77">
        <f t="shared" si="80"/>
        <v>163.80000000000001</v>
      </c>
      <c r="BD26" s="77">
        <f t="shared" si="80"/>
        <v>77.58</v>
      </c>
      <c r="BE26" s="77">
        <f t="shared" si="80"/>
        <v>135.06948000000003</v>
      </c>
      <c r="BF26" s="77">
        <f t="shared" si="80"/>
        <v>63.010476000000004</v>
      </c>
      <c r="BG26" s="77">
        <f t="shared" si="80"/>
        <v>759.5</v>
      </c>
      <c r="BH26" s="77">
        <f t="shared" si="80"/>
        <v>96.26</v>
      </c>
      <c r="BI26" s="77">
        <f t="shared" si="80"/>
        <v>865.82999999999993</v>
      </c>
      <c r="BJ26" s="77">
        <f t="shared" si="80"/>
        <v>109.7364</v>
      </c>
      <c r="BK26" s="77">
        <f t="shared" si="80"/>
        <v>0</v>
      </c>
      <c r="BL26" s="77">
        <f t="shared" si="80"/>
        <v>0</v>
      </c>
      <c r="BM26" s="77">
        <f t="shared" si="80"/>
        <v>532.43999999999994</v>
      </c>
      <c r="BN26" s="77">
        <f t="shared" si="80"/>
        <v>509.86454399999991</v>
      </c>
      <c r="BO26" s="77">
        <f t="shared" si="80"/>
        <v>1685.8900000000003</v>
      </c>
      <c r="BP26" s="77">
        <f t="shared" ref="BP26:CP26" si="81">SUM(BP7:BP25)</f>
        <v>1921.9145999999996</v>
      </c>
      <c r="BQ26" s="114">
        <f t="shared" si="81"/>
        <v>0</v>
      </c>
      <c r="BR26" s="77">
        <f t="shared" si="81"/>
        <v>0</v>
      </c>
      <c r="BS26" s="77">
        <f t="shared" si="81"/>
        <v>0</v>
      </c>
      <c r="BT26" s="77">
        <f t="shared" si="81"/>
        <v>0</v>
      </c>
      <c r="BU26" s="77">
        <f t="shared" si="81"/>
        <v>34.880000000000003</v>
      </c>
      <c r="BV26" s="77">
        <f t="shared" si="81"/>
        <v>42.920000000000009</v>
      </c>
      <c r="BW26" s="77">
        <f t="shared" si="81"/>
        <v>45.809065504000003</v>
      </c>
      <c r="BX26" s="77">
        <f t="shared" si="81"/>
        <v>56.225200000000001</v>
      </c>
      <c r="BY26" s="77">
        <f t="shared" si="81"/>
        <v>133.88999999999999</v>
      </c>
      <c r="BZ26" s="77">
        <f t="shared" si="81"/>
        <v>364.6</v>
      </c>
      <c r="CA26" s="77">
        <f t="shared" si="81"/>
        <v>66.944999999999993</v>
      </c>
      <c r="CB26" s="77">
        <f t="shared" si="81"/>
        <v>182.3</v>
      </c>
      <c r="CC26" s="77">
        <f t="shared" si="81"/>
        <v>3190</v>
      </c>
      <c r="CD26" s="77">
        <f t="shared" si="81"/>
        <v>3423</v>
      </c>
      <c r="CE26" s="77">
        <f t="shared" si="81"/>
        <v>159.5</v>
      </c>
      <c r="CF26" s="77">
        <f t="shared" si="81"/>
        <v>171.15</v>
      </c>
      <c r="CG26" s="77">
        <f t="shared" si="81"/>
        <v>0</v>
      </c>
      <c r="CH26" s="77">
        <f t="shared" si="81"/>
        <v>26726000</v>
      </c>
      <c r="CI26" s="77">
        <f t="shared" si="81"/>
        <v>0</v>
      </c>
      <c r="CJ26" s="77">
        <f t="shared" si="81"/>
        <v>0</v>
      </c>
      <c r="CK26" s="77">
        <f t="shared" si="81"/>
        <v>14383000</v>
      </c>
      <c r="CL26" s="77">
        <f t="shared" si="81"/>
        <v>0</v>
      </c>
      <c r="CM26" s="77">
        <f t="shared" si="81"/>
        <v>12321000</v>
      </c>
      <c r="CN26" s="77">
        <f t="shared" si="81"/>
        <v>0</v>
      </c>
      <c r="CO26" s="77">
        <f t="shared" si="81"/>
        <v>22000</v>
      </c>
      <c r="CP26" s="77">
        <f t="shared" si="81"/>
        <v>0</v>
      </c>
      <c r="CR26" s="5">
        <f>SUM(CR7:CR25)</f>
        <v>3303.0225455039999</v>
      </c>
      <c r="CS26" s="5">
        <f>SUM(CS7:CS25)</f>
        <v>8392.6494199999979</v>
      </c>
      <c r="CT26" s="6">
        <f>SUM(CT7:CT25)</f>
        <v>26758831.778957162</v>
      </c>
      <c r="CU26" s="6">
        <f>SUM(CU7:CU25)</f>
        <v>17106824.979631115</v>
      </c>
      <c r="CV26" s="5">
        <f>SUM(CV7:CV25)</f>
        <v>32831.778957170704</v>
      </c>
      <c r="CW26" s="56" t="s">
        <v>173</v>
      </c>
      <c r="CX26" s="57">
        <f>SUM(CX6:CX25)</f>
        <v>10046591</v>
      </c>
    </row>
    <row r="27" spans="1:102" ht="26.25">
      <c r="B27" s="39"/>
      <c r="CW27" s="58" t="s">
        <v>174</v>
      </c>
      <c r="CX27" s="47">
        <f>CU26</f>
        <v>17106824.979631115</v>
      </c>
    </row>
    <row r="28" spans="1:102" ht="28.5">
      <c r="CW28" s="59" t="s">
        <v>175</v>
      </c>
      <c r="CX28" s="76">
        <f>CX27-CX26</f>
        <v>7060233.9796311148</v>
      </c>
    </row>
    <row r="29" spans="1:102">
      <c r="B29" s="1"/>
      <c r="H29" s="10"/>
      <c r="I29" s="10"/>
      <c r="J29" s="10"/>
      <c r="K29" s="10"/>
      <c r="L29" s="88"/>
      <c r="M29" s="10"/>
      <c r="N29" s="10"/>
      <c r="O29" s="10"/>
      <c r="BT29" s="7"/>
      <c r="BX29" s="7"/>
      <c r="CB29" s="7"/>
      <c r="CC29" s="8"/>
      <c r="CD29" s="5"/>
      <c r="CE29" s="5"/>
    </row>
    <row r="30" spans="1:102">
      <c r="A30" s="12"/>
      <c r="B30" s="1"/>
      <c r="C30" s="40"/>
      <c r="D30" s="40"/>
      <c r="E30" s="40"/>
      <c r="F30" s="40"/>
      <c r="G30" s="40"/>
      <c r="H30" s="40"/>
    </row>
    <row r="31" spans="1:102" ht="52.5" customHeight="1">
      <c r="A31" s="12"/>
      <c r="B31" s="1"/>
      <c r="C31" s="40"/>
      <c r="D31" s="13"/>
      <c r="E31" s="40"/>
      <c r="F31" s="41"/>
      <c r="G31" s="42"/>
      <c r="H31" s="40"/>
      <c r="V31" s="10"/>
      <c r="W31" s="10"/>
      <c r="X31" s="10"/>
      <c r="Y31" s="10"/>
      <c r="Z31" s="10"/>
      <c r="AA31" s="10"/>
      <c r="AB31" s="10"/>
      <c r="AC31" s="10"/>
      <c r="AD31" s="10"/>
    </row>
    <row r="32" spans="1:102">
      <c r="A32" s="12"/>
      <c r="B32" s="1"/>
      <c r="C32" s="40"/>
      <c r="D32" s="13"/>
      <c r="E32" s="40"/>
      <c r="F32" s="42"/>
      <c r="G32" s="42"/>
      <c r="H32" s="40"/>
      <c r="Q32" s="40"/>
      <c r="R32" s="40"/>
      <c r="S32" s="40"/>
      <c r="T32" s="40"/>
      <c r="U32" s="40"/>
      <c r="V32" s="40"/>
      <c r="CL32" s="1">
        <v>2</v>
      </c>
    </row>
    <row r="33" spans="1:22">
      <c r="A33" s="12"/>
      <c r="B33" s="1"/>
      <c r="C33" s="40"/>
      <c r="D33" s="13"/>
      <c r="E33" s="40"/>
      <c r="F33" s="42"/>
      <c r="G33" s="42"/>
      <c r="H33" s="40"/>
      <c r="Q33" s="40"/>
      <c r="R33" s="13"/>
      <c r="S33" s="40"/>
      <c r="T33" s="41"/>
      <c r="U33" s="42"/>
      <c r="V33" s="40"/>
    </row>
    <row r="34" spans="1:22">
      <c r="A34" s="12"/>
      <c r="B34" s="1"/>
      <c r="C34" s="40"/>
      <c r="D34" s="40"/>
      <c r="E34" s="40"/>
      <c r="F34" s="40"/>
      <c r="G34" s="40"/>
      <c r="H34" s="40"/>
      <c r="Q34" s="40"/>
      <c r="R34" s="13"/>
      <c r="S34" s="40"/>
      <c r="T34" s="42"/>
      <c r="U34" s="42"/>
      <c r="V34" s="40"/>
    </row>
    <row r="35" spans="1:22" ht="20.25" customHeight="1">
      <c r="A35" s="12"/>
      <c r="B35" s="1"/>
      <c r="C35" s="40"/>
      <c r="D35" s="14"/>
      <c r="E35" s="40"/>
      <c r="F35" s="42"/>
      <c r="G35" s="42"/>
      <c r="H35" s="40"/>
      <c r="Q35" s="40"/>
      <c r="R35" s="13"/>
      <c r="S35" s="40"/>
      <c r="T35" s="42"/>
      <c r="U35" s="42"/>
      <c r="V35" s="40"/>
    </row>
    <row r="36" spans="1:22" ht="18" customHeight="1">
      <c r="A36" s="12"/>
      <c r="B36" s="1"/>
      <c r="C36" s="40"/>
      <c r="D36" s="40"/>
      <c r="E36" s="40"/>
      <c r="F36" s="40"/>
      <c r="G36" s="40"/>
      <c r="H36" s="40"/>
      <c r="Q36" s="40"/>
      <c r="R36" s="40"/>
      <c r="S36" s="40"/>
      <c r="T36" s="40"/>
      <c r="U36" s="40"/>
      <c r="V36" s="40"/>
    </row>
    <row r="37" spans="1:22">
      <c r="A37" s="12"/>
      <c r="B37" s="1"/>
      <c r="C37" s="40"/>
      <c r="D37" s="40"/>
      <c r="E37" s="40"/>
      <c r="F37" s="40"/>
      <c r="G37" s="40"/>
      <c r="H37" s="40"/>
      <c r="Q37" s="40"/>
      <c r="R37" s="14"/>
      <c r="S37" s="40"/>
      <c r="T37" s="42"/>
      <c r="U37" s="42"/>
      <c r="V37" s="40"/>
    </row>
    <row r="38" spans="1:22">
      <c r="A38" s="12"/>
      <c r="B38" s="1"/>
      <c r="Q38" s="40"/>
      <c r="R38" s="40"/>
      <c r="S38" s="40"/>
      <c r="T38" s="40"/>
      <c r="U38" s="40"/>
      <c r="V38" s="40"/>
    </row>
    <row r="39" spans="1:22">
      <c r="A39" s="12"/>
      <c r="B39" s="1"/>
      <c r="Q39" s="40"/>
      <c r="R39" s="40"/>
      <c r="S39" s="40"/>
      <c r="T39" s="40"/>
      <c r="U39" s="40"/>
      <c r="V39" s="40"/>
    </row>
    <row r="40" spans="1:22">
      <c r="A40" s="12"/>
      <c r="B40" s="1"/>
    </row>
    <row r="41" spans="1:22">
      <c r="A41" s="12"/>
      <c r="B41" s="1"/>
    </row>
    <row r="42" spans="1:22" ht="21" customHeight="1">
      <c r="A42" s="12"/>
      <c r="B42" s="1"/>
    </row>
    <row r="43" spans="1:22">
      <c r="A43" s="12"/>
      <c r="B43" s="1"/>
    </row>
    <row r="44" spans="1:22" ht="20.25" customHeight="1">
      <c r="A44" s="12"/>
      <c r="B44" s="1"/>
    </row>
    <row r="45" spans="1:22">
      <c r="B45" s="1"/>
      <c r="H45" s="10"/>
      <c r="I45" s="10"/>
      <c r="J45" s="10"/>
      <c r="K45" s="10"/>
      <c r="L45" s="10"/>
      <c r="M45" s="10"/>
      <c r="N45" s="10"/>
      <c r="O45" s="10"/>
    </row>
    <row r="46" spans="1:22">
      <c r="B46" s="1"/>
      <c r="C46" s="40"/>
      <c r="D46" s="40"/>
      <c r="E46" s="40"/>
      <c r="F46" s="40"/>
      <c r="G46" s="40"/>
      <c r="H46" s="40"/>
    </row>
    <row r="47" spans="1:22">
      <c r="B47" s="1"/>
      <c r="C47" s="40"/>
      <c r="D47" s="13"/>
      <c r="E47" s="40"/>
      <c r="F47" s="41"/>
      <c r="G47" s="42"/>
      <c r="H47" s="40"/>
    </row>
    <row r="48" spans="1:22">
      <c r="B48" s="1"/>
      <c r="C48" s="40"/>
      <c r="D48" s="13"/>
      <c r="E48" s="40"/>
      <c r="F48" s="42"/>
      <c r="G48" s="42"/>
      <c r="H48" s="40"/>
    </row>
    <row r="49" spans="1:11">
      <c r="B49" s="1"/>
      <c r="C49" s="40"/>
      <c r="D49" s="13"/>
      <c r="E49" s="40"/>
      <c r="F49" s="42"/>
      <c r="G49" s="42"/>
      <c r="H49" s="40"/>
    </row>
    <row r="50" spans="1:11" ht="21.75" customHeight="1">
      <c r="B50" s="1"/>
      <c r="C50" s="40"/>
      <c r="D50" s="40"/>
      <c r="E50" s="40"/>
      <c r="F50" s="40"/>
      <c r="G50" s="40"/>
      <c r="H50" s="40"/>
    </row>
    <row r="51" spans="1:11" ht="21.75" customHeight="1">
      <c r="B51" s="1"/>
      <c r="C51" s="40"/>
      <c r="D51" s="14"/>
      <c r="E51" s="40"/>
      <c r="F51" s="42"/>
      <c r="G51" s="42"/>
      <c r="H51" s="40"/>
    </row>
    <row r="52" spans="1:11" ht="21.75" customHeight="1">
      <c r="B52" s="1"/>
    </row>
    <row r="53" spans="1:11" ht="21.75" customHeight="1">
      <c r="B53" s="1"/>
    </row>
    <row r="54" spans="1:11" ht="21.75" customHeight="1">
      <c r="B54" s="1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B58" s="1"/>
    </row>
    <row r="59" spans="1:11" ht="21.75" customHeight="1">
      <c r="A59" s="12"/>
      <c r="B59" s="1"/>
    </row>
    <row r="60" spans="1:11" ht="21.75" customHeight="1">
      <c r="A60" s="12"/>
      <c r="B60" s="1"/>
    </row>
    <row r="61" spans="1:11" ht="21.75" customHeight="1">
      <c r="B61" s="1"/>
      <c r="K61" s="11"/>
    </row>
    <row r="62" spans="1:11" ht="21.75" customHeight="1">
      <c r="B62" s="1"/>
      <c r="K62" s="11"/>
    </row>
    <row r="63" spans="1:11">
      <c r="B63" s="1"/>
      <c r="K63" s="11"/>
    </row>
    <row r="64" spans="1:11">
      <c r="B64" s="1"/>
      <c r="K64" s="11"/>
    </row>
    <row r="65" spans="2:35">
      <c r="B65" s="1"/>
      <c r="K65" s="11"/>
    </row>
    <row r="66" spans="2:35">
      <c r="B66" s="1"/>
      <c r="K66" s="16"/>
    </row>
    <row r="67" spans="2:35">
      <c r="B67" s="1"/>
      <c r="K67" s="12"/>
    </row>
    <row r="68" spans="2:35">
      <c r="B68" s="1"/>
    </row>
    <row r="69" spans="2:35">
      <c r="B69" s="1"/>
    </row>
    <row r="70" spans="2:35">
      <c r="B70" s="9"/>
      <c r="C70" s="9"/>
      <c r="D70" s="9"/>
      <c r="E70" s="9"/>
      <c r="F70" s="9"/>
      <c r="G70" s="9"/>
      <c r="H70" s="9"/>
      <c r="I70" s="9"/>
      <c r="J70" s="9"/>
    </row>
    <row r="71" spans="2:35">
      <c r="B71" s="1"/>
    </row>
    <row r="72" spans="2:35" ht="46.5" customHeight="1">
      <c r="B72" s="1"/>
      <c r="K72" s="9"/>
      <c r="U72" s="9"/>
      <c r="V72" s="9"/>
      <c r="W72" s="9"/>
      <c r="X72" s="9"/>
      <c r="Y72" s="9"/>
      <c r="Z72" s="9"/>
      <c r="AA72" s="9"/>
      <c r="AB72" s="9"/>
      <c r="AC72" s="9"/>
      <c r="AD72" s="9"/>
      <c r="AI72" s="17"/>
    </row>
    <row r="73" spans="2:35" ht="21.75" customHeight="1">
      <c r="B73" s="1"/>
    </row>
    <row r="74" spans="2:35">
      <c r="B74" s="1"/>
      <c r="M74" s="9"/>
      <c r="N74" s="9"/>
      <c r="O74" s="9"/>
      <c r="P74" s="9"/>
      <c r="Q74" s="9"/>
      <c r="R74" s="9"/>
      <c r="S74" s="9"/>
      <c r="T74" s="9"/>
    </row>
    <row r="75" spans="2:35">
      <c r="B75" s="1"/>
    </row>
    <row r="76" spans="2:35">
      <c r="B76" s="1"/>
    </row>
    <row r="77" spans="2:35">
      <c r="B77" s="1"/>
    </row>
    <row r="78" spans="2:35">
      <c r="B78" s="1"/>
    </row>
    <row r="79" spans="2:35">
      <c r="B79" s="1"/>
    </row>
    <row r="80" spans="2:35">
      <c r="B80" s="1"/>
    </row>
    <row r="81" spans="1:12">
      <c r="B81" s="1"/>
    </row>
    <row r="82" spans="1:12">
      <c r="B82" s="1"/>
    </row>
    <row r="83" spans="1:12">
      <c r="B83" s="1"/>
    </row>
    <row r="84" spans="1:12">
      <c r="B84" s="1"/>
    </row>
    <row r="85" spans="1:12">
      <c r="B85" s="1"/>
    </row>
    <row r="86" spans="1:12">
      <c r="B86" s="1"/>
    </row>
    <row r="87" spans="1:12">
      <c r="B87" s="1"/>
    </row>
    <row r="88" spans="1:12">
      <c r="B88" s="1"/>
    </row>
    <row r="89" spans="1:12">
      <c r="B89" s="1"/>
    </row>
    <row r="90" spans="1:12">
      <c r="B90" s="1"/>
    </row>
    <row r="91" spans="1:12">
      <c r="B91" s="1"/>
    </row>
    <row r="92" spans="1:12">
      <c r="B92" s="1"/>
      <c r="D92" s="9"/>
      <c r="E92" s="9"/>
      <c r="F92" s="9"/>
      <c r="G92" s="9"/>
      <c r="H92" s="9"/>
      <c r="I92" s="9"/>
      <c r="J92" s="9"/>
      <c r="K92" s="9"/>
      <c r="L92" s="9"/>
    </row>
    <row r="93" spans="1:12">
      <c r="B93" s="1"/>
    </row>
    <row r="94" spans="1:12">
      <c r="A94" s="9"/>
      <c r="B94" s="9"/>
      <c r="C94" s="9"/>
    </row>
    <row r="95" spans="1:12">
      <c r="B95" s="1"/>
    </row>
    <row r="96" spans="1:1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1:12">
      <c r="B113" s="1"/>
      <c r="D113" s="9"/>
      <c r="E113" s="9"/>
      <c r="F113" s="9"/>
      <c r="G113" s="9"/>
      <c r="H113" s="9"/>
      <c r="I113" s="9"/>
    </row>
    <row r="114" spans="1:12">
      <c r="B114" s="1"/>
      <c r="J114" s="9"/>
      <c r="K114" s="9"/>
      <c r="L114" s="9"/>
    </row>
    <row r="115" spans="1:12">
      <c r="A115" s="9"/>
      <c r="B115" s="9"/>
      <c r="C115" s="9"/>
    </row>
    <row r="116" spans="1:12">
      <c r="B116" s="1"/>
    </row>
    <row r="117" spans="1:12">
      <c r="B117" s="1"/>
    </row>
  </sheetData>
  <mergeCells count="27"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T5:W5"/>
    <mergeCell ref="D5:G5"/>
    <mergeCell ref="H5:K5"/>
    <mergeCell ref="L5:M5"/>
    <mergeCell ref="N5:Q5"/>
    <mergeCell ref="R5:S5"/>
  </mergeCells>
  <conditionalFormatting sqref="CT7:CV25">
    <cfRule type="cellIs" dxfId="74" priority="28" operator="lessThan">
      <formula>0</formula>
    </cfRule>
    <cfRule type="cellIs" dxfId="73" priority="29" operator="greaterThan">
      <formula>0</formula>
    </cfRule>
  </conditionalFormatting>
  <conditionalFormatting sqref="CR7:CS25">
    <cfRule type="cellIs" dxfId="72" priority="24" operator="greaterThan">
      <formula>1000</formula>
    </cfRule>
    <cfRule type="cellIs" dxfId="71" priority="25" operator="between">
      <formula>500</formula>
      <formula>1000</formula>
    </cfRule>
    <cfRule type="cellIs" dxfId="70" priority="26" operator="between">
      <formula>300</formula>
      <formula>500</formula>
    </cfRule>
    <cfRule type="cellIs" dxfId="69" priority="27" operator="lessThan">
      <formula>300</formula>
    </cfRule>
  </conditionalFormatting>
  <conditionalFormatting sqref="AI72">
    <cfRule type="cellIs" dxfId="68" priority="23" operator="greaterThanOrEqual">
      <formula>10</formula>
    </cfRule>
  </conditionalFormatting>
  <conditionalFormatting sqref="B118:B1048576 B6 C5 B13:B51">
    <cfRule type="duplicateValues" dxfId="67" priority="22"/>
  </conditionalFormatting>
  <conditionalFormatting sqref="C13:C25">
    <cfRule type="containsText" dxfId="66" priority="21" operator="containsText" text="@">
      <formula>NOT(ISERROR(SEARCH("@",C13)))</formula>
    </cfRule>
  </conditionalFormatting>
  <conditionalFormatting sqref="B13:B25">
    <cfRule type="notContainsBlanks" dxfId="65" priority="20">
      <formula>LEN(TRIM(B13))&gt;0</formula>
    </cfRule>
  </conditionalFormatting>
  <conditionalFormatting sqref="Z7:AN7 CH6:CO7 D7:M7 P7:W7 AC8:AD8 AU7:AX7 Z8:Z11 AY8:AY11 AA8:AB12 AZ8:BF12 AE8:AJ12 B15:C15 BI7:CG7 C8:K8 CP7:CV7 CP14:XFD15 A13:C14 AM8:AP14 CP13:CX13 CY7:XFD13 AQ7:AR14 BI8:BM15 BA7:BB7 F15:Q21 A16:C21 F9:K14 L8:R9 L10:Q14 BW13:CO15 BW8:CV12 D9:E21 A22:Q23 R10:R23 S8:W23 Z13:AJ23 AM15:AU23 AK8:AL23 AS8:AU14 AY13:BF15 BG7:BH15 AY16:BM22 BW16:XFD21 AW23:BM23 AW8:AX22 AV8:AV23 BO22:XFD23 BO8:BV21 BN8:BN23 A24:W25 Z24:XFD25">
    <cfRule type="expression" dxfId="64" priority="19">
      <formula>CELL("row")=ROW()</formula>
    </cfRule>
  </conditionalFormatting>
  <conditionalFormatting sqref="A1">
    <cfRule type="expression" dxfId="63" priority="18">
      <formula>CELL("row")=ROW()</formula>
    </cfRule>
  </conditionalFormatting>
  <conditionalFormatting sqref="C7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{6A787A1D-4D7F-4B35-914B-91557169818A}</x14:id>
        </ext>
      </extLst>
    </cfRule>
  </conditionalFormatting>
  <conditionalFormatting sqref="AS7:AT7 AY7:AZ7 N7:O7 AO7:AP7 BC7:BF7">
    <cfRule type="expression" dxfId="62" priority="16">
      <formula>CELL("row")=ROW()</formula>
    </cfRule>
  </conditionalFormatting>
  <conditionalFormatting sqref="C32">
    <cfRule type="duplicateValues" dxfId="61" priority="15"/>
  </conditionalFormatting>
  <conditionalFormatting sqref="C32">
    <cfRule type="containsText" dxfId="60" priority="14" operator="containsText" text="@">
      <formula>NOT(ISERROR(SEARCH("@",C32)))</formula>
    </cfRule>
  </conditionalFormatting>
  <conditionalFormatting sqref="C32">
    <cfRule type="expression" dxfId="59" priority="13">
      <formula>CELL("row")=ROW()</formula>
    </cfRule>
  </conditionalFormatting>
  <conditionalFormatting sqref="C33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{0D44B7CC-670B-4737-8E19-A95D4CD0C027}</x14:id>
        </ext>
      </extLst>
    </cfRule>
  </conditionalFormatting>
  <conditionalFormatting sqref="C35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{423907E8-8667-4C4B-8F69-F9A79BD7D7BA}</x14:id>
        </ext>
      </extLst>
    </cfRule>
  </conditionalFormatting>
  <conditionalFormatting sqref="C40">
    <cfRule type="containsText" dxfId="58" priority="10" operator="containsText" text="@">
      <formula>NOT(ISERROR(SEARCH("@",C40)))</formula>
    </cfRule>
  </conditionalFormatting>
  <conditionalFormatting sqref="C40">
    <cfRule type="expression" dxfId="57" priority="9">
      <formula>CELL("row")=ROW()</formula>
    </cfRule>
  </conditionalFormatting>
  <conditionalFormatting sqref="C41">
    <cfRule type="duplicateValues" dxfId="56" priority="8"/>
  </conditionalFormatting>
  <conditionalFormatting sqref="C41">
    <cfRule type="containsText" dxfId="55" priority="7" operator="containsText" text="@">
      <formula>NOT(ISERROR(SEARCH("@",C41)))</formula>
    </cfRule>
  </conditionalFormatting>
  <conditionalFormatting sqref="C41">
    <cfRule type="expression" dxfId="54" priority="6">
      <formula>CELL("row")=ROW()</formula>
    </cfRule>
  </conditionalFormatting>
  <conditionalFormatting sqref="C4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{C6C0B63A-BC6F-4F5B-AE24-5B9C0BE3DFBC}</x14:id>
        </ext>
      </extLst>
    </cfRule>
  </conditionalFormatting>
  <conditionalFormatting sqref="C47">
    <cfRule type="duplicateValues" dxfId="53" priority="4"/>
  </conditionalFormatting>
  <conditionalFormatting sqref="C47">
    <cfRule type="containsText" dxfId="52" priority="3" operator="containsText" text="@">
      <formula>NOT(ISERROR(SEARCH("@",C47)))</formula>
    </cfRule>
  </conditionalFormatting>
  <conditionalFormatting sqref="C47">
    <cfRule type="expression" dxfId="51" priority="2">
      <formula>CELL("row")=ROW()</formula>
    </cfRule>
  </conditionalFormatting>
  <conditionalFormatting sqref="AY12 Z12 AC12:AD12">
    <cfRule type="expression" dxfId="50" priority="1">
      <formula>CELL("row")=ROW()</formula>
    </cfRule>
  </conditionalFormatting>
  <conditionalFormatting sqref="CT7:CT2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138" scale="13" orientation="landscape" horizontalDpi="1200" verticalDpi="120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787A1D-4D7F-4B35-914B-9155716981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0D44B7CC-670B-4737-8E19-A95D4CD0C02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C33</xm:sqref>
        </x14:conditionalFormatting>
        <x14:conditionalFormatting xmlns:xm="http://schemas.microsoft.com/office/excel/2006/main">
          <x14:cfRule type="dataBar" id="{423907E8-8667-4C4B-8F69-F9A79BD7D7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C35</xm:sqref>
        </x14:conditionalFormatting>
        <x14:conditionalFormatting xmlns:xm="http://schemas.microsoft.com/office/excel/2006/main">
          <x14:cfRule type="dataBar" id="{C6C0B63A-BC6F-4F5B-AE24-5B9C0BE3DF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19665-28C0-4915-B650-BC0A348A7BD9}">
  <sheetPr codeName="Hoja43">
    <pageSetUpPr fitToPage="1"/>
  </sheetPr>
  <dimension ref="A1:CX117"/>
  <sheetViews>
    <sheetView zoomScaleNormal="100" zoomScaleSheetLayoutView="70" workbookViewId="0">
      <pane xSplit="3" topLeftCell="BU1" activePane="topRight" state="frozen"/>
      <selection pane="topRight" activeCell="CR7" sqref="CR7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4" width="15" style="1" bestFit="1" customWidth="1"/>
    <col min="25" max="25" width="14.7109375" style="1" customWidth="1"/>
    <col min="26" max="26" width="15" style="1" hidden="1" customWidth="1"/>
    <col min="27" max="27" width="12.85546875" style="1" hidden="1" customWidth="1"/>
    <col min="28" max="28" width="13.140625" style="1" hidden="1" customWidth="1"/>
    <col min="29" max="29" width="12.85546875" style="1" hidden="1" customWidth="1"/>
    <col min="30" max="30" width="9.5703125" style="1" hidden="1" customWidth="1"/>
    <col min="31" max="32" width="8.42578125" style="1" hidden="1" customWidth="1"/>
    <col min="33" max="33" width="15.7109375" style="1" hidden="1" customWidth="1"/>
    <col min="34" max="34" width="13.7109375" style="1" hidden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4.7109375" style="1" bestFit="1" customWidth="1"/>
    <col min="57" max="57" width="15.7109375" style="1" customWidth="1"/>
    <col min="58" max="58" width="14.140625" style="1" customWidth="1"/>
    <col min="59" max="59" width="13.42578125" style="1" customWidth="1"/>
    <col min="60" max="60" width="13.5703125" style="1" customWidth="1"/>
    <col min="61" max="61" width="14.85546875" style="1" customWidth="1"/>
    <col min="62" max="62" width="11.28515625" style="1" customWidth="1"/>
    <col min="63" max="63" width="10.5703125" style="1" hidden="1" customWidth="1"/>
    <col min="64" max="64" width="12.7109375" style="1" hidden="1" customWidth="1"/>
    <col min="65" max="66" width="18.140625" style="1" customWidth="1"/>
    <col min="67" max="67" width="22.7109375" style="1" customWidth="1"/>
    <col min="68" max="68" width="14.28515625" style="1" customWidth="1"/>
    <col min="69" max="69" width="16.28515625" style="1" customWidth="1"/>
    <col min="70" max="70" width="15.7109375" style="1" customWidth="1"/>
    <col min="71" max="71" width="11.5703125" style="1" customWidth="1"/>
    <col min="72" max="72" width="12.140625" style="1" customWidth="1"/>
    <col min="73" max="73" width="15.140625" style="1" customWidth="1"/>
    <col min="74" max="74" width="15.7109375" style="1" customWidth="1"/>
    <col min="75" max="75" width="13" style="1" hidden="1" customWidth="1"/>
    <col min="76" max="76" width="13.28515625" style="1" hidden="1" customWidth="1"/>
    <col min="77" max="77" width="15.140625" style="1" customWidth="1"/>
    <col min="78" max="78" width="15.7109375" style="1" customWidth="1"/>
    <col min="79" max="79" width="13.85546875" style="1" hidden="1" customWidth="1"/>
    <col min="80" max="80" width="15.85546875" style="1" hidden="1" customWidth="1"/>
    <col min="81" max="82" width="14.28515625" style="1" bestFit="1" customWidth="1"/>
    <col min="83" max="84" width="12.140625" style="1" hidden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83">
        <v>3702</v>
      </c>
      <c r="B2" s="184">
        <v>1.33</v>
      </c>
      <c r="C2" s="185">
        <v>1.1299999999999999</v>
      </c>
      <c r="D2" s="186">
        <v>395.32</v>
      </c>
      <c r="E2" s="186">
        <v>1.32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179">
        <v>3660</v>
      </c>
      <c r="B3" s="180">
        <v>1.28</v>
      </c>
      <c r="C3" s="180">
        <v>1.1200000000000001</v>
      </c>
      <c r="D3" s="181">
        <v>395.32</v>
      </c>
      <c r="E3" s="181">
        <v>1.28</v>
      </c>
      <c r="F3" s="32"/>
      <c r="H3" s="32"/>
      <c r="L3" s="32"/>
      <c r="T3" s="43"/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A4" s="172" t="s">
        <v>197</v>
      </c>
      <c r="BO4" s="78" t="s">
        <v>10</v>
      </c>
      <c r="CH4" s="80"/>
    </row>
    <row r="5" spans="1:102" s="4" customFormat="1" ht="43.5" customHeigh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208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198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148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141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141" t="s">
        <v>112</v>
      </c>
      <c r="BX6" s="141" t="s">
        <v>112</v>
      </c>
      <c r="BY6" s="82" t="s">
        <v>45</v>
      </c>
      <c r="BZ6" s="82" t="s">
        <v>46</v>
      </c>
      <c r="CA6" s="141" t="s">
        <v>53</v>
      </c>
      <c r="CB6" s="141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>
        <v>0</v>
      </c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4835079</v>
      </c>
    </row>
    <row r="7" spans="1:102">
      <c r="A7" s="44"/>
      <c r="B7" s="45" t="s">
        <v>118</v>
      </c>
      <c r="C7" s="46" t="s">
        <v>119</v>
      </c>
      <c r="D7" s="102">
        <v>0</v>
      </c>
      <c r="E7" s="102">
        <v>0</v>
      </c>
      <c r="F7" s="98">
        <f>SUM((D7*2)*0.3)</f>
        <v>0</v>
      </c>
      <c r="G7" s="98">
        <f>SUM((E7*2)*0.3)</f>
        <v>0</v>
      </c>
      <c r="H7" s="98">
        <v>65</v>
      </c>
      <c r="I7" s="98">
        <v>10</v>
      </c>
      <c r="J7" s="98">
        <f>SUM(H7*0.78)*$C$2</f>
        <v>57.290999999999997</v>
      </c>
      <c r="K7" s="98">
        <f>SUM(I7*0.78)*$C$3</f>
        <v>8.7360000000000024</v>
      </c>
      <c r="L7" s="103">
        <v>35.82</v>
      </c>
      <c r="M7" s="98">
        <f>L7</f>
        <v>35.82</v>
      </c>
      <c r="N7" s="98">
        <v>34.5</v>
      </c>
      <c r="O7" s="98">
        <v>25.59</v>
      </c>
      <c r="P7" s="98">
        <f>N7*$C$2</f>
        <v>38.984999999999999</v>
      </c>
      <c r="Q7" s="98">
        <f>O7*$C$3</f>
        <v>28.660800000000002</v>
      </c>
      <c r="R7" s="103">
        <v>21.79</v>
      </c>
      <c r="S7" s="98">
        <f>R7*$C$3</f>
        <v>24.404800000000002</v>
      </c>
      <c r="T7" s="103">
        <v>113.48</v>
      </c>
      <c r="U7" s="98">
        <v>84.66</v>
      </c>
      <c r="V7" s="98">
        <f>SUM(T7*($C$2))</f>
        <v>128.23239999999998</v>
      </c>
      <c r="W7" s="98">
        <f>SUM(U7*($C$3))</f>
        <v>94.819200000000009</v>
      </c>
      <c r="X7" s="120">
        <v>0</v>
      </c>
      <c r="Y7" s="120">
        <v>0</v>
      </c>
      <c r="Z7" s="121"/>
      <c r="AA7" s="121">
        <f>SUM(X7*0.75)+(Z7*0.75)</f>
        <v>0</v>
      </c>
      <c r="AB7" s="121">
        <f>(Y7*0.75)+(Z7*0.75)</f>
        <v>0</v>
      </c>
      <c r="AC7" s="121">
        <v>0</v>
      </c>
      <c r="AD7" s="121">
        <v>0</v>
      </c>
      <c r="AE7" s="121">
        <f>AC7*0.75</f>
        <v>0</v>
      </c>
      <c r="AF7" s="121">
        <f>AD7*0.75</f>
        <v>0</v>
      </c>
      <c r="AG7" s="98"/>
      <c r="AH7" s="98"/>
      <c r="AI7" s="98">
        <f>AG7*0.75</f>
        <v>0</v>
      </c>
      <c r="AJ7" s="98">
        <f>AH7*0.75</f>
        <v>0</v>
      </c>
      <c r="AK7" s="103">
        <v>36.340000000000003</v>
      </c>
      <c r="AL7" s="98">
        <v>126.74</v>
      </c>
      <c r="AM7" s="98">
        <f>AK7*$C$2</f>
        <v>41.0642</v>
      </c>
      <c r="AN7" s="98">
        <f>AL7*$C$3</f>
        <v>141.94880000000001</v>
      </c>
      <c r="AO7" s="98"/>
      <c r="AP7" s="98"/>
      <c r="AQ7" s="130"/>
      <c r="AR7" s="130"/>
      <c r="AS7" s="98"/>
      <c r="AT7" s="98">
        <f>AS7*$C$3</f>
        <v>0</v>
      </c>
      <c r="AU7" s="98"/>
      <c r="AV7" s="149">
        <f>AU7</f>
        <v>0</v>
      </c>
      <c r="AW7" s="98">
        <v>66.13</v>
      </c>
      <c r="AX7" s="98">
        <v>55.95</v>
      </c>
      <c r="AY7" s="98"/>
      <c r="AZ7" s="98">
        <f>AY7*$D$2</f>
        <v>0</v>
      </c>
      <c r="BA7" s="99">
        <v>80.650000000000006</v>
      </c>
      <c r="BB7" s="99">
        <v>79.69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>BH7*$C$3</f>
        <v>0</v>
      </c>
      <c r="BK7" s="98"/>
      <c r="BL7" s="98"/>
      <c r="BM7" s="98">
        <v>230.03</v>
      </c>
      <c r="BN7" s="98">
        <f>(BM7*$C$3)-((BM7*$C$3)*0.16)</f>
        <v>216.41222400000001</v>
      </c>
      <c r="BO7" s="105">
        <v>22.15</v>
      </c>
      <c r="BP7" s="149">
        <f>BO7*$C$3</f>
        <v>24.808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42">
        <f>BU7*$E$2</f>
        <v>0</v>
      </c>
      <c r="BX7" s="142">
        <f>BV7*$E$3</f>
        <v>0</v>
      </c>
      <c r="BY7" s="110">
        <v>5.23</v>
      </c>
      <c r="BZ7" s="110">
        <v>345.12</v>
      </c>
      <c r="CA7" s="142">
        <f>BY7/2</f>
        <v>2.6150000000000002</v>
      </c>
      <c r="CB7" s="142">
        <f>BZ7/2</f>
        <v>172.56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2860000</v>
      </c>
      <c r="CI7" s="72"/>
      <c r="CJ7" s="72"/>
      <c r="CK7" s="53">
        <v>1170000</v>
      </c>
      <c r="CL7" s="72"/>
      <c r="CM7" s="53">
        <v>1690000</v>
      </c>
      <c r="CN7" s="72"/>
      <c r="CO7" s="72">
        <v>0</v>
      </c>
      <c r="CP7" s="90"/>
      <c r="CQ7" s="68">
        <v>0</v>
      </c>
      <c r="CR7" s="69">
        <f>SUM(AO7,AQ7,F7,P7,BS7,AM7,AA7,AE7,J7,AI7,V7,BA7,BE7,CE7,AW7,CA7,BW7)</f>
        <v>414.96759999999995</v>
      </c>
      <c r="CS7" s="69">
        <f>SUM(AP7,AR7,G7,Q7,BN7,AZ7,M7,BT7,AN7,S7,AB7,AF7,K7,AJ7,BI7,W7,BB7,BF7,CF7,BP7,BL7,CG7,AT7,AV7,AX7,CB7,BX7)</f>
        <v>883.80982399999994</v>
      </c>
      <c r="CT7" s="70">
        <f t="shared" ref="CT7:CT25" si="0">(((CR7*$A$2)+(CS7*$A$3))*0.6)+((BJ7*$A$3)*0.75)</f>
        <v>2862572.4066240001</v>
      </c>
      <c r="CU7" s="70">
        <f t="shared" ref="CU7:CU25" si="1">((CR7*$A$2)+(CS7*$A$3))*0.4+((BJ7*$A$3)*0.25)</f>
        <v>1908381.6044160002</v>
      </c>
      <c r="CV7" s="143">
        <f>CT7-CH7</f>
        <v>2572.4066240000539</v>
      </c>
      <c r="CW7" s="1" t="s">
        <v>120</v>
      </c>
      <c r="CX7" s="126">
        <v>1130073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ref="F8:G22" si="2">SUM((D8*2)*0.3)</f>
        <v>0</v>
      </c>
      <c r="G8" s="98">
        <f t="shared" si="2"/>
        <v>0</v>
      </c>
      <c r="H8" s="98">
        <v>10</v>
      </c>
      <c r="I8" s="98">
        <v>0</v>
      </c>
      <c r="J8" s="98">
        <f t="shared" ref="J8:J25" si="3">SUM(H8*0.78)*$C$2</f>
        <v>8.8140000000000001</v>
      </c>
      <c r="K8" s="98">
        <f t="shared" ref="K8:K25" si="4">SUM(I8*0.78)*$C$3</f>
        <v>0</v>
      </c>
      <c r="L8" s="103">
        <v>18.22</v>
      </c>
      <c r="M8" s="98">
        <f t="shared" ref="M8:M25" si="5">L8</f>
        <v>18.22</v>
      </c>
      <c r="N8" s="99"/>
      <c r="O8" s="99"/>
      <c r="P8" s="98">
        <f t="shared" ref="P8:P25" si="6">N8*$C$2</f>
        <v>0</v>
      </c>
      <c r="Q8" s="98">
        <f t="shared" ref="Q8:Q25" si="7">O8*$C$3</f>
        <v>0</v>
      </c>
      <c r="R8" s="103"/>
      <c r="S8" s="98">
        <f t="shared" ref="S8:S25" si="8">R8*$C$3</f>
        <v>0</v>
      </c>
      <c r="T8" s="103">
        <v>11.36</v>
      </c>
      <c r="U8" s="98">
        <v>0</v>
      </c>
      <c r="V8" s="98">
        <f t="shared" ref="V8:V25" si="9">SUM(T8*($C$2))</f>
        <v>12.836799999999998</v>
      </c>
      <c r="W8" s="98">
        <f t="shared" ref="W8:W25" si="10">SUM(U8*($C$3))</f>
        <v>0</v>
      </c>
      <c r="X8" s="120">
        <v>67</v>
      </c>
      <c r="Y8" s="120">
        <v>0</v>
      </c>
      <c r="Z8" s="119"/>
      <c r="AA8" s="121">
        <f t="shared" ref="AA8:AA25" si="11">SUM(X8*0.75)+(Z8*0.75)</f>
        <v>50.25</v>
      </c>
      <c r="AB8" s="121">
        <f t="shared" ref="AB8:AB25" si="12">(Y8*0.75)+(Z8*0.75)</f>
        <v>0</v>
      </c>
      <c r="AC8" s="119"/>
      <c r="AD8" s="119"/>
      <c r="AE8" s="121">
        <f t="shared" ref="AE8:AF25" si="13">AC8*0.75</f>
        <v>0</v>
      </c>
      <c r="AF8" s="121">
        <f t="shared" si="13"/>
        <v>0</v>
      </c>
      <c r="AG8" s="98"/>
      <c r="AH8" s="98"/>
      <c r="AI8" s="98">
        <f t="shared" ref="AI8:AJ25" si="14">AG8*0.75</f>
        <v>0</v>
      </c>
      <c r="AJ8" s="98">
        <f t="shared" si="14"/>
        <v>0</v>
      </c>
      <c r="AK8" s="103">
        <v>8.76</v>
      </c>
      <c r="AL8" s="98"/>
      <c r="AM8" s="98">
        <f t="shared" ref="AM8:AM25" si="15">AK8*$C$2</f>
        <v>9.8987999999999996</v>
      </c>
      <c r="AN8" s="98">
        <f t="shared" ref="AN8:AN25" si="16">AL8*$C$3</f>
        <v>0</v>
      </c>
      <c r="AO8" s="99">
        <v>0</v>
      </c>
      <c r="AP8" s="99">
        <v>0</v>
      </c>
      <c r="AQ8" s="131"/>
      <c r="AR8" s="131"/>
      <c r="AS8" s="99"/>
      <c r="AT8" s="98">
        <f t="shared" ref="AT8:AT25" si="17">AS8*$C$3</f>
        <v>0</v>
      </c>
      <c r="AU8" s="99"/>
      <c r="AV8" s="149">
        <f t="shared" ref="AV8:AV25" si="18">AU8</f>
        <v>0</v>
      </c>
      <c r="AW8" s="98">
        <v>31.34</v>
      </c>
      <c r="AX8" s="98">
        <v>0</v>
      </c>
      <c r="AY8" s="99"/>
      <c r="AZ8" s="98">
        <f t="shared" ref="AZ8:AZ25" si="19">AY8*$D$2</f>
        <v>0</v>
      </c>
      <c r="BA8" s="99"/>
      <c r="BB8" s="99"/>
      <c r="BC8" s="99">
        <f>27+93.6</f>
        <v>120.6</v>
      </c>
      <c r="BD8" s="99">
        <v>0</v>
      </c>
      <c r="BE8" s="98">
        <f t="shared" ref="BE8:BE25" si="20">SUM(BC8*0.62)*$B$2</f>
        <v>99.446759999999998</v>
      </c>
      <c r="BF8" s="98">
        <f t="shared" ref="BF8:BF25" si="21">SUM(BD8*0.62)*$B$3</f>
        <v>0</v>
      </c>
      <c r="BG8" s="98">
        <v>23.16</v>
      </c>
      <c r="BH8" s="98">
        <v>0</v>
      </c>
      <c r="BI8" s="98">
        <f t="shared" ref="BI8:BI25" si="22">(BG8*$C$3)</f>
        <v>25.939200000000003</v>
      </c>
      <c r="BJ8" s="98">
        <f t="shared" ref="BJ8:BJ25" si="23">BH8*$C$3</f>
        <v>0</v>
      </c>
      <c r="BK8" s="99"/>
      <c r="BL8" s="99"/>
      <c r="BM8" s="99">
        <v>25.98</v>
      </c>
      <c r="BN8" s="98">
        <f t="shared" ref="BN8:BN25" si="24">(BM8*$C$3)-((BM8*$C$3)*0.16)</f>
        <v>24.441984000000001</v>
      </c>
      <c r="BO8" s="105">
        <v>24.06</v>
      </c>
      <c r="BP8" s="149">
        <f t="shared" ref="BP8:BP25" si="25">BO8*$C$3</f>
        <v>26.947200000000002</v>
      </c>
      <c r="BQ8" s="113">
        <v>0</v>
      </c>
      <c r="BR8" s="113">
        <v>0</v>
      </c>
      <c r="BS8" s="104">
        <f t="shared" ref="BS8:BS25" si="26">(BQ8/$D$2)*$C$2</f>
        <v>0</v>
      </c>
      <c r="BT8" s="104">
        <f t="shared" ref="BT8:BT25" si="27">(BR8/$D$3)*$C$3</f>
        <v>0</v>
      </c>
      <c r="BU8" s="105">
        <v>4.6100000000000003</v>
      </c>
      <c r="BV8" s="105">
        <v>0</v>
      </c>
      <c r="BW8" s="142">
        <f t="shared" ref="BW8:BW25" si="28">BU8*$E$2</f>
        <v>6.0852000000000004</v>
      </c>
      <c r="BX8" s="142">
        <f t="shared" ref="BX8:BX25" si="29">BV8*$E$3</f>
        <v>0</v>
      </c>
      <c r="BY8" s="110">
        <v>7.48</v>
      </c>
      <c r="BZ8" s="110">
        <v>0</v>
      </c>
      <c r="CA8" s="142">
        <f t="shared" ref="CA8:CB25" si="30">BY8/2</f>
        <v>3.74</v>
      </c>
      <c r="CB8" s="142">
        <f t="shared" si="30"/>
        <v>0</v>
      </c>
      <c r="CC8" s="109">
        <v>0</v>
      </c>
      <c r="CD8" s="109">
        <v>0</v>
      </c>
      <c r="CE8" s="98">
        <f t="shared" ref="CE8:CF25" si="31">CC8*0.05</f>
        <v>0</v>
      </c>
      <c r="CF8" s="107">
        <f t="shared" si="31"/>
        <v>0</v>
      </c>
      <c r="CG8" s="81"/>
      <c r="CH8" s="65">
        <f t="shared" ref="CH8:CH25" si="32">SUM(CI8:CO8)</f>
        <v>700000</v>
      </c>
      <c r="CI8" s="73"/>
      <c r="CJ8" s="125"/>
      <c r="CK8" s="66">
        <v>680000</v>
      </c>
      <c r="CL8" s="73"/>
      <c r="CM8" s="66">
        <v>20000</v>
      </c>
      <c r="CN8" s="73"/>
      <c r="CO8" s="73">
        <v>0</v>
      </c>
      <c r="CP8" s="90"/>
      <c r="CQ8" s="68">
        <v>0</v>
      </c>
      <c r="CR8" s="69">
        <f t="shared" ref="CR8:CR25" si="33">SUM(AO8,AQ8,F8,P8,BS8,AM8,AA8,AE8,J8,AI8,V8,BA8,BE8,CE8,AW8,CA8,BW8)</f>
        <v>222.41156000000001</v>
      </c>
      <c r="CS8" s="69">
        <f t="shared" ref="CS8:CS21" si="34">SUM(AP8,AR8,G8,Q8,BN8,AZ8,M8,BT8,AN8,S8,AB8,AF8,K8,AJ8,BI8,W8,BB8,BF8,CF8,BP8,BL8,CG8,AT8,AV8,AX8,CB8,BX8)</f>
        <v>95.548383999999999</v>
      </c>
      <c r="CT8" s="70">
        <f t="shared" si="0"/>
        <v>703844.80833599996</v>
      </c>
      <c r="CU8" s="70">
        <f t="shared" si="1"/>
        <v>469229.87222400005</v>
      </c>
      <c r="CV8" s="70">
        <f t="shared" ref="CV8:CV25" si="35">CT8-CH8</f>
        <v>3844.8083359999582</v>
      </c>
      <c r="CW8" s="15" t="s">
        <v>123</v>
      </c>
      <c r="CX8" s="127">
        <v>219140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2"/>
        <v>0</v>
      </c>
      <c r="G9" s="98">
        <f t="shared" si="2"/>
        <v>0</v>
      </c>
      <c r="H9" s="98"/>
      <c r="I9" s="98"/>
      <c r="J9" s="98">
        <f t="shared" si="3"/>
        <v>0</v>
      </c>
      <c r="K9" s="98">
        <f t="shared" si="4"/>
        <v>0</v>
      </c>
      <c r="L9" s="103">
        <v>0.04</v>
      </c>
      <c r="M9" s="98">
        <f t="shared" si="5"/>
        <v>0.04</v>
      </c>
      <c r="N9" s="98"/>
      <c r="O9" s="98"/>
      <c r="P9" s="98">
        <f t="shared" si="6"/>
        <v>0</v>
      </c>
      <c r="Q9" s="98">
        <f t="shared" si="7"/>
        <v>0</v>
      </c>
      <c r="R9" s="103">
        <v>1.21</v>
      </c>
      <c r="S9" s="98">
        <f t="shared" si="8"/>
        <v>1.3552000000000002</v>
      </c>
      <c r="T9" s="103">
        <v>6.14</v>
      </c>
      <c r="U9" s="98">
        <v>0</v>
      </c>
      <c r="V9" s="98">
        <f t="shared" si="9"/>
        <v>6.9381999999999993</v>
      </c>
      <c r="W9" s="98">
        <f t="shared" si="10"/>
        <v>0</v>
      </c>
      <c r="X9" s="120">
        <v>0</v>
      </c>
      <c r="Y9" s="120">
        <v>0</v>
      </c>
      <c r="Z9" s="121"/>
      <c r="AA9" s="121">
        <f t="shared" si="11"/>
        <v>0</v>
      </c>
      <c r="AB9" s="121">
        <f t="shared" si="12"/>
        <v>0</v>
      </c>
      <c r="AC9" s="123">
        <v>0</v>
      </c>
      <c r="AD9" s="123">
        <v>0</v>
      </c>
      <c r="AE9" s="121">
        <f t="shared" si="13"/>
        <v>0</v>
      </c>
      <c r="AF9" s="121">
        <f t="shared" si="13"/>
        <v>0</v>
      </c>
      <c r="AG9" s="98"/>
      <c r="AH9" s="98"/>
      <c r="AI9" s="98">
        <f t="shared" si="14"/>
        <v>0</v>
      </c>
      <c r="AJ9" s="98">
        <f t="shared" si="14"/>
        <v>0</v>
      </c>
      <c r="AK9" s="103">
        <v>0.28999999999999998</v>
      </c>
      <c r="AL9" s="98"/>
      <c r="AM9" s="98">
        <f t="shared" si="15"/>
        <v>0.32769999999999994</v>
      </c>
      <c r="AN9" s="98">
        <f t="shared" si="16"/>
        <v>0</v>
      </c>
      <c r="AO9" s="98"/>
      <c r="AP9" s="98"/>
      <c r="AQ9" s="130"/>
      <c r="AR9" s="130"/>
      <c r="AS9" s="99"/>
      <c r="AT9" s="98">
        <f t="shared" si="17"/>
        <v>0</v>
      </c>
      <c r="AU9" s="98"/>
      <c r="AV9" s="149">
        <f t="shared" si="18"/>
        <v>0</v>
      </c>
      <c r="AW9" s="98">
        <v>0</v>
      </c>
      <c r="AX9" s="98">
        <v>0</v>
      </c>
      <c r="AY9" s="98"/>
      <c r="AZ9" s="98">
        <f t="shared" si="19"/>
        <v>0</v>
      </c>
      <c r="BA9" s="98"/>
      <c r="BB9" s="98"/>
      <c r="BC9" s="98"/>
      <c r="BD9" s="98"/>
      <c r="BE9" s="98">
        <f t="shared" si="20"/>
        <v>0</v>
      </c>
      <c r="BF9" s="98">
        <f t="shared" si="21"/>
        <v>0</v>
      </c>
      <c r="BG9" s="98">
        <v>0</v>
      </c>
      <c r="BH9" s="98">
        <v>0</v>
      </c>
      <c r="BI9" s="98">
        <f t="shared" si="22"/>
        <v>0</v>
      </c>
      <c r="BJ9" s="98">
        <f t="shared" si="23"/>
        <v>0</v>
      </c>
      <c r="BK9" s="98"/>
      <c r="BL9" s="98"/>
      <c r="BM9" s="98"/>
      <c r="BN9" s="98">
        <f t="shared" si="24"/>
        <v>0</v>
      </c>
      <c r="BO9" s="105">
        <v>0</v>
      </c>
      <c r="BP9" s="149">
        <f t="shared" si="25"/>
        <v>0</v>
      </c>
      <c r="BQ9" s="112">
        <v>0</v>
      </c>
      <c r="BR9" s="112">
        <v>0</v>
      </c>
      <c r="BS9" s="104">
        <f>(BQ9/$D$2)*$C$2</f>
        <v>0</v>
      </c>
      <c r="BT9" s="104">
        <f t="shared" si="27"/>
        <v>0</v>
      </c>
      <c r="BU9" s="105">
        <v>0</v>
      </c>
      <c r="BV9" s="105">
        <v>0</v>
      </c>
      <c r="BW9" s="142">
        <f t="shared" si="28"/>
        <v>0</v>
      </c>
      <c r="BX9" s="142">
        <f t="shared" si="29"/>
        <v>0</v>
      </c>
      <c r="BY9" s="110">
        <v>0</v>
      </c>
      <c r="BZ9" s="110">
        <v>0</v>
      </c>
      <c r="CA9" s="142">
        <f t="shared" si="30"/>
        <v>0</v>
      </c>
      <c r="CB9" s="142">
        <f t="shared" si="30"/>
        <v>0</v>
      </c>
      <c r="CC9" s="106"/>
      <c r="CD9" s="106"/>
      <c r="CE9" s="98">
        <f t="shared" si="31"/>
        <v>0</v>
      </c>
      <c r="CF9" s="107">
        <f t="shared" si="31"/>
        <v>0</v>
      </c>
      <c r="CG9" s="89"/>
      <c r="CH9" s="65">
        <f t="shared" si="32"/>
        <v>20000</v>
      </c>
      <c r="CI9" s="73"/>
      <c r="CJ9" s="73"/>
      <c r="CK9" s="66">
        <v>20000</v>
      </c>
      <c r="CL9" s="73"/>
      <c r="CM9" s="66"/>
      <c r="CN9" s="73"/>
      <c r="CO9" s="73"/>
      <c r="CP9" s="90"/>
      <c r="CQ9" s="68">
        <v>0</v>
      </c>
      <c r="CR9" s="69">
        <f t="shared" si="33"/>
        <v>7.2658999999999994</v>
      </c>
      <c r="CS9" s="69">
        <f t="shared" si="34"/>
        <v>1.3952000000000002</v>
      </c>
      <c r="CT9" s="70">
        <f t="shared" si="0"/>
        <v>19202.87628</v>
      </c>
      <c r="CU9" s="70">
        <f t="shared" si="1"/>
        <v>12801.917520000001</v>
      </c>
      <c r="CV9" s="70">
        <f t="shared" si="35"/>
        <v>-797.12371999999959</v>
      </c>
      <c r="CW9" s="87" t="s">
        <v>126</v>
      </c>
      <c r="CX9" s="87">
        <v>2920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2"/>
        <v>0</v>
      </c>
      <c r="G10" s="98">
        <f t="shared" si="2"/>
        <v>0</v>
      </c>
      <c r="H10" s="98">
        <v>0</v>
      </c>
      <c r="I10" s="98">
        <v>0</v>
      </c>
      <c r="J10" s="98">
        <f t="shared" si="3"/>
        <v>0</v>
      </c>
      <c r="K10" s="98">
        <f t="shared" si="4"/>
        <v>0</v>
      </c>
      <c r="L10" s="103">
        <v>39.67</v>
      </c>
      <c r="M10" s="98">
        <f t="shared" si="5"/>
        <v>39.67</v>
      </c>
      <c r="N10" s="99"/>
      <c r="O10" s="99"/>
      <c r="P10" s="98">
        <f t="shared" si="6"/>
        <v>0</v>
      </c>
      <c r="Q10" s="98">
        <f t="shared" si="7"/>
        <v>0</v>
      </c>
      <c r="R10" s="103">
        <v>80.709999999999994</v>
      </c>
      <c r="S10" s="98">
        <f t="shared" si="8"/>
        <v>90.395200000000003</v>
      </c>
      <c r="T10" s="103">
        <v>28.8</v>
      </c>
      <c r="U10" s="98">
        <v>9.01</v>
      </c>
      <c r="V10" s="98">
        <f t="shared" si="9"/>
        <v>32.543999999999997</v>
      </c>
      <c r="W10" s="98">
        <f t="shared" si="10"/>
        <v>10.091200000000001</v>
      </c>
      <c r="X10" s="120">
        <v>0</v>
      </c>
      <c r="Y10" s="120">
        <v>0</v>
      </c>
      <c r="Z10" s="119"/>
      <c r="AA10" s="121">
        <f t="shared" si="11"/>
        <v>0</v>
      </c>
      <c r="AB10" s="121">
        <f t="shared" si="12"/>
        <v>0</v>
      </c>
      <c r="AC10" s="122">
        <v>0</v>
      </c>
      <c r="AD10" s="122">
        <v>0</v>
      </c>
      <c r="AE10" s="121">
        <f t="shared" si="13"/>
        <v>0</v>
      </c>
      <c r="AF10" s="121">
        <f t="shared" si="13"/>
        <v>0</v>
      </c>
      <c r="AG10" s="98">
        <v>0</v>
      </c>
      <c r="AH10" s="98">
        <v>0</v>
      </c>
      <c r="AI10" s="98">
        <f t="shared" si="14"/>
        <v>0</v>
      </c>
      <c r="AJ10" s="98">
        <f t="shared" si="14"/>
        <v>0</v>
      </c>
      <c r="AK10" s="103">
        <v>139.96</v>
      </c>
      <c r="AL10" s="98">
        <v>50.91</v>
      </c>
      <c r="AM10" s="98">
        <f t="shared" si="15"/>
        <v>158.15479999999999</v>
      </c>
      <c r="AN10" s="98">
        <f t="shared" si="16"/>
        <v>57.019200000000005</v>
      </c>
      <c r="AO10" s="98"/>
      <c r="AP10" s="98"/>
      <c r="AQ10" s="131"/>
      <c r="AR10" s="131"/>
      <c r="AS10" s="99"/>
      <c r="AT10" s="98">
        <f t="shared" si="17"/>
        <v>0</v>
      </c>
      <c r="AU10" s="99"/>
      <c r="AV10" s="149">
        <f t="shared" si="18"/>
        <v>0</v>
      </c>
      <c r="AW10" s="98">
        <v>130.78</v>
      </c>
      <c r="AX10" s="98">
        <v>25.02</v>
      </c>
      <c r="AY10" s="99"/>
      <c r="AZ10" s="98">
        <f t="shared" si="19"/>
        <v>0</v>
      </c>
      <c r="BA10" s="99"/>
      <c r="BB10" s="99"/>
      <c r="BC10" s="99"/>
      <c r="BD10" s="99"/>
      <c r="BE10" s="98">
        <f t="shared" si="20"/>
        <v>0</v>
      </c>
      <c r="BF10" s="98">
        <f t="shared" si="21"/>
        <v>0</v>
      </c>
      <c r="BG10" s="98">
        <v>95.75</v>
      </c>
      <c r="BH10" s="98">
        <v>6.06</v>
      </c>
      <c r="BI10" s="98">
        <f t="shared" si="22"/>
        <v>107.24000000000001</v>
      </c>
      <c r="BJ10" s="98">
        <f t="shared" si="23"/>
        <v>6.7872000000000003</v>
      </c>
      <c r="BK10" s="99"/>
      <c r="BL10" s="99"/>
      <c r="BM10" s="98"/>
      <c r="BN10" s="98">
        <f t="shared" si="24"/>
        <v>0</v>
      </c>
      <c r="BO10" s="105">
        <v>11.75</v>
      </c>
      <c r="BP10" s="149">
        <f t="shared" si="25"/>
        <v>13.160000000000002</v>
      </c>
      <c r="BQ10" s="113"/>
      <c r="BR10" s="113"/>
      <c r="BS10" s="104">
        <f t="shared" si="26"/>
        <v>0</v>
      </c>
      <c r="BT10" s="104">
        <f t="shared" si="27"/>
        <v>0</v>
      </c>
      <c r="BU10" s="105">
        <v>0</v>
      </c>
      <c r="BV10" s="105">
        <v>0</v>
      </c>
      <c r="BW10" s="142">
        <f t="shared" si="28"/>
        <v>0</v>
      </c>
      <c r="BX10" s="142">
        <f t="shared" si="29"/>
        <v>0</v>
      </c>
      <c r="BY10" s="111"/>
      <c r="BZ10" s="111"/>
      <c r="CA10" s="142">
        <f t="shared" si="30"/>
        <v>0</v>
      </c>
      <c r="CB10" s="142">
        <f t="shared" si="30"/>
        <v>0</v>
      </c>
      <c r="CC10" s="109"/>
      <c r="CD10" s="109"/>
      <c r="CE10" s="98">
        <f t="shared" si="31"/>
        <v>0</v>
      </c>
      <c r="CF10" s="107">
        <f t="shared" si="31"/>
        <v>0</v>
      </c>
      <c r="CG10" s="89"/>
      <c r="CH10" s="65">
        <f t="shared" si="32"/>
        <v>1480000</v>
      </c>
      <c r="CI10" s="73"/>
      <c r="CJ10" s="73"/>
      <c r="CK10" s="66">
        <v>1080000</v>
      </c>
      <c r="CL10" s="73"/>
      <c r="CM10" s="66">
        <v>400000</v>
      </c>
      <c r="CN10" s="73"/>
      <c r="CO10" s="73"/>
      <c r="CP10" s="90"/>
      <c r="CQ10" s="68">
        <v>0</v>
      </c>
      <c r="CR10" s="69">
        <f t="shared" si="33"/>
        <v>321.47879999999998</v>
      </c>
      <c r="CS10" s="69">
        <f>SUM(AP10,AR10,G10,Q10,BN10,AZ10,M10,BT10,AN10,S10,AB10,AF10,K10,AJ10,BI10,W10,BB10,BF10,CF10,BP10,BL10,CG10,AT10,AV10,AX10,CB10,BX10)</f>
        <v>342.59560000000005</v>
      </c>
      <c r="CT10" s="70">
        <f t="shared" si="0"/>
        <v>1485039.5121600002</v>
      </c>
      <c r="CU10" s="70">
        <f t="shared" si="1"/>
        <v>983816.05344000016</v>
      </c>
      <c r="CV10" s="70">
        <f t="shared" si="35"/>
        <v>5039.5121600001585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2"/>
        <v>0</v>
      </c>
      <c r="G11" s="98">
        <f t="shared" si="2"/>
        <v>0</v>
      </c>
      <c r="H11" s="98">
        <v>0</v>
      </c>
      <c r="I11" s="98">
        <v>5</v>
      </c>
      <c r="J11" s="98">
        <f t="shared" si="3"/>
        <v>0</v>
      </c>
      <c r="K11" s="98">
        <f t="shared" si="4"/>
        <v>4.3680000000000012</v>
      </c>
      <c r="L11" s="103">
        <v>43.2</v>
      </c>
      <c r="M11" s="98">
        <f t="shared" si="5"/>
        <v>43.2</v>
      </c>
      <c r="N11" s="98"/>
      <c r="O11" s="98"/>
      <c r="P11" s="98">
        <f t="shared" si="6"/>
        <v>0</v>
      </c>
      <c r="Q11" s="98">
        <f t="shared" si="7"/>
        <v>0</v>
      </c>
      <c r="R11" s="103">
        <v>54.26</v>
      </c>
      <c r="S11" s="98">
        <f t="shared" si="8"/>
        <v>60.7712</v>
      </c>
      <c r="T11" s="103">
        <v>14.97</v>
      </c>
      <c r="U11" s="98">
        <v>11.61</v>
      </c>
      <c r="V11" s="98">
        <f t="shared" si="9"/>
        <v>16.9161</v>
      </c>
      <c r="W11" s="98">
        <f t="shared" si="10"/>
        <v>13.003200000000001</v>
      </c>
      <c r="X11" s="120">
        <v>6.4</v>
      </c>
      <c r="Y11" s="120">
        <v>71.400000000000006</v>
      </c>
      <c r="Z11" s="121"/>
      <c r="AA11" s="121">
        <f t="shared" si="11"/>
        <v>4.8000000000000007</v>
      </c>
      <c r="AB11" s="121">
        <f t="shared" si="12"/>
        <v>53.550000000000004</v>
      </c>
      <c r="AC11" s="123">
        <v>0</v>
      </c>
      <c r="AD11" s="123">
        <v>0</v>
      </c>
      <c r="AE11" s="121">
        <f t="shared" si="13"/>
        <v>0</v>
      </c>
      <c r="AF11" s="121">
        <f t="shared" si="13"/>
        <v>0</v>
      </c>
      <c r="AG11" s="98"/>
      <c r="AH11" s="98"/>
      <c r="AI11" s="98">
        <f t="shared" si="14"/>
        <v>0</v>
      </c>
      <c r="AJ11" s="98">
        <f t="shared" si="14"/>
        <v>0</v>
      </c>
      <c r="AK11" s="103">
        <v>119.24</v>
      </c>
      <c r="AL11" s="98">
        <v>92.56</v>
      </c>
      <c r="AM11" s="98">
        <f t="shared" si="15"/>
        <v>134.74119999999999</v>
      </c>
      <c r="AN11" s="98">
        <f t="shared" si="16"/>
        <v>103.66720000000001</v>
      </c>
      <c r="AO11" s="98"/>
      <c r="AP11" s="98"/>
      <c r="AQ11" s="131">
        <v>17.86</v>
      </c>
      <c r="AR11" s="131">
        <v>10.32</v>
      </c>
      <c r="AS11" s="99"/>
      <c r="AT11" s="98">
        <f t="shared" si="17"/>
        <v>0</v>
      </c>
      <c r="AU11" s="98"/>
      <c r="AV11" s="149">
        <f t="shared" si="18"/>
        <v>0</v>
      </c>
      <c r="AW11" s="98">
        <v>43.39</v>
      </c>
      <c r="AX11" s="98">
        <v>61.12</v>
      </c>
      <c r="AY11" s="98"/>
      <c r="AZ11" s="98">
        <f t="shared" si="19"/>
        <v>0</v>
      </c>
      <c r="BA11" s="98"/>
      <c r="BB11" s="98"/>
      <c r="BC11" s="98"/>
      <c r="BD11" s="98"/>
      <c r="BE11" s="98">
        <f t="shared" si="20"/>
        <v>0</v>
      </c>
      <c r="BF11" s="98">
        <f t="shared" si="21"/>
        <v>0</v>
      </c>
      <c r="BG11" s="98">
        <v>66.31</v>
      </c>
      <c r="BH11" s="98">
        <v>20.3</v>
      </c>
      <c r="BI11" s="98">
        <f t="shared" si="22"/>
        <v>74.267200000000003</v>
      </c>
      <c r="BJ11" s="98">
        <f t="shared" si="23"/>
        <v>22.736000000000004</v>
      </c>
      <c r="BK11" s="98"/>
      <c r="BL11" s="98"/>
      <c r="BM11" s="98">
        <v>75.37</v>
      </c>
      <c r="BN11" s="98">
        <f t="shared" si="24"/>
        <v>70.908096000000015</v>
      </c>
      <c r="BO11" s="105">
        <v>124.58</v>
      </c>
      <c r="BP11" s="149">
        <f t="shared" si="25"/>
        <v>139.52960000000002</v>
      </c>
      <c r="BQ11" s="112">
        <v>0</v>
      </c>
      <c r="BR11" s="112">
        <v>0</v>
      </c>
      <c r="BS11" s="104">
        <f t="shared" si="26"/>
        <v>0</v>
      </c>
      <c r="BT11" s="104">
        <f t="shared" si="27"/>
        <v>0</v>
      </c>
      <c r="BU11" s="105">
        <v>12.04</v>
      </c>
      <c r="BV11" s="105">
        <v>21.56</v>
      </c>
      <c r="BW11" s="142">
        <f t="shared" si="28"/>
        <v>15.892799999999999</v>
      </c>
      <c r="BX11" s="142">
        <f t="shared" si="29"/>
        <v>27.596799999999998</v>
      </c>
      <c r="BY11" s="110">
        <v>0</v>
      </c>
      <c r="BZ11" s="110">
        <v>0</v>
      </c>
      <c r="CA11" s="142">
        <f t="shared" si="30"/>
        <v>0</v>
      </c>
      <c r="CB11" s="142">
        <f t="shared" si="30"/>
        <v>0</v>
      </c>
      <c r="CC11" s="106">
        <v>10</v>
      </c>
      <c r="CD11" s="106">
        <v>1</v>
      </c>
      <c r="CE11" s="98">
        <f t="shared" si="31"/>
        <v>0.5</v>
      </c>
      <c r="CF11" s="107">
        <f t="shared" si="31"/>
        <v>0.05</v>
      </c>
      <c r="CG11" s="89"/>
      <c r="CH11" s="65">
        <f t="shared" si="32"/>
        <v>2030000</v>
      </c>
      <c r="CI11" s="73"/>
      <c r="CJ11" s="73"/>
      <c r="CK11" s="66">
        <v>980000</v>
      </c>
      <c r="CL11" s="73"/>
      <c r="CM11" s="66">
        <v>1050000</v>
      </c>
      <c r="CN11" s="73"/>
      <c r="CO11" s="73">
        <v>0</v>
      </c>
      <c r="CP11" s="90"/>
      <c r="CQ11" s="68">
        <v>0</v>
      </c>
      <c r="CR11" s="69">
        <f t="shared" si="33"/>
        <v>234.10010000000003</v>
      </c>
      <c r="CS11" s="69">
        <f t="shared" si="34"/>
        <v>662.35129600000016</v>
      </c>
      <c r="CT11" s="70">
        <f t="shared" si="0"/>
        <v>2036916.9081360004</v>
      </c>
      <c r="CU11" s="70">
        <f t="shared" si="1"/>
        <v>1337141.1654240002</v>
      </c>
      <c r="CV11" s="70">
        <f t="shared" si="35"/>
        <v>6916.9081360003911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10.8</v>
      </c>
      <c r="E12" s="102">
        <v>36.64</v>
      </c>
      <c r="F12" s="98">
        <f t="shared" si="2"/>
        <v>6.48</v>
      </c>
      <c r="G12" s="98">
        <f t="shared" si="2"/>
        <v>21.983999999999998</v>
      </c>
      <c r="H12" s="98"/>
      <c r="I12" s="98"/>
      <c r="J12" s="98">
        <f t="shared" si="3"/>
        <v>0</v>
      </c>
      <c r="K12" s="98">
        <f t="shared" si="4"/>
        <v>0</v>
      </c>
      <c r="L12" s="103">
        <v>57.2</v>
      </c>
      <c r="M12" s="98">
        <f t="shared" si="5"/>
        <v>57.2</v>
      </c>
      <c r="N12" s="99"/>
      <c r="O12" s="99"/>
      <c r="P12" s="98">
        <f t="shared" si="6"/>
        <v>0</v>
      </c>
      <c r="Q12" s="98">
        <f t="shared" si="7"/>
        <v>0</v>
      </c>
      <c r="R12" s="103">
        <v>7.93</v>
      </c>
      <c r="S12" s="98">
        <f t="shared" si="8"/>
        <v>8.8816000000000006</v>
      </c>
      <c r="T12" s="103">
        <v>5.89</v>
      </c>
      <c r="U12" s="98">
        <v>32.25</v>
      </c>
      <c r="V12" s="98">
        <f t="shared" si="9"/>
        <v>6.6556999999999986</v>
      </c>
      <c r="W12" s="98">
        <f t="shared" si="10"/>
        <v>36.120000000000005</v>
      </c>
      <c r="X12" s="120">
        <v>446</v>
      </c>
      <c r="Y12" s="120">
        <v>162</v>
      </c>
      <c r="Z12" s="119"/>
      <c r="AA12" s="121">
        <f t="shared" si="11"/>
        <v>334.5</v>
      </c>
      <c r="AB12" s="121">
        <f t="shared" si="12"/>
        <v>121.5</v>
      </c>
      <c r="AC12" s="119"/>
      <c r="AD12" s="119"/>
      <c r="AE12" s="121">
        <f t="shared" si="13"/>
        <v>0</v>
      </c>
      <c r="AF12" s="121">
        <f t="shared" si="13"/>
        <v>0</v>
      </c>
      <c r="AG12" s="98"/>
      <c r="AH12" s="98"/>
      <c r="AI12" s="98">
        <f t="shared" si="14"/>
        <v>0</v>
      </c>
      <c r="AJ12" s="98">
        <f t="shared" si="14"/>
        <v>0</v>
      </c>
      <c r="AK12" s="103">
        <v>2.21</v>
      </c>
      <c r="AL12" s="98">
        <v>17.79</v>
      </c>
      <c r="AM12" s="98">
        <f t="shared" si="15"/>
        <v>2.4972999999999996</v>
      </c>
      <c r="AN12" s="98">
        <f t="shared" si="16"/>
        <v>19.924800000000001</v>
      </c>
      <c r="AO12" s="98"/>
      <c r="AP12" s="98"/>
      <c r="AQ12" s="131"/>
      <c r="AR12" s="131"/>
      <c r="AS12" s="99"/>
      <c r="AT12" s="98">
        <f t="shared" si="17"/>
        <v>0</v>
      </c>
      <c r="AU12" s="99">
        <v>26.45</v>
      </c>
      <c r="AV12" s="149">
        <f t="shared" si="18"/>
        <v>26.45</v>
      </c>
      <c r="AW12" s="98">
        <v>2.0499999999999998</v>
      </c>
      <c r="AX12" s="98">
        <v>63.72</v>
      </c>
      <c r="AY12" s="99"/>
      <c r="AZ12" s="98">
        <f t="shared" si="19"/>
        <v>0</v>
      </c>
      <c r="BA12" s="99"/>
      <c r="BB12" s="99"/>
      <c r="BC12" s="99"/>
      <c r="BD12" s="99"/>
      <c r="BE12" s="98">
        <f t="shared" si="20"/>
        <v>0</v>
      </c>
      <c r="BF12" s="98">
        <f t="shared" si="21"/>
        <v>0</v>
      </c>
      <c r="BG12" s="98">
        <v>41.96</v>
      </c>
      <c r="BH12" s="98">
        <v>2.36</v>
      </c>
      <c r="BI12" s="98">
        <f t="shared" si="22"/>
        <v>46.995200000000004</v>
      </c>
      <c r="BJ12" s="98">
        <f t="shared" si="23"/>
        <v>2.6432000000000002</v>
      </c>
      <c r="BK12" s="99"/>
      <c r="BL12" s="99"/>
      <c r="BM12" s="98"/>
      <c r="BN12" s="98">
        <f t="shared" si="24"/>
        <v>0</v>
      </c>
      <c r="BO12" s="105">
        <v>193.56</v>
      </c>
      <c r="BP12" s="149">
        <f t="shared" si="25"/>
        <v>216.78720000000001</v>
      </c>
      <c r="BQ12" s="113"/>
      <c r="BR12" s="113"/>
      <c r="BS12" s="104">
        <f t="shared" si="26"/>
        <v>0</v>
      </c>
      <c r="BT12" s="104">
        <f t="shared" si="27"/>
        <v>0</v>
      </c>
      <c r="BU12" s="105">
        <v>0</v>
      </c>
      <c r="BV12" s="105">
        <v>0</v>
      </c>
      <c r="BW12" s="142">
        <f t="shared" si="28"/>
        <v>0</v>
      </c>
      <c r="BX12" s="142">
        <f t="shared" si="29"/>
        <v>0</v>
      </c>
      <c r="BY12" s="111"/>
      <c r="BZ12" s="111"/>
      <c r="CA12" s="142">
        <f t="shared" si="30"/>
        <v>0</v>
      </c>
      <c r="CB12" s="142">
        <f t="shared" si="30"/>
        <v>0</v>
      </c>
      <c r="CC12" s="109"/>
      <c r="CD12" s="109"/>
      <c r="CE12" s="98">
        <f t="shared" si="31"/>
        <v>0</v>
      </c>
      <c r="CF12" s="107">
        <f t="shared" si="31"/>
        <v>0</v>
      </c>
      <c r="CG12" s="89"/>
      <c r="CH12" s="65">
        <f t="shared" si="32"/>
        <v>2150000</v>
      </c>
      <c r="CI12" s="73"/>
      <c r="CJ12" s="73"/>
      <c r="CK12" s="66">
        <v>860000</v>
      </c>
      <c r="CL12" s="73"/>
      <c r="CM12" s="66">
        <v>1290000</v>
      </c>
      <c r="CN12" s="73"/>
      <c r="CO12" s="73"/>
      <c r="CP12" s="90"/>
      <c r="CQ12" s="68">
        <v>0</v>
      </c>
      <c r="CR12" s="69">
        <f t="shared" si="33"/>
        <v>352.18300000000005</v>
      </c>
      <c r="CS12" s="69">
        <f t="shared" si="34"/>
        <v>619.56280000000015</v>
      </c>
      <c r="CT12" s="70">
        <f t="shared" si="0"/>
        <v>2150084.3724000002</v>
      </c>
      <c r="CU12" s="70">
        <f t="shared" si="1"/>
        <v>1430971.0536000005</v>
      </c>
      <c r="CV12" s="70">
        <f t="shared" si="35"/>
        <v>84.372400000225753</v>
      </c>
      <c r="CW12" s="67" t="s">
        <v>135</v>
      </c>
      <c r="CX12" s="116">
        <v>250000</v>
      </c>
    </row>
    <row r="13" spans="1:102">
      <c r="A13" s="18"/>
      <c r="B13" s="94" t="s">
        <v>142</v>
      </c>
      <c r="C13" s="92" t="s">
        <v>143</v>
      </c>
      <c r="D13" s="102">
        <v>0</v>
      </c>
      <c r="E13" s="102">
        <v>0</v>
      </c>
      <c r="F13" s="98">
        <f t="shared" si="2"/>
        <v>0</v>
      </c>
      <c r="G13" s="98">
        <f t="shared" si="2"/>
        <v>0</v>
      </c>
      <c r="H13" s="119">
        <v>0</v>
      </c>
      <c r="I13" s="119">
        <v>0</v>
      </c>
      <c r="J13" s="98">
        <f t="shared" si="3"/>
        <v>0</v>
      </c>
      <c r="K13" s="98">
        <f t="shared" si="4"/>
        <v>0</v>
      </c>
      <c r="L13" s="103">
        <v>0</v>
      </c>
      <c r="M13" s="98">
        <f t="shared" si="5"/>
        <v>0</v>
      </c>
      <c r="N13" s="98">
        <v>0</v>
      </c>
      <c r="O13" s="98">
        <v>0</v>
      </c>
      <c r="P13" s="98">
        <f t="shared" si="6"/>
        <v>0</v>
      </c>
      <c r="Q13" s="98">
        <f t="shared" si="7"/>
        <v>0</v>
      </c>
      <c r="R13" s="103">
        <v>0</v>
      </c>
      <c r="S13" s="98">
        <f t="shared" si="8"/>
        <v>0</v>
      </c>
      <c r="T13" s="103">
        <v>0</v>
      </c>
      <c r="U13" s="98">
        <v>0</v>
      </c>
      <c r="V13" s="98">
        <f t="shared" si="9"/>
        <v>0</v>
      </c>
      <c r="W13" s="98">
        <f t="shared" si="10"/>
        <v>0</v>
      </c>
      <c r="X13" s="120">
        <v>0</v>
      </c>
      <c r="Y13" s="120">
        <v>0</v>
      </c>
      <c r="Z13" s="110"/>
      <c r="AA13" s="121">
        <f t="shared" si="11"/>
        <v>0</v>
      </c>
      <c r="AB13" s="121">
        <f t="shared" si="12"/>
        <v>0</v>
      </c>
      <c r="AC13" s="110"/>
      <c r="AD13" s="110"/>
      <c r="AE13" s="121">
        <f t="shared" si="13"/>
        <v>0</v>
      </c>
      <c r="AF13" s="121">
        <f t="shared" si="13"/>
        <v>0</v>
      </c>
      <c r="AG13" s="98"/>
      <c r="AH13" s="98"/>
      <c r="AI13" s="98">
        <f t="shared" si="14"/>
        <v>0</v>
      </c>
      <c r="AJ13" s="98">
        <f t="shared" si="14"/>
        <v>0</v>
      </c>
      <c r="AK13" s="103"/>
      <c r="AL13" s="98"/>
      <c r="AM13" s="98">
        <f t="shared" si="15"/>
        <v>0</v>
      </c>
      <c r="AN13" s="98">
        <f t="shared" si="16"/>
        <v>0</v>
      </c>
      <c r="AO13" s="98"/>
      <c r="AP13" s="98"/>
      <c r="AQ13" s="131"/>
      <c r="AR13" s="131">
        <v>0.32</v>
      </c>
      <c r="AS13" s="99"/>
      <c r="AT13" s="98">
        <f t="shared" si="17"/>
        <v>0</v>
      </c>
      <c r="AU13" s="99"/>
      <c r="AV13" s="149">
        <f t="shared" si="18"/>
        <v>0</v>
      </c>
      <c r="AW13" s="98">
        <v>0</v>
      </c>
      <c r="AX13" s="98">
        <v>0</v>
      </c>
      <c r="AY13" s="101"/>
      <c r="AZ13" s="98">
        <f t="shared" si="19"/>
        <v>0</v>
      </c>
      <c r="BA13" s="98"/>
      <c r="BB13" s="98"/>
      <c r="BC13" s="99"/>
      <c r="BD13" s="99"/>
      <c r="BE13" s="98">
        <f t="shared" si="20"/>
        <v>0</v>
      </c>
      <c r="BF13" s="98">
        <f t="shared" si="21"/>
        <v>0</v>
      </c>
      <c r="BG13" s="98"/>
      <c r="BH13" s="98"/>
      <c r="BI13" s="98">
        <f t="shared" si="22"/>
        <v>0</v>
      </c>
      <c r="BJ13" s="98">
        <f t="shared" si="23"/>
        <v>0</v>
      </c>
      <c r="BK13" s="100"/>
      <c r="BL13" s="100"/>
      <c r="BM13" s="98"/>
      <c r="BN13" s="98">
        <f t="shared" si="24"/>
        <v>0</v>
      </c>
      <c r="BO13" s="105">
        <v>0</v>
      </c>
      <c r="BP13" s="149">
        <f t="shared" si="25"/>
        <v>0</v>
      </c>
      <c r="BQ13" s="112"/>
      <c r="BR13" s="112"/>
      <c r="BS13" s="104">
        <f t="shared" si="26"/>
        <v>0</v>
      </c>
      <c r="BT13" s="104">
        <f t="shared" si="27"/>
        <v>0</v>
      </c>
      <c r="BU13" s="105">
        <v>0</v>
      </c>
      <c r="BV13" s="105">
        <v>0</v>
      </c>
      <c r="BW13" s="142">
        <f t="shared" si="28"/>
        <v>0</v>
      </c>
      <c r="BX13" s="142">
        <f t="shared" si="29"/>
        <v>0</v>
      </c>
      <c r="BY13" s="110"/>
      <c r="BZ13" s="110"/>
      <c r="CA13" s="142">
        <f t="shared" si="30"/>
        <v>0</v>
      </c>
      <c r="CB13" s="142">
        <f t="shared" si="30"/>
        <v>0</v>
      </c>
      <c r="CC13" s="106"/>
      <c r="CD13" s="106"/>
      <c r="CE13" s="98">
        <f t="shared" si="31"/>
        <v>0</v>
      </c>
      <c r="CF13" s="107">
        <f t="shared" si="31"/>
        <v>0</v>
      </c>
      <c r="CG13" s="81"/>
      <c r="CH13" s="65">
        <f t="shared" si="32"/>
        <v>0</v>
      </c>
      <c r="CI13" s="74"/>
      <c r="CJ13" s="74"/>
      <c r="CK13" s="54"/>
      <c r="CL13" s="74"/>
      <c r="CM13" s="54"/>
      <c r="CN13" s="74"/>
      <c r="CO13" s="74"/>
      <c r="CP13" s="90"/>
      <c r="CQ13" s="68">
        <v>0</v>
      </c>
      <c r="CR13" s="69">
        <f t="shared" si="33"/>
        <v>0</v>
      </c>
      <c r="CS13" s="69">
        <f t="shared" si="34"/>
        <v>0.32</v>
      </c>
      <c r="CT13" s="70">
        <f t="shared" si="0"/>
        <v>702.72</v>
      </c>
      <c r="CU13" s="70">
        <f t="shared" si="1"/>
        <v>468.48</v>
      </c>
      <c r="CV13" s="70">
        <f t="shared" si="35"/>
        <v>702.72</v>
      </c>
      <c r="CW13" s="55" t="s">
        <v>141</v>
      </c>
      <c r="CX13" s="118">
        <f>140000+140000+140000+140000+140000+250000</f>
        <v>950000</v>
      </c>
    </row>
    <row r="14" spans="1:102">
      <c r="A14" s="18"/>
      <c r="B14" s="94" t="s">
        <v>145</v>
      </c>
      <c r="C14" s="92" t="s">
        <v>146</v>
      </c>
      <c r="D14" s="102">
        <v>2.7</v>
      </c>
      <c r="E14" s="102">
        <v>32.299999999999997</v>
      </c>
      <c r="F14" s="98">
        <f t="shared" si="2"/>
        <v>1.62</v>
      </c>
      <c r="G14" s="98">
        <f t="shared" si="2"/>
        <v>19.38</v>
      </c>
      <c r="H14" s="110"/>
      <c r="I14" s="110"/>
      <c r="J14" s="98">
        <f t="shared" si="3"/>
        <v>0</v>
      </c>
      <c r="K14" s="98">
        <f t="shared" si="4"/>
        <v>0</v>
      </c>
      <c r="L14" s="103">
        <v>37.24</v>
      </c>
      <c r="M14" s="98">
        <f t="shared" si="5"/>
        <v>37.24</v>
      </c>
      <c r="N14" s="98"/>
      <c r="O14" s="98"/>
      <c r="P14" s="98">
        <f t="shared" si="6"/>
        <v>0</v>
      </c>
      <c r="Q14" s="98">
        <f t="shared" si="7"/>
        <v>0</v>
      </c>
      <c r="R14" s="103">
        <v>92.2</v>
      </c>
      <c r="S14" s="98">
        <f t="shared" si="8"/>
        <v>103.26400000000001</v>
      </c>
      <c r="T14" s="103">
        <v>25.81</v>
      </c>
      <c r="U14" s="98">
        <v>8.1199999999999992</v>
      </c>
      <c r="V14" s="98">
        <f t="shared" si="9"/>
        <v>29.165299999999995</v>
      </c>
      <c r="W14" s="98">
        <f t="shared" si="10"/>
        <v>9.0944000000000003</v>
      </c>
      <c r="X14" s="120">
        <v>0</v>
      </c>
      <c r="Y14" s="120">
        <v>0</v>
      </c>
      <c r="Z14" s="110"/>
      <c r="AA14" s="121">
        <f t="shared" si="11"/>
        <v>0</v>
      </c>
      <c r="AB14" s="121">
        <f t="shared" si="12"/>
        <v>0</v>
      </c>
      <c r="AC14" s="110"/>
      <c r="AD14" s="110"/>
      <c r="AE14" s="121">
        <f t="shared" si="13"/>
        <v>0</v>
      </c>
      <c r="AF14" s="121">
        <f t="shared" si="13"/>
        <v>0</v>
      </c>
      <c r="AG14" s="98"/>
      <c r="AH14" s="98"/>
      <c r="AI14" s="98">
        <f t="shared" si="14"/>
        <v>0</v>
      </c>
      <c r="AJ14" s="98">
        <f t="shared" si="14"/>
        <v>0</v>
      </c>
      <c r="AK14" s="103">
        <v>165.6</v>
      </c>
      <c r="AL14" s="98">
        <v>57.83</v>
      </c>
      <c r="AM14" s="98">
        <f t="shared" si="15"/>
        <v>187.12799999999999</v>
      </c>
      <c r="AN14" s="98">
        <f t="shared" si="16"/>
        <v>64.769600000000011</v>
      </c>
      <c r="AO14" s="98"/>
      <c r="AP14" s="98"/>
      <c r="AQ14" s="131"/>
      <c r="AR14" s="131"/>
      <c r="AS14" s="99"/>
      <c r="AT14" s="98">
        <f t="shared" si="17"/>
        <v>0</v>
      </c>
      <c r="AU14" s="99">
        <v>143.30000000000001</v>
      </c>
      <c r="AV14" s="149">
        <f t="shared" si="18"/>
        <v>143.30000000000001</v>
      </c>
      <c r="AW14" s="98">
        <v>133.96</v>
      </c>
      <c r="AX14" s="98">
        <v>184.24</v>
      </c>
      <c r="AY14" s="101"/>
      <c r="AZ14" s="98">
        <f t="shared" si="19"/>
        <v>0</v>
      </c>
      <c r="BA14" s="98"/>
      <c r="BB14" s="98"/>
      <c r="BC14" s="99"/>
      <c r="BD14" s="99"/>
      <c r="BE14" s="98">
        <f t="shared" si="20"/>
        <v>0</v>
      </c>
      <c r="BF14" s="98">
        <f t="shared" si="21"/>
        <v>0</v>
      </c>
      <c r="BG14" s="98">
        <v>63.29</v>
      </c>
      <c r="BH14" s="98">
        <v>0</v>
      </c>
      <c r="BI14" s="98">
        <f t="shared" si="22"/>
        <v>70.884800000000013</v>
      </c>
      <c r="BJ14" s="98">
        <f t="shared" si="23"/>
        <v>0</v>
      </c>
      <c r="BK14" s="100"/>
      <c r="BL14" s="100"/>
      <c r="BM14" s="98"/>
      <c r="BN14" s="98">
        <f t="shared" si="24"/>
        <v>0</v>
      </c>
      <c r="BO14" s="105">
        <v>310.64999999999998</v>
      </c>
      <c r="BP14" s="149">
        <f t="shared" si="25"/>
        <v>347.928</v>
      </c>
      <c r="BQ14" s="112"/>
      <c r="BR14" s="112"/>
      <c r="BS14" s="104">
        <f t="shared" si="26"/>
        <v>0</v>
      </c>
      <c r="BT14" s="104">
        <f t="shared" si="27"/>
        <v>0</v>
      </c>
      <c r="BU14" s="105">
        <v>0</v>
      </c>
      <c r="BV14" s="105">
        <v>0</v>
      </c>
      <c r="BW14" s="142">
        <f t="shared" si="28"/>
        <v>0</v>
      </c>
      <c r="BX14" s="142">
        <f t="shared" si="29"/>
        <v>0</v>
      </c>
      <c r="BY14" s="110"/>
      <c r="BZ14" s="110"/>
      <c r="CA14" s="142">
        <f t="shared" si="30"/>
        <v>0</v>
      </c>
      <c r="CB14" s="142">
        <f t="shared" si="30"/>
        <v>0</v>
      </c>
      <c r="CC14" s="106"/>
      <c r="CD14" s="106"/>
      <c r="CE14" s="98">
        <f t="shared" si="31"/>
        <v>0</v>
      </c>
      <c r="CF14" s="107">
        <f t="shared" si="31"/>
        <v>0</v>
      </c>
      <c r="CG14" s="81"/>
      <c r="CH14" s="65">
        <f t="shared" si="32"/>
        <v>2940000</v>
      </c>
      <c r="CI14" s="74"/>
      <c r="CJ14" s="74"/>
      <c r="CK14" s="54">
        <v>1800000</v>
      </c>
      <c r="CL14" s="74"/>
      <c r="CM14" s="54">
        <v>1140000</v>
      </c>
      <c r="CN14" s="74"/>
      <c r="CO14" s="74"/>
      <c r="CP14" s="90"/>
      <c r="CQ14" s="68">
        <v>0</v>
      </c>
      <c r="CR14" s="69">
        <f t="shared" si="33"/>
        <v>351.87329999999997</v>
      </c>
      <c r="CS14" s="69">
        <f t="shared" si="34"/>
        <v>980.10079999999994</v>
      </c>
      <c r="CT14" s="70">
        <f t="shared" si="0"/>
        <v>2933882.3307599998</v>
      </c>
      <c r="CU14" s="70">
        <f t="shared" si="1"/>
        <v>1955921.5538399999</v>
      </c>
      <c r="CV14" s="70">
        <f t="shared" si="35"/>
        <v>-6117.6692400001921</v>
      </c>
      <c r="CW14" s="55" t="s">
        <v>144</v>
      </c>
      <c r="CX14" s="118">
        <f>352000+600000</f>
        <v>952000</v>
      </c>
    </row>
    <row r="15" spans="1:102">
      <c r="A15" s="132"/>
      <c r="B15" s="94" t="s">
        <v>153</v>
      </c>
      <c r="C15" s="92" t="s">
        <v>154</v>
      </c>
      <c r="D15" s="102">
        <v>0.3</v>
      </c>
      <c r="E15" s="102">
        <v>5.2</v>
      </c>
      <c r="F15" s="98">
        <f t="shared" si="2"/>
        <v>0.18</v>
      </c>
      <c r="G15" s="98">
        <f t="shared" si="2"/>
        <v>3.12</v>
      </c>
      <c r="H15" s="119"/>
      <c r="I15" s="119"/>
      <c r="J15" s="98">
        <f t="shared" si="3"/>
        <v>0</v>
      </c>
      <c r="K15" s="98">
        <f t="shared" si="4"/>
        <v>0</v>
      </c>
      <c r="L15" s="103"/>
      <c r="M15" s="98">
        <f t="shared" si="5"/>
        <v>0</v>
      </c>
      <c r="N15" s="98">
        <v>37.24</v>
      </c>
      <c r="O15" s="98">
        <v>17.23</v>
      </c>
      <c r="P15" s="98">
        <f t="shared" si="6"/>
        <v>42.081199999999995</v>
      </c>
      <c r="Q15" s="98">
        <f t="shared" si="7"/>
        <v>19.297600000000003</v>
      </c>
      <c r="R15" s="103">
        <v>134.91999999999999</v>
      </c>
      <c r="S15" s="98">
        <f t="shared" si="8"/>
        <v>151.1104</v>
      </c>
      <c r="T15" s="103">
        <v>9.64</v>
      </c>
      <c r="U15" s="98">
        <v>12.97</v>
      </c>
      <c r="V15" s="98">
        <f t="shared" si="9"/>
        <v>10.8932</v>
      </c>
      <c r="W15" s="98">
        <f t="shared" si="10"/>
        <v>14.526400000000002</v>
      </c>
      <c r="X15" s="120">
        <v>0</v>
      </c>
      <c r="Y15" s="120">
        <v>3</v>
      </c>
      <c r="Z15" s="110"/>
      <c r="AA15" s="121">
        <f t="shared" si="11"/>
        <v>0</v>
      </c>
      <c r="AB15" s="121">
        <f t="shared" si="12"/>
        <v>2.25</v>
      </c>
      <c r="AC15" s="110"/>
      <c r="AD15" s="110"/>
      <c r="AE15" s="121">
        <f t="shared" si="13"/>
        <v>0</v>
      </c>
      <c r="AF15" s="121">
        <f t="shared" si="13"/>
        <v>0</v>
      </c>
      <c r="AG15" s="98"/>
      <c r="AH15" s="98"/>
      <c r="AI15" s="98">
        <f t="shared" si="14"/>
        <v>0</v>
      </c>
      <c r="AJ15" s="98">
        <f t="shared" si="14"/>
        <v>0</v>
      </c>
      <c r="AK15" s="103">
        <v>113.1</v>
      </c>
      <c r="AL15" s="98">
        <v>326</v>
      </c>
      <c r="AM15" s="98">
        <f t="shared" si="15"/>
        <v>127.80299999999998</v>
      </c>
      <c r="AN15" s="98">
        <f t="shared" si="16"/>
        <v>365.12000000000006</v>
      </c>
      <c r="AO15" s="98"/>
      <c r="AP15" s="98"/>
      <c r="AQ15" s="131"/>
      <c r="AR15" s="131"/>
      <c r="AS15" s="99"/>
      <c r="AT15" s="98">
        <f t="shared" si="17"/>
        <v>0</v>
      </c>
      <c r="AU15" s="99"/>
      <c r="AV15" s="149">
        <f t="shared" si="18"/>
        <v>0</v>
      </c>
      <c r="AW15" s="98"/>
      <c r="AX15" s="98"/>
      <c r="AY15" s="101"/>
      <c r="AZ15" s="98">
        <f t="shared" si="19"/>
        <v>0</v>
      </c>
      <c r="BA15" s="98"/>
      <c r="BB15" s="98"/>
      <c r="BC15" s="99"/>
      <c r="BD15" s="99"/>
      <c r="BE15" s="98">
        <f t="shared" si="20"/>
        <v>0</v>
      </c>
      <c r="BF15" s="98">
        <f t="shared" si="21"/>
        <v>0</v>
      </c>
      <c r="BG15" s="98">
        <v>216.56</v>
      </c>
      <c r="BH15" s="98">
        <v>2.1</v>
      </c>
      <c r="BI15" s="98">
        <f t="shared" si="22"/>
        <v>242.54720000000003</v>
      </c>
      <c r="BJ15" s="98">
        <f t="shared" si="23"/>
        <v>2.3520000000000003</v>
      </c>
      <c r="BK15" s="100"/>
      <c r="BL15" s="100"/>
      <c r="BM15" s="98">
        <v>64.150000000000006</v>
      </c>
      <c r="BN15" s="98">
        <f t="shared" si="24"/>
        <v>60.352320000000013</v>
      </c>
      <c r="BO15" s="105">
        <v>115.91</v>
      </c>
      <c r="BP15" s="149">
        <f t="shared" si="25"/>
        <v>129.8192</v>
      </c>
      <c r="BQ15" s="112"/>
      <c r="BR15" s="112"/>
      <c r="BS15" s="104">
        <f t="shared" si="26"/>
        <v>0</v>
      </c>
      <c r="BT15" s="104">
        <f t="shared" si="27"/>
        <v>0</v>
      </c>
      <c r="BU15" s="105">
        <v>0.75</v>
      </c>
      <c r="BV15" s="105">
        <v>12.11</v>
      </c>
      <c r="BW15" s="142">
        <f t="shared" si="28"/>
        <v>0.99</v>
      </c>
      <c r="BX15" s="142">
        <f t="shared" si="29"/>
        <v>15.5008</v>
      </c>
      <c r="BY15" s="110">
        <v>20.27</v>
      </c>
      <c r="BZ15" s="110">
        <v>9.6999999999999993</v>
      </c>
      <c r="CA15" s="142">
        <f t="shared" si="30"/>
        <v>10.135</v>
      </c>
      <c r="CB15" s="142">
        <f t="shared" si="30"/>
        <v>4.8499999999999996</v>
      </c>
      <c r="CC15" s="106">
        <f>294+254</f>
        <v>548</v>
      </c>
      <c r="CD15" s="106">
        <f>1256+515</f>
        <v>1771</v>
      </c>
      <c r="CE15" s="98">
        <f t="shared" si="31"/>
        <v>27.400000000000002</v>
      </c>
      <c r="CF15" s="107">
        <f t="shared" si="31"/>
        <v>88.550000000000011</v>
      </c>
      <c r="CG15" s="81"/>
      <c r="CH15" s="65">
        <f t="shared" si="32"/>
        <v>2900000</v>
      </c>
      <c r="CI15" s="74"/>
      <c r="CJ15" s="74"/>
      <c r="CK15" s="54">
        <v>920000</v>
      </c>
      <c r="CL15" s="74"/>
      <c r="CM15" s="54">
        <v>1980000</v>
      </c>
      <c r="CN15" s="74"/>
      <c r="CO15" s="74"/>
      <c r="CP15" s="90"/>
      <c r="CQ15" s="68">
        <v>0</v>
      </c>
      <c r="CR15" s="69">
        <f t="shared" si="33"/>
        <v>219.48239999999998</v>
      </c>
      <c r="CS15" s="69">
        <f t="shared" si="34"/>
        <v>1097.0439199999998</v>
      </c>
      <c r="CT15" s="70">
        <f t="shared" si="0"/>
        <v>2903078.9951999998</v>
      </c>
      <c r="CU15" s="70">
        <f t="shared" si="1"/>
        <v>1933233.9167999998</v>
      </c>
      <c r="CV15" s="70">
        <f t="shared" si="35"/>
        <v>3078.995199999772</v>
      </c>
      <c r="CW15" s="55" t="s">
        <v>147</v>
      </c>
      <c r="CX15" s="118">
        <v>400000</v>
      </c>
    </row>
    <row r="16" spans="1:102">
      <c r="A16" s="18"/>
      <c r="B16" s="94" t="s">
        <v>157</v>
      </c>
      <c r="C16" s="92" t="s">
        <v>158</v>
      </c>
      <c r="D16" s="102">
        <v>0</v>
      </c>
      <c r="E16" s="102">
        <v>0</v>
      </c>
      <c r="F16" s="98">
        <f t="shared" si="2"/>
        <v>0</v>
      </c>
      <c r="G16" s="98">
        <f t="shared" si="2"/>
        <v>0</v>
      </c>
      <c r="H16" s="110"/>
      <c r="I16" s="110"/>
      <c r="J16" s="98">
        <f t="shared" si="3"/>
        <v>0</v>
      </c>
      <c r="K16" s="98">
        <f t="shared" si="4"/>
        <v>0</v>
      </c>
      <c r="L16" s="103"/>
      <c r="M16" s="98">
        <f t="shared" si="5"/>
        <v>0</v>
      </c>
      <c r="N16" s="98"/>
      <c r="O16" s="98"/>
      <c r="P16" s="98">
        <f t="shared" si="6"/>
        <v>0</v>
      </c>
      <c r="Q16" s="98">
        <f t="shared" si="7"/>
        <v>0</v>
      </c>
      <c r="R16" s="103">
        <v>27.21</v>
      </c>
      <c r="S16" s="98">
        <f t="shared" si="8"/>
        <v>30.475200000000005</v>
      </c>
      <c r="T16" s="103">
        <v>2.78</v>
      </c>
      <c r="U16" s="98">
        <v>2.67</v>
      </c>
      <c r="V16" s="98">
        <f t="shared" si="9"/>
        <v>3.1413999999999995</v>
      </c>
      <c r="W16" s="98">
        <f t="shared" si="10"/>
        <v>2.9904000000000002</v>
      </c>
      <c r="X16" s="120">
        <v>0</v>
      </c>
      <c r="Y16" s="120">
        <v>0</v>
      </c>
      <c r="Z16" s="110"/>
      <c r="AA16" s="121">
        <f t="shared" si="11"/>
        <v>0</v>
      </c>
      <c r="AB16" s="121">
        <f t="shared" si="12"/>
        <v>0</v>
      </c>
      <c r="AC16" s="110"/>
      <c r="AD16" s="110"/>
      <c r="AE16" s="121">
        <f t="shared" si="13"/>
        <v>0</v>
      </c>
      <c r="AF16" s="121">
        <f t="shared" si="13"/>
        <v>0</v>
      </c>
      <c r="AG16" s="98">
        <v>0</v>
      </c>
      <c r="AH16" s="98">
        <v>0</v>
      </c>
      <c r="AI16" s="98">
        <f t="shared" si="14"/>
        <v>0</v>
      </c>
      <c r="AJ16" s="98">
        <f t="shared" si="14"/>
        <v>0</v>
      </c>
      <c r="AK16" s="103">
        <v>2.93</v>
      </c>
      <c r="AL16" s="98">
        <v>34.15</v>
      </c>
      <c r="AM16" s="98">
        <f t="shared" si="15"/>
        <v>3.3108999999999997</v>
      </c>
      <c r="AN16" s="98">
        <f t="shared" si="16"/>
        <v>38.248000000000005</v>
      </c>
      <c r="AO16" s="98"/>
      <c r="AP16" s="98"/>
      <c r="AQ16" s="131">
        <v>2.31</v>
      </c>
      <c r="AR16" s="131">
        <v>4.03</v>
      </c>
      <c r="AS16" s="99"/>
      <c r="AT16" s="98">
        <f t="shared" si="17"/>
        <v>0</v>
      </c>
      <c r="AU16" s="99"/>
      <c r="AV16" s="149">
        <f t="shared" si="18"/>
        <v>0</v>
      </c>
      <c r="AW16" s="98">
        <v>9.41</v>
      </c>
      <c r="AX16" s="98">
        <v>4.46</v>
      </c>
      <c r="AY16" s="101"/>
      <c r="AZ16" s="98">
        <f t="shared" si="19"/>
        <v>0</v>
      </c>
      <c r="BA16" s="98"/>
      <c r="BB16" s="98"/>
      <c r="BC16" s="99"/>
      <c r="BD16" s="99"/>
      <c r="BE16" s="98">
        <f t="shared" si="20"/>
        <v>0</v>
      </c>
      <c r="BF16" s="98">
        <f t="shared" si="21"/>
        <v>0</v>
      </c>
      <c r="BG16" s="99"/>
      <c r="BH16" s="99"/>
      <c r="BI16" s="98">
        <f t="shared" si="22"/>
        <v>0</v>
      </c>
      <c r="BJ16" s="98">
        <f t="shared" si="23"/>
        <v>0</v>
      </c>
      <c r="BK16" s="100"/>
      <c r="BL16" s="100"/>
      <c r="BM16" s="98"/>
      <c r="BN16" s="98">
        <f t="shared" si="24"/>
        <v>0</v>
      </c>
      <c r="BO16" s="105">
        <v>55.79</v>
      </c>
      <c r="BP16" s="149">
        <f t="shared" si="25"/>
        <v>62.484800000000007</v>
      </c>
      <c r="BQ16" s="112"/>
      <c r="BR16" s="112"/>
      <c r="BS16" s="104">
        <f t="shared" si="26"/>
        <v>0</v>
      </c>
      <c r="BT16" s="104">
        <f t="shared" si="27"/>
        <v>0</v>
      </c>
      <c r="BU16" s="105">
        <v>0</v>
      </c>
      <c r="BV16" s="105">
        <v>0</v>
      </c>
      <c r="BW16" s="142">
        <f t="shared" si="28"/>
        <v>0</v>
      </c>
      <c r="BX16" s="142">
        <f t="shared" si="29"/>
        <v>0</v>
      </c>
      <c r="BY16" s="110">
        <v>0</v>
      </c>
      <c r="BZ16" s="110">
        <v>0</v>
      </c>
      <c r="CA16" s="142">
        <f t="shared" si="30"/>
        <v>0</v>
      </c>
      <c r="CB16" s="142">
        <f t="shared" si="30"/>
        <v>0</v>
      </c>
      <c r="CC16" s="106"/>
      <c r="CD16" s="106"/>
      <c r="CE16" s="98">
        <f t="shared" si="31"/>
        <v>0</v>
      </c>
      <c r="CF16" s="107">
        <f t="shared" si="31"/>
        <v>0</v>
      </c>
      <c r="CG16" s="81"/>
      <c r="CH16" s="65">
        <f t="shared" si="32"/>
        <v>350000</v>
      </c>
      <c r="CI16" s="74"/>
      <c r="CJ16" s="74"/>
      <c r="CK16" s="54">
        <v>160000</v>
      </c>
      <c r="CL16" s="74"/>
      <c r="CM16" s="54">
        <v>190000</v>
      </c>
      <c r="CN16" s="74"/>
      <c r="CO16" s="74"/>
      <c r="CP16" s="90"/>
      <c r="CQ16" s="68">
        <v>0</v>
      </c>
      <c r="CR16" s="69">
        <f t="shared" si="33"/>
        <v>18.1723</v>
      </c>
      <c r="CS16" s="69">
        <f t="shared" si="34"/>
        <v>142.68840000000003</v>
      </c>
      <c r="CT16" s="70">
        <f t="shared" si="0"/>
        <v>353708.03916000004</v>
      </c>
      <c r="CU16" s="70">
        <f t="shared" si="1"/>
        <v>235805.35944000003</v>
      </c>
      <c r="CV16" s="70">
        <f t="shared" si="35"/>
        <v>3708.0391600000439</v>
      </c>
      <c r="CW16" s="55"/>
      <c r="CX16" s="118"/>
    </row>
    <row r="17" spans="1:102">
      <c r="A17" s="18" t="s">
        <v>166</v>
      </c>
      <c r="B17" s="94" t="s">
        <v>167</v>
      </c>
      <c r="C17" s="92" t="s">
        <v>168</v>
      </c>
      <c r="D17" s="102">
        <v>0</v>
      </c>
      <c r="E17" s="102">
        <v>0</v>
      </c>
      <c r="F17" s="98">
        <f t="shared" si="2"/>
        <v>0</v>
      </c>
      <c r="G17" s="98">
        <f t="shared" si="2"/>
        <v>0</v>
      </c>
      <c r="H17" s="110"/>
      <c r="I17" s="110"/>
      <c r="J17" s="98">
        <f t="shared" si="3"/>
        <v>0</v>
      </c>
      <c r="K17" s="98">
        <f t="shared" si="4"/>
        <v>0</v>
      </c>
      <c r="L17" s="103">
        <v>0</v>
      </c>
      <c r="M17" s="98">
        <f t="shared" si="5"/>
        <v>0</v>
      </c>
      <c r="N17" s="98"/>
      <c r="O17" s="98"/>
      <c r="P17" s="98">
        <f t="shared" si="6"/>
        <v>0</v>
      </c>
      <c r="Q17" s="98">
        <f t="shared" si="7"/>
        <v>0</v>
      </c>
      <c r="R17" s="103">
        <v>0</v>
      </c>
      <c r="S17" s="98">
        <f t="shared" si="8"/>
        <v>0</v>
      </c>
      <c r="T17" s="103">
        <v>0</v>
      </c>
      <c r="U17" s="98">
        <v>0</v>
      </c>
      <c r="V17" s="98">
        <f t="shared" si="9"/>
        <v>0</v>
      </c>
      <c r="W17" s="98">
        <f t="shared" si="10"/>
        <v>0</v>
      </c>
      <c r="X17" s="120">
        <v>0</v>
      </c>
      <c r="Y17" s="120">
        <v>0</v>
      </c>
      <c r="Z17" s="110"/>
      <c r="AA17" s="121">
        <f t="shared" si="11"/>
        <v>0</v>
      </c>
      <c r="AB17" s="121">
        <f t="shared" si="12"/>
        <v>0</v>
      </c>
      <c r="AC17" s="110"/>
      <c r="AD17" s="110"/>
      <c r="AE17" s="121">
        <f t="shared" si="13"/>
        <v>0</v>
      </c>
      <c r="AF17" s="121">
        <f t="shared" si="13"/>
        <v>0</v>
      </c>
      <c r="AG17" s="98">
        <v>0</v>
      </c>
      <c r="AH17" s="98">
        <v>0</v>
      </c>
      <c r="AI17" s="98">
        <f t="shared" si="14"/>
        <v>0</v>
      </c>
      <c r="AJ17" s="98">
        <f t="shared" si="14"/>
        <v>0</v>
      </c>
      <c r="AK17" s="103">
        <v>0.04</v>
      </c>
      <c r="AL17" s="98"/>
      <c r="AM17" s="98">
        <f t="shared" si="15"/>
        <v>4.5199999999999997E-2</v>
      </c>
      <c r="AN17" s="98">
        <f t="shared" si="16"/>
        <v>0</v>
      </c>
      <c r="AO17" s="98"/>
      <c r="AP17" s="98"/>
      <c r="AQ17" s="131"/>
      <c r="AR17" s="131"/>
      <c r="AS17" s="99"/>
      <c r="AT17" s="98">
        <f t="shared" si="17"/>
        <v>0</v>
      </c>
      <c r="AU17" s="99"/>
      <c r="AV17" s="149">
        <f t="shared" si="18"/>
        <v>0</v>
      </c>
      <c r="AW17" s="98">
        <v>0</v>
      </c>
      <c r="AX17" s="98">
        <v>0</v>
      </c>
      <c r="AY17" s="101"/>
      <c r="AZ17" s="98">
        <f t="shared" si="19"/>
        <v>0</v>
      </c>
      <c r="BA17" s="98"/>
      <c r="BB17" s="98"/>
      <c r="BC17" s="99"/>
      <c r="BD17" s="99"/>
      <c r="BE17" s="98">
        <f t="shared" si="20"/>
        <v>0</v>
      </c>
      <c r="BF17" s="98">
        <f t="shared" si="21"/>
        <v>0</v>
      </c>
      <c r="BG17" s="99"/>
      <c r="BH17" s="99"/>
      <c r="BI17" s="98">
        <f t="shared" si="22"/>
        <v>0</v>
      </c>
      <c r="BJ17" s="98">
        <f t="shared" si="23"/>
        <v>0</v>
      </c>
      <c r="BK17" s="100"/>
      <c r="BL17" s="100"/>
      <c r="BM17" s="98"/>
      <c r="BN17" s="98">
        <f t="shared" si="24"/>
        <v>0</v>
      </c>
      <c r="BO17" s="105">
        <v>0</v>
      </c>
      <c r="BP17" s="149">
        <f t="shared" si="25"/>
        <v>0</v>
      </c>
      <c r="BQ17" s="112"/>
      <c r="BR17" s="112"/>
      <c r="BS17" s="104">
        <f t="shared" si="26"/>
        <v>0</v>
      </c>
      <c r="BT17" s="104">
        <f t="shared" si="27"/>
        <v>0</v>
      </c>
      <c r="BU17" s="105">
        <v>0</v>
      </c>
      <c r="BV17" s="105">
        <v>0</v>
      </c>
      <c r="BW17" s="142">
        <f t="shared" si="28"/>
        <v>0</v>
      </c>
      <c r="BX17" s="142">
        <f t="shared" si="29"/>
        <v>0</v>
      </c>
      <c r="BY17" s="110"/>
      <c r="BZ17" s="110"/>
      <c r="CA17" s="142">
        <f t="shared" si="30"/>
        <v>0</v>
      </c>
      <c r="CB17" s="142">
        <f t="shared" si="30"/>
        <v>0</v>
      </c>
      <c r="CC17" s="106"/>
      <c r="CD17" s="106"/>
      <c r="CE17" s="98">
        <f t="shared" si="31"/>
        <v>0</v>
      </c>
      <c r="CF17" s="107">
        <f t="shared" si="31"/>
        <v>0</v>
      </c>
      <c r="CG17" s="81"/>
      <c r="CH17" s="65">
        <f t="shared" si="32"/>
        <v>0</v>
      </c>
      <c r="CI17" s="74"/>
      <c r="CJ17" s="74"/>
      <c r="CK17" s="54"/>
      <c r="CL17" s="74"/>
      <c r="CM17" s="54"/>
      <c r="CN17" s="74"/>
      <c r="CO17" s="74"/>
      <c r="CP17" s="90"/>
      <c r="CQ17" s="68">
        <v>0</v>
      </c>
      <c r="CR17" s="69">
        <f t="shared" si="33"/>
        <v>4.5199999999999997E-2</v>
      </c>
      <c r="CS17" s="69">
        <f t="shared" si="34"/>
        <v>0</v>
      </c>
      <c r="CT17" s="70">
        <f t="shared" si="0"/>
        <v>100.39824</v>
      </c>
      <c r="CU17" s="70">
        <f t="shared" si="1"/>
        <v>66.932159999999996</v>
      </c>
      <c r="CV17" s="70">
        <f t="shared" si="35"/>
        <v>100.39824</v>
      </c>
      <c r="CW17" s="55"/>
      <c r="CX17" s="118"/>
    </row>
    <row r="18" spans="1:102">
      <c r="A18" s="18"/>
      <c r="B18" s="94" t="s">
        <v>178</v>
      </c>
      <c r="C18" s="92" t="s">
        <v>179</v>
      </c>
      <c r="D18" s="102">
        <v>0</v>
      </c>
      <c r="E18" s="102">
        <v>0</v>
      </c>
      <c r="F18" s="98">
        <f t="shared" si="2"/>
        <v>0</v>
      </c>
      <c r="G18" s="98">
        <f t="shared" si="2"/>
        <v>0</v>
      </c>
      <c r="H18" s="110"/>
      <c r="I18" s="110"/>
      <c r="J18" s="98">
        <f t="shared" si="3"/>
        <v>0</v>
      </c>
      <c r="K18" s="98">
        <f t="shared" si="4"/>
        <v>0</v>
      </c>
      <c r="L18" s="103">
        <v>77.25</v>
      </c>
      <c r="M18" s="98">
        <f t="shared" si="5"/>
        <v>77.25</v>
      </c>
      <c r="N18" s="98"/>
      <c r="O18" s="98"/>
      <c r="P18" s="98">
        <f t="shared" si="6"/>
        <v>0</v>
      </c>
      <c r="Q18" s="98">
        <f t="shared" si="7"/>
        <v>0</v>
      </c>
      <c r="R18" s="103">
        <v>47.48</v>
      </c>
      <c r="S18" s="98">
        <f t="shared" si="8"/>
        <v>53.177599999999998</v>
      </c>
      <c r="T18" s="103">
        <v>6.03</v>
      </c>
      <c r="U18" s="98">
        <v>8.14</v>
      </c>
      <c r="V18" s="98">
        <f t="shared" si="9"/>
        <v>6.8138999999999994</v>
      </c>
      <c r="W18" s="98">
        <f t="shared" si="10"/>
        <v>9.1168000000000013</v>
      </c>
      <c r="X18" s="120">
        <v>0</v>
      </c>
      <c r="Y18" s="120">
        <v>0</v>
      </c>
      <c r="Z18" s="110"/>
      <c r="AA18" s="121">
        <f t="shared" si="11"/>
        <v>0</v>
      </c>
      <c r="AB18" s="121">
        <f t="shared" si="12"/>
        <v>0</v>
      </c>
      <c r="AC18" s="110"/>
      <c r="AD18" s="110"/>
      <c r="AE18" s="121">
        <f t="shared" si="13"/>
        <v>0</v>
      </c>
      <c r="AF18" s="121">
        <f t="shared" si="13"/>
        <v>0</v>
      </c>
      <c r="AG18" s="98">
        <v>0</v>
      </c>
      <c r="AH18" s="98">
        <v>0</v>
      </c>
      <c r="AI18" s="98">
        <f t="shared" si="14"/>
        <v>0</v>
      </c>
      <c r="AJ18" s="98">
        <f t="shared" si="14"/>
        <v>0</v>
      </c>
      <c r="AK18" s="103">
        <v>37.44</v>
      </c>
      <c r="AL18" s="98">
        <v>41.55</v>
      </c>
      <c r="AM18" s="98">
        <f t="shared" si="15"/>
        <v>42.307199999999995</v>
      </c>
      <c r="AN18" s="98">
        <f t="shared" si="16"/>
        <v>46.536000000000001</v>
      </c>
      <c r="AO18" s="98">
        <v>0</v>
      </c>
      <c r="AP18" s="98">
        <v>0</v>
      </c>
      <c r="AQ18" s="131">
        <v>129.16999999999999</v>
      </c>
      <c r="AR18" s="131">
        <v>71.040000000000006</v>
      </c>
      <c r="AS18" s="99"/>
      <c r="AT18" s="98">
        <f t="shared" si="17"/>
        <v>0</v>
      </c>
      <c r="AU18" s="99"/>
      <c r="AV18" s="149">
        <f t="shared" si="18"/>
        <v>0</v>
      </c>
      <c r="AW18" s="98">
        <v>14.29</v>
      </c>
      <c r="AX18" s="98">
        <v>0</v>
      </c>
      <c r="AY18" s="101"/>
      <c r="AZ18" s="98">
        <f t="shared" si="19"/>
        <v>0</v>
      </c>
      <c r="BA18" s="98"/>
      <c r="BB18" s="98"/>
      <c r="BC18" s="99"/>
      <c r="BD18" s="99"/>
      <c r="BE18" s="98">
        <f t="shared" si="20"/>
        <v>0</v>
      </c>
      <c r="BF18" s="98">
        <f t="shared" si="21"/>
        <v>0</v>
      </c>
      <c r="BG18" s="99">
        <v>97.71</v>
      </c>
      <c r="BH18" s="99">
        <v>1.05</v>
      </c>
      <c r="BI18" s="98">
        <f t="shared" si="22"/>
        <v>109.43520000000001</v>
      </c>
      <c r="BJ18" s="98">
        <f t="shared" si="23"/>
        <v>1.1760000000000002</v>
      </c>
      <c r="BK18" s="100"/>
      <c r="BL18" s="100"/>
      <c r="BM18" s="98"/>
      <c r="BN18" s="98">
        <f t="shared" si="24"/>
        <v>0</v>
      </c>
      <c r="BO18" s="195">
        <v>23.84</v>
      </c>
      <c r="BP18" s="149">
        <f t="shared" si="25"/>
        <v>26.700800000000001</v>
      </c>
      <c r="BQ18" s="112"/>
      <c r="BR18" s="112"/>
      <c r="BS18" s="104">
        <f t="shared" si="26"/>
        <v>0</v>
      </c>
      <c r="BT18" s="104">
        <f t="shared" si="27"/>
        <v>0</v>
      </c>
      <c r="BU18" s="105">
        <v>0</v>
      </c>
      <c r="BV18" s="105">
        <v>0</v>
      </c>
      <c r="BW18" s="142">
        <f t="shared" si="28"/>
        <v>0</v>
      </c>
      <c r="BX18" s="142">
        <f t="shared" si="29"/>
        <v>0</v>
      </c>
      <c r="BY18" s="110"/>
      <c r="BZ18" s="110"/>
      <c r="CA18" s="142">
        <f t="shared" si="30"/>
        <v>0</v>
      </c>
      <c r="CB18" s="142">
        <f t="shared" si="30"/>
        <v>0</v>
      </c>
      <c r="CC18" s="106"/>
      <c r="CD18" s="106"/>
      <c r="CE18" s="98">
        <f t="shared" si="31"/>
        <v>0</v>
      </c>
      <c r="CF18" s="107">
        <f t="shared" si="31"/>
        <v>0</v>
      </c>
      <c r="CG18" s="81"/>
      <c r="CH18" s="65">
        <f t="shared" si="32"/>
        <v>1290000</v>
      </c>
      <c r="CI18" s="74"/>
      <c r="CJ18" s="74"/>
      <c r="CK18" s="54">
        <v>550000</v>
      </c>
      <c r="CL18" s="74">
        <v>600000</v>
      </c>
      <c r="CM18" s="54">
        <v>140000</v>
      </c>
      <c r="CN18" s="74"/>
      <c r="CO18" s="74"/>
      <c r="CP18" s="90"/>
      <c r="CQ18" s="68">
        <v>0</v>
      </c>
      <c r="CR18" s="69">
        <f t="shared" si="33"/>
        <v>192.58109999999996</v>
      </c>
      <c r="CS18" s="69">
        <f t="shared" si="34"/>
        <v>393.25640000000004</v>
      </c>
      <c r="CT18" s="70">
        <f t="shared" si="0"/>
        <v>1294580.3137200002</v>
      </c>
      <c r="CU18" s="70">
        <f t="shared" si="1"/>
        <v>861977.50248000014</v>
      </c>
      <c r="CV18" s="70">
        <f t="shared" si="35"/>
        <v>4580.3137200002093</v>
      </c>
      <c r="CW18" s="55"/>
      <c r="CX18" s="118"/>
    </row>
    <row r="19" spans="1:102">
      <c r="A19" s="18"/>
      <c r="B19" s="94" t="s">
        <v>186</v>
      </c>
      <c r="C19" s="92" t="s">
        <v>187</v>
      </c>
      <c r="D19" s="102">
        <v>0</v>
      </c>
      <c r="E19" s="102">
        <v>0</v>
      </c>
      <c r="F19" s="98">
        <f t="shared" si="2"/>
        <v>0</v>
      </c>
      <c r="G19" s="98">
        <f t="shared" si="2"/>
        <v>0</v>
      </c>
      <c r="H19" s="110"/>
      <c r="I19" s="110"/>
      <c r="J19" s="98">
        <f t="shared" si="3"/>
        <v>0</v>
      </c>
      <c r="K19" s="98">
        <f t="shared" si="4"/>
        <v>0</v>
      </c>
      <c r="L19" s="103"/>
      <c r="M19" s="98">
        <f t="shared" si="5"/>
        <v>0</v>
      </c>
      <c r="N19" s="98">
        <v>0</v>
      </c>
      <c r="O19" s="98">
        <v>0</v>
      </c>
      <c r="P19" s="98">
        <f t="shared" si="6"/>
        <v>0</v>
      </c>
      <c r="Q19" s="98">
        <f t="shared" si="7"/>
        <v>0</v>
      </c>
      <c r="R19" s="103">
        <v>46.66</v>
      </c>
      <c r="S19" s="98">
        <f t="shared" si="8"/>
        <v>52.2592</v>
      </c>
      <c r="T19" s="103">
        <v>4.55</v>
      </c>
      <c r="U19" s="98">
        <v>6.56</v>
      </c>
      <c r="V19" s="98">
        <f t="shared" si="9"/>
        <v>5.1414999999999997</v>
      </c>
      <c r="W19" s="98">
        <f t="shared" si="10"/>
        <v>7.3472</v>
      </c>
      <c r="X19" s="120">
        <v>0</v>
      </c>
      <c r="Y19" s="120">
        <v>0</v>
      </c>
      <c r="Z19" s="110"/>
      <c r="AA19" s="121">
        <f t="shared" si="11"/>
        <v>0</v>
      </c>
      <c r="AB19" s="121">
        <f t="shared" si="12"/>
        <v>0</v>
      </c>
      <c r="AC19" s="110"/>
      <c r="AD19" s="110"/>
      <c r="AE19" s="121">
        <f t="shared" si="13"/>
        <v>0</v>
      </c>
      <c r="AF19" s="121">
        <f t="shared" si="13"/>
        <v>0</v>
      </c>
      <c r="AG19" s="98">
        <v>0</v>
      </c>
      <c r="AH19" s="98">
        <v>0</v>
      </c>
      <c r="AI19" s="98">
        <f t="shared" si="14"/>
        <v>0</v>
      </c>
      <c r="AJ19" s="98">
        <f t="shared" si="14"/>
        <v>0</v>
      </c>
      <c r="AK19" s="103">
        <v>45.99</v>
      </c>
      <c r="AL19" s="98">
        <v>72.83</v>
      </c>
      <c r="AM19" s="98">
        <f t="shared" si="15"/>
        <v>51.968699999999998</v>
      </c>
      <c r="AN19" s="98">
        <f t="shared" si="16"/>
        <v>81.569600000000008</v>
      </c>
      <c r="AO19" s="98"/>
      <c r="AP19" s="98"/>
      <c r="AQ19" s="131"/>
      <c r="AR19" s="131">
        <v>0</v>
      </c>
      <c r="AS19" s="99"/>
      <c r="AT19" s="98">
        <f t="shared" si="17"/>
        <v>0</v>
      </c>
      <c r="AU19" s="99">
        <v>30.5</v>
      </c>
      <c r="AV19" s="149">
        <f t="shared" si="18"/>
        <v>30.5</v>
      </c>
      <c r="AW19" s="98">
        <v>2.15</v>
      </c>
      <c r="AX19" s="98">
        <v>0.99</v>
      </c>
      <c r="AY19" s="101"/>
      <c r="AZ19" s="98">
        <f t="shared" si="19"/>
        <v>0</v>
      </c>
      <c r="BA19" s="98"/>
      <c r="BB19" s="98"/>
      <c r="BC19" s="99"/>
      <c r="BD19" s="99"/>
      <c r="BE19" s="98">
        <f t="shared" si="20"/>
        <v>0</v>
      </c>
      <c r="BF19" s="98">
        <f t="shared" si="21"/>
        <v>0</v>
      </c>
      <c r="BG19" s="99">
        <v>109.71</v>
      </c>
      <c r="BH19" s="99">
        <v>1.31</v>
      </c>
      <c r="BI19" s="98">
        <f t="shared" si="22"/>
        <v>122.87520000000001</v>
      </c>
      <c r="BJ19" s="98">
        <f t="shared" si="23"/>
        <v>1.4672000000000003</v>
      </c>
      <c r="BK19" s="100"/>
      <c r="BL19" s="100"/>
      <c r="BM19" s="98">
        <v>22.89</v>
      </c>
      <c r="BN19" s="98">
        <f t="shared" si="24"/>
        <v>21.534912000000006</v>
      </c>
      <c r="BO19" s="105">
        <v>0.83</v>
      </c>
      <c r="BP19" s="149">
        <f t="shared" si="25"/>
        <v>0.92960000000000009</v>
      </c>
      <c r="BQ19" s="112"/>
      <c r="BR19" s="112"/>
      <c r="BS19" s="104">
        <f t="shared" si="26"/>
        <v>0</v>
      </c>
      <c r="BT19" s="104">
        <f t="shared" si="27"/>
        <v>0</v>
      </c>
      <c r="BU19" s="105">
        <v>0</v>
      </c>
      <c r="BV19" s="105">
        <v>0</v>
      </c>
      <c r="BW19" s="142">
        <f t="shared" si="28"/>
        <v>0</v>
      </c>
      <c r="BX19" s="142">
        <f t="shared" si="29"/>
        <v>0</v>
      </c>
      <c r="BY19" s="110"/>
      <c r="BZ19" s="110"/>
      <c r="CA19" s="142">
        <f t="shared" si="30"/>
        <v>0</v>
      </c>
      <c r="CB19" s="142">
        <f t="shared" si="30"/>
        <v>0</v>
      </c>
      <c r="CC19" s="106"/>
      <c r="CD19" s="106"/>
      <c r="CE19" s="98">
        <f t="shared" si="31"/>
        <v>0</v>
      </c>
      <c r="CF19" s="107">
        <f t="shared" si="31"/>
        <v>0</v>
      </c>
      <c r="CG19" s="81"/>
      <c r="CH19" s="65">
        <f t="shared" si="32"/>
        <v>840000</v>
      </c>
      <c r="CI19" s="74"/>
      <c r="CJ19" s="74"/>
      <c r="CK19" s="54">
        <v>400000</v>
      </c>
      <c r="CL19" s="74">
        <v>220000</v>
      </c>
      <c r="CM19" s="54">
        <v>220000</v>
      </c>
      <c r="CN19" s="74"/>
      <c r="CO19" s="74">
        <v>0</v>
      </c>
      <c r="CP19" s="90"/>
      <c r="CQ19" s="68">
        <v>0</v>
      </c>
      <c r="CR19" s="69">
        <f t="shared" si="33"/>
        <v>59.260199999999998</v>
      </c>
      <c r="CS19" s="69">
        <f t="shared" si="34"/>
        <v>318.00571200000002</v>
      </c>
      <c r="CT19" s="70">
        <f t="shared" si="0"/>
        <v>833996.76379200001</v>
      </c>
      <c r="CU19" s="70">
        <f t="shared" si="1"/>
        <v>554655.35452800011</v>
      </c>
      <c r="CV19" s="70">
        <f t="shared" si="35"/>
        <v>-6003.2362079999875</v>
      </c>
      <c r="CW19" s="55"/>
      <c r="CX19" s="118"/>
    </row>
    <row r="20" spans="1:102">
      <c r="A20" s="18"/>
      <c r="B20" s="94" t="s">
        <v>193</v>
      </c>
      <c r="C20" s="92" t="s">
        <v>194</v>
      </c>
      <c r="D20" s="102">
        <v>0</v>
      </c>
      <c r="E20" s="102">
        <v>0</v>
      </c>
      <c r="F20" s="98">
        <f t="shared" si="2"/>
        <v>0</v>
      </c>
      <c r="G20" s="98">
        <f t="shared" si="2"/>
        <v>0</v>
      </c>
      <c r="H20" s="110"/>
      <c r="I20" s="110"/>
      <c r="J20" s="98">
        <f t="shared" si="3"/>
        <v>0</v>
      </c>
      <c r="K20" s="98">
        <f t="shared" si="4"/>
        <v>0</v>
      </c>
      <c r="L20" s="103"/>
      <c r="M20" s="98">
        <f t="shared" si="5"/>
        <v>0</v>
      </c>
      <c r="N20" s="98"/>
      <c r="O20" s="98"/>
      <c r="P20" s="98">
        <f t="shared" si="6"/>
        <v>0</v>
      </c>
      <c r="Q20" s="98">
        <f t="shared" si="7"/>
        <v>0</v>
      </c>
      <c r="R20" s="103">
        <v>673.63</v>
      </c>
      <c r="S20" s="98">
        <f t="shared" si="8"/>
        <v>754.46560000000011</v>
      </c>
      <c r="T20" s="103">
        <v>0</v>
      </c>
      <c r="U20" s="98">
        <v>0</v>
      </c>
      <c r="V20" s="98">
        <f t="shared" si="9"/>
        <v>0</v>
      </c>
      <c r="W20" s="98">
        <f t="shared" si="10"/>
        <v>0</v>
      </c>
      <c r="X20" s="120">
        <v>0</v>
      </c>
      <c r="Y20" s="120">
        <v>0</v>
      </c>
      <c r="Z20" s="110"/>
      <c r="AA20" s="121">
        <f t="shared" si="11"/>
        <v>0</v>
      </c>
      <c r="AB20" s="121">
        <f t="shared" si="12"/>
        <v>0</v>
      </c>
      <c r="AC20" s="110"/>
      <c r="AD20" s="110"/>
      <c r="AE20" s="121">
        <f t="shared" si="13"/>
        <v>0</v>
      </c>
      <c r="AF20" s="121">
        <f t="shared" si="13"/>
        <v>0</v>
      </c>
      <c r="AG20" s="98">
        <v>0</v>
      </c>
      <c r="AH20" s="98">
        <v>0</v>
      </c>
      <c r="AI20" s="98">
        <f t="shared" si="14"/>
        <v>0</v>
      </c>
      <c r="AJ20" s="98">
        <f t="shared" si="14"/>
        <v>0</v>
      </c>
      <c r="AK20" s="103">
        <v>175.64</v>
      </c>
      <c r="AL20" s="98">
        <v>532.70000000000005</v>
      </c>
      <c r="AM20" s="98">
        <f t="shared" si="15"/>
        <v>198.47319999999996</v>
      </c>
      <c r="AN20" s="98">
        <f t="shared" si="16"/>
        <v>596.62400000000014</v>
      </c>
      <c r="AO20" s="98"/>
      <c r="AP20" s="98"/>
      <c r="AQ20" s="131"/>
      <c r="AR20" s="131"/>
      <c r="AS20" s="99"/>
      <c r="AT20" s="98">
        <f t="shared" si="17"/>
        <v>0</v>
      </c>
      <c r="AU20" s="99"/>
      <c r="AV20" s="149">
        <f t="shared" si="18"/>
        <v>0</v>
      </c>
      <c r="AW20" s="98">
        <v>146.16999999999999</v>
      </c>
      <c r="AX20" s="98">
        <v>69.95</v>
      </c>
      <c r="AY20" s="101"/>
      <c r="AZ20" s="98">
        <f t="shared" si="19"/>
        <v>0</v>
      </c>
      <c r="BA20" s="98"/>
      <c r="BB20" s="98"/>
      <c r="BC20" s="99">
        <v>8</v>
      </c>
      <c r="BD20" s="99">
        <v>7</v>
      </c>
      <c r="BE20" s="98">
        <f t="shared" si="20"/>
        <v>6.5968</v>
      </c>
      <c r="BF20" s="98">
        <f t="shared" si="21"/>
        <v>5.5552000000000001</v>
      </c>
      <c r="BG20" s="99"/>
      <c r="BH20" s="99"/>
      <c r="BI20" s="98">
        <f t="shared" si="22"/>
        <v>0</v>
      </c>
      <c r="BJ20" s="98">
        <f t="shared" si="23"/>
        <v>0</v>
      </c>
      <c r="BK20" s="100"/>
      <c r="BL20" s="100"/>
      <c r="BM20" s="98">
        <v>157.52000000000001</v>
      </c>
      <c r="BN20" s="98">
        <f t="shared" si="24"/>
        <v>148.19481600000003</v>
      </c>
      <c r="BO20" s="105">
        <v>61.4</v>
      </c>
      <c r="BP20" s="149">
        <f t="shared" si="25"/>
        <v>68.768000000000001</v>
      </c>
      <c r="BQ20" s="112"/>
      <c r="BR20" s="112"/>
      <c r="BS20" s="104">
        <f t="shared" si="26"/>
        <v>0</v>
      </c>
      <c r="BT20" s="104">
        <f t="shared" si="27"/>
        <v>0</v>
      </c>
      <c r="BU20" s="105">
        <v>0</v>
      </c>
      <c r="BV20" s="105">
        <v>0</v>
      </c>
      <c r="BW20" s="142">
        <f t="shared" si="28"/>
        <v>0</v>
      </c>
      <c r="BX20" s="142">
        <f t="shared" si="29"/>
        <v>0</v>
      </c>
      <c r="BY20" s="110"/>
      <c r="BZ20" s="110"/>
      <c r="CA20" s="142">
        <f t="shared" si="30"/>
        <v>0</v>
      </c>
      <c r="CB20" s="142">
        <f t="shared" si="30"/>
        <v>0</v>
      </c>
      <c r="CC20" s="106"/>
      <c r="CD20" s="106"/>
      <c r="CE20" s="98">
        <f t="shared" si="31"/>
        <v>0</v>
      </c>
      <c r="CF20" s="107">
        <f t="shared" si="31"/>
        <v>0</v>
      </c>
      <c r="CG20" s="81"/>
      <c r="CH20" s="65">
        <f t="shared" si="32"/>
        <v>4390000</v>
      </c>
      <c r="CI20" s="74"/>
      <c r="CJ20" s="74"/>
      <c r="CK20" s="54">
        <v>2050000</v>
      </c>
      <c r="CL20" s="74"/>
      <c r="CM20" s="54">
        <v>2340000</v>
      </c>
      <c r="CN20" s="74"/>
      <c r="CO20" s="74"/>
      <c r="CP20" s="90"/>
      <c r="CQ20" s="68">
        <v>0</v>
      </c>
      <c r="CR20" s="69">
        <f t="shared" si="33"/>
        <v>351.23999999999995</v>
      </c>
      <c r="CS20" s="69">
        <f t="shared" si="34"/>
        <v>1643.5576160000005</v>
      </c>
      <c r="CT20" s="70">
        <f t="shared" si="0"/>
        <v>4389426.8127360009</v>
      </c>
      <c r="CU20" s="70">
        <f t="shared" si="1"/>
        <v>2926284.5418240009</v>
      </c>
      <c r="CV20" s="70">
        <f t="shared" si="35"/>
        <v>-573.1872639991343</v>
      </c>
      <c r="CW20" s="55"/>
      <c r="CX20" s="118"/>
    </row>
    <row r="21" spans="1:102">
      <c r="A21" s="171" t="s">
        <v>199</v>
      </c>
      <c r="B21" s="169" t="s">
        <v>200</v>
      </c>
      <c r="C21" s="170" t="s">
        <v>201</v>
      </c>
      <c r="D21" s="102">
        <v>0</v>
      </c>
      <c r="E21" s="102">
        <v>0</v>
      </c>
      <c r="F21" s="98">
        <f t="shared" si="2"/>
        <v>0</v>
      </c>
      <c r="G21" s="98">
        <f t="shared" si="2"/>
        <v>0</v>
      </c>
      <c r="H21" s="110">
        <v>15</v>
      </c>
      <c r="I21" s="110">
        <v>50</v>
      </c>
      <c r="J21" s="98">
        <f t="shared" si="3"/>
        <v>13.221</v>
      </c>
      <c r="K21" s="98">
        <f t="shared" si="4"/>
        <v>43.680000000000007</v>
      </c>
      <c r="L21" s="103">
        <v>41.34</v>
      </c>
      <c r="M21" s="98">
        <f>L21*C3</f>
        <v>46.30080000000001</v>
      </c>
      <c r="N21" s="98"/>
      <c r="O21" s="98"/>
      <c r="P21" s="98">
        <f t="shared" si="6"/>
        <v>0</v>
      </c>
      <c r="Q21" s="98">
        <f t="shared" si="7"/>
        <v>0</v>
      </c>
      <c r="R21" s="103">
        <v>31.97</v>
      </c>
      <c r="S21" s="98">
        <f t="shared" si="8"/>
        <v>35.806400000000004</v>
      </c>
      <c r="T21" s="103">
        <v>21.13</v>
      </c>
      <c r="U21" s="98">
        <v>6.6</v>
      </c>
      <c r="V21" s="98">
        <f t="shared" si="9"/>
        <v>23.876899999999996</v>
      </c>
      <c r="W21" s="98">
        <f t="shared" si="10"/>
        <v>7.3920000000000003</v>
      </c>
      <c r="X21" s="120">
        <v>51.9</v>
      </c>
      <c r="Y21" s="120">
        <v>0</v>
      </c>
      <c r="Z21" s="110"/>
      <c r="AA21" s="121">
        <f t="shared" si="11"/>
        <v>38.924999999999997</v>
      </c>
      <c r="AB21" s="121">
        <f t="shared" si="12"/>
        <v>0</v>
      </c>
      <c r="AC21" s="110"/>
      <c r="AD21" s="110"/>
      <c r="AE21" s="121">
        <f t="shared" si="13"/>
        <v>0</v>
      </c>
      <c r="AF21" s="121">
        <f t="shared" si="13"/>
        <v>0</v>
      </c>
      <c r="AG21" s="98">
        <v>0</v>
      </c>
      <c r="AH21" s="98">
        <v>0</v>
      </c>
      <c r="AI21" s="98">
        <f t="shared" si="14"/>
        <v>0</v>
      </c>
      <c r="AJ21" s="98">
        <f t="shared" si="14"/>
        <v>0</v>
      </c>
      <c r="AK21" s="103">
        <v>97.31</v>
      </c>
      <c r="AL21" s="98">
        <v>38.659999999999997</v>
      </c>
      <c r="AM21" s="98">
        <f t="shared" si="15"/>
        <v>109.96029999999999</v>
      </c>
      <c r="AN21" s="98">
        <f t="shared" si="16"/>
        <v>43.299199999999999</v>
      </c>
      <c r="AO21" s="98"/>
      <c r="AP21" s="98"/>
      <c r="AQ21" s="131"/>
      <c r="AR21" s="131"/>
      <c r="AS21" s="99"/>
      <c r="AT21" s="98">
        <f t="shared" si="17"/>
        <v>0</v>
      </c>
      <c r="AU21" s="99">
        <v>84.1</v>
      </c>
      <c r="AV21" s="149">
        <f t="shared" si="18"/>
        <v>84.1</v>
      </c>
      <c r="AW21" s="98">
        <v>16.43</v>
      </c>
      <c r="AX21" s="98">
        <v>84.95</v>
      </c>
      <c r="AY21" s="101"/>
      <c r="AZ21" s="98">
        <f t="shared" si="19"/>
        <v>0</v>
      </c>
      <c r="BA21" s="98"/>
      <c r="BB21" s="98"/>
      <c r="BC21" s="99"/>
      <c r="BD21" s="99"/>
      <c r="BE21" s="98">
        <f t="shared" si="20"/>
        <v>0</v>
      </c>
      <c r="BF21" s="98">
        <f t="shared" si="21"/>
        <v>0</v>
      </c>
      <c r="BG21" s="99"/>
      <c r="BH21" s="99"/>
      <c r="BI21" s="98">
        <f t="shared" si="22"/>
        <v>0</v>
      </c>
      <c r="BJ21" s="98">
        <f t="shared" si="23"/>
        <v>0</v>
      </c>
      <c r="BK21" s="100"/>
      <c r="BL21" s="100"/>
      <c r="BM21" s="98">
        <v>1.25</v>
      </c>
      <c r="BN21" s="98">
        <f t="shared" si="24"/>
        <v>1.1760000000000002</v>
      </c>
      <c r="BO21" s="105">
        <v>201.63</v>
      </c>
      <c r="BP21" s="149">
        <f t="shared" si="25"/>
        <v>225.82560000000001</v>
      </c>
      <c r="BQ21" s="112"/>
      <c r="BR21" s="112"/>
      <c r="BS21" s="104">
        <f t="shared" si="26"/>
        <v>0</v>
      </c>
      <c r="BT21" s="104">
        <f t="shared" si="27"/>
        <v>0</v>
      </c>
      <c r="BU21" s="105">
        <v>210.8</v>
      </c>
      <c r="BV21" s="105">
        <v>164.87</v>
      </c>
      <c r="BW21" s="142">
        <f t="shared" si="28"/>
        <v>278.25600000000003</v>
      </c>
      <c r="BX21" s="142">
        <f t="shared" si="29"/>
        <v>211.03360000000001</v>
      </c>
      <c r="BY21" s="110">
        <v>0</v>
      </c>
      <c r="BZ21" s="110">
        <v>0</v>
      </c>
      <c r="CA21" s="142">
        <f t="shared" si="30"/>
        <v>0</v>
      </c>
      <c r="CB21" s="142">
        <f t="shared" si="30"/>
        <v>0</v>
      </c>
      <c r="CC21" s="106"/>
      <c r="CD21" s="106"/>
      <c r="CE21" s="98">
        <f t="shared" si="31"/>
        <v>0</v>
      </c>
      <c r="CF21" s="107">
        <f t="shared" si="31"/>
        <v>0</v>
      </c>
      <c r="CG21" s="81"/>
      <c r="CH21" s="65">
        <f t="shared" si="32"/>
        <v>3263000</v>
      </c>
      <c r="CI21" s="74"/>
      <c r="CJ21" s="74"/>
      <c r="CK21" s="54">
        <v>1923000</v>
      </c>
      <c r="CL21" s="74"/>
      <c r="CM21" s="54">
        <v>1340000</v>
      </c>
      <c r="CN21" s="74"/>
      <c r="CO21" s="74"/>
      <c r="CP21" s="90"/>
      <c r="CQ21" s="68">
        <v>0</v>
      </c>
      <c r="CR21" s="69">
        <f>SUM(AO21,AQ21,F21,P21,BS21,AM21,AA21,AE21,J21,AI21,V21,BA21,BE21,CE21,AW21,CA21,BW21)</f>
        <v>480.66920000000005</v>
      </c>
      <c r="CS21" s="69">
        <f t="shared" si="34"/>
        <v>783.56360000000006</v>
      </c>
      <c r="CT21" s="70">
        <f>(((CR21*$A$2)+(CS21*$A$3))*0.7)+((BJ21*$A$3)*0.75)</f>
        <v>3253096.1080800002</v>
      </c>
      <c r="CU21" s="70">
        <f>((CR21*$A$2)+(CS21*$A$3))*0.3+((BJ21*$A$3)*0.25)</f>
        <v>1394184.04632</v>
      </c>
      <c r="CV21" s="70">
        <f t="shared" si="35"/>
        <v>-9903.8919199998491</v>
      </c>
      <c r="CW21" s="55"/>
      <c r="CX21" s="118"/>
    </row>
    <row r="22" spans="1:102">
      <c r="A22" s="18"/>
      <c r="B22" s="94" t="s">
        <v>202</v>
      </c>
      <c r="C22" s="92" t="s">
        <v>203</v>
      </c>
      <c r="D22" s="102">
        <v>0</v>
      </c>
      <c r="E22" s="102">
        <v>0</v>
      </c>
      <c r="F22" s="98">
        <f t="shared" si="2"/>
        <v>0</v>
      </c>
      <c r="G22" s="98">
        <f t="shared" si="2"/>
        <v>0</v>
      </c>
      <c r="H22" s="110"/>
      <c r="I22" s="110"/>
      <c r="J22" s="98">
        <f t="shared" si="3"/>
        <v>0</v>
      </c>
      <c r="K22" s="98">
        <f t="shared" si="4"/>
        <v>0</v>
      </c>
      <c r="L22" s="103"/>
      <c r="M22" s="98">
        <f t="shared" si="5"/>
        <v>0</v>
      </c>
      <c r="N22" s="98"/>
      <c r="O22" s="98"/>
      <c r="P22" s="98">
        <f t="shared" si="6"/>
        <v>0</v>
      </c>
      <c r="Q22" s="98">
        <f t="shared" si="7"/>
        <v>0</v>
      </c>
      <c r="R22" s="103">
        <v>0</v>
      </c>
      <c r="S22" s="98">
        <f t="shared" si="8"/>
        <v>0</v>
      </c>
      <c r="T22" s="103">
        <v>0</v>
      </c>
      <c r="U22" s="98">
        <v>0</v>
      </c>
      <c r="V22" s="98">
        <f t="shared" si="9"/>
        <v>0</v>
      </c>
      <c r="W22" s="98">
        <f t="shared" si="10"/>
        <v>0</v>
      </c>
      <c r="X22" s="120">
        <v>0</v>
      </c>
      <c r="Y22" s="120">
        <v>0</v>
      </c>
      <c r="Z22" s="110"/>
      <c r="AA22" s="121">
        <f t="shared" si="11"/>
        <v>0</v>
      </c>
      <c r="AB22" s="121">
        <f t="shared" si="12"/>
        <v>0</v>
      </c>
      <c r="AC22" s="110"/>
      <c r="AD22" s="110"/>
      <c r="AE22" s="121">
        <f t="shared" si="13"/>
        <v>0</v>
      </c>
      <c r="AF22" s="121">
        <f t="shared" si="13"/>
        <v>0</v>
      </c>
      <c r="AG22" s="98">
        <v>0</v>
      </c>
      <c r="AH22" s="98">
        <v>0</v>
      </c>
      <c r="AI22" s="98">
        <f t="shared" si="14"/>
        <v>0</v>
      </c>
      <c r="AJ22" s="98">
        <f t="shared" si="14"/>
        <v>0</v>
      </c>
      <c r="AK22" s="103"/>
      <c r="AL22" s="98"/>
      <c r="AM22" s="98">
        <f t="shared" si="15"/>
        <v>0</v>
      </c>
      <c r="AN22" s="98">
        <f t="shared" si="16"/>
        <v>0</v>
      </c>
      <c r="AO22" s="98"/>
      <c r="AP22" s="98"/>
      <c r="AQ22" s="131">
        <v>0</v>
      </c>
      <c r="AR22" s="131">
        <v>0</v>
      </c>
      <c r="AS22" s="99"/>
      <c r="AT22" s="98">
        <f t="shared" si="17"/>
        <v>0</v>
      </c>
      <c r="AU22" s="99"/>
      <c r="AV22" s="149">
        <f t="shared" si="18"/>
        <v>0</v>
      </c>
      <c r="AW22" s="98">
        <v>0</v>
      </c>
      <c r="AX22" s="98">
        <v>0</v>
      </c>
      <c r="AY22" s="101"/>
      <c r="AZ22" s="98">
        <f t="shared" si="19"/>
        <v>0</v>
      </c>
      <c r="BA22" s="98"/>
      <c r="BB22" s="98"/>
      <c r="BC22" s="99"/>
      <c r="BD22" s="99"/>
      <c r="BE22" s="98">
        <f t="shared" si="20"/>
        <v>0</v>
      </c>
      <c r="BF22" s="98">
        <f t="shared" si="21"/>
        <v>0</v>
      </c>
      <c r="BG22" s="99"/>
      <c r="BH22" s="99"/>
      <c r="BI22" s="98">
        <f t="shared" si="22"/>
        <v>0</v>
      </c>
      <c r="BJ22" s="98">
        <f t="shared" si="23"/>
        <v>0</v>
      </c>
      <c r="BK22" s="100"/>
      <c r="BL22" s="100"/>
      <c r="BM22" s="98">
        <v>0</v>
      </c>
      <c r="BN22" s="98">
        <f t="shared" si="24"/>
        <v>0</v>
      </c>
      <c r="BO22" s="105">
        <v>0</v>
      </c>
      <c r="BP22" s="149">
        <f t="shared" si="25"/>
        <v>0</v>
      </c>
      <c r="BQ22" s="112"/>
      <c r="BR22" s="112"/>
      <c r="BS22" s="104">
        <f t="shared" si="26"/>
        <v>0</v>
      </c>
      <c r="BT22" s="104">
        <f t="shared" si="27"/>
        <v>0</v>
      </c>
      <c r="BU22" s="105">
        <v>0</v>
      </c>
      <c r="BV22" s="105">
        <v>0</v>
      </c>
      <c r="BW22" s="142">
        <f t="shared" si="28"/>
        <v>0</v>
      </c>
      <c r="BX22" s="142">
        <f t="shared" si="29"/>
        <v>0</v>
      </c>
      <c r="BY22" s="110"/>
      <c r="BZ22" s="110"/>
      <c r="CA22" s="142">
        <f t="shared" si="30"/>
        <v>0</v>
      </c>
      <c r="CB22" s="142">
        <f t="shared" si="30"/>
        <v>0</v>
      </c>
      <c r="CC22" s="106"/>
      <c r="CD22" s="106"/>
      <c r="CE22" s="98">
        <f t="shared" si="31"/>
        <v>0</v>
      </c>
      <c r="CF22" s="107">
        <f t="shared" si="31"/>
        <v>0</v>
      </c>
      <c r="CG22" s="81"/>
      <c r="CH22" s="65">
        <f t="shared" si="32"/>
        <v>0</v>
      </c>
      <c r="CI22" s="74"/>
      <c r="CJ22" s="74"/>
      <c r="CK22" s="54"/>
      <c r="CL22" s="74"/>
      <c r="CM22" s="54"/>
      <c r="CN22" s="74"/>
      <c r="CO22" s="74"/>
      <c r="CP22" s="90"/>
      <c r="CQ22" s="68">
        <v>0</v>
      </c>
      <c r="CR22" s="69">
        <f t="shared" ref="CR22" si="36">SUM(AO22,AQ22,F22,P22,BS22,AM22,AA22,AE22,J22,AI22,V22,BA22,BE22,CE22,AW22,CA22,BW22)</f>
        <v>0</v>
      </c>
      <c r="CS22" s="69">
        <f>SUM(AP22,AR22,G22,Q22,BN22,AZ22,M22,BT22,AN22,S22,AB22,AF22,K22,AJ22,BI22,W22,BB22,BF22,CF22,BP22,BL22,CG22,AT22,AV22,AX22,CB22,BX22)</f>
        <v>0</v>
      </c>
      <c r="CT22" s="70">
        <f t="shared" ref="CT22" si="37">(((CR22*$A$2)+(CS22*$A$3))*0.6)+((BJ22*$A$3)*0.75)</f>
        <v>0</v>
      </c>
      <c r="CU22" s="70">
        <f t="shared" ref="CU22" si="38">((CR22*$A$2)+(CS22*$A$3))*0.4+((BJ22*$A$3)*0.25)</f>
        <v>0</v>
      </c>
      <c r="CV22" s="70">
        <f t="shared" si="35"/>
        <v>0</v>
      </c>
      <c r="CW22" s="55"/>
      <c r="CX22" s="118"/>
    </row>
    <row r="23" spans="1:102">
      <c r="A23" s="18"/>
      <c r="B23" s="94" t="s">
        <v>206</v>
      </c>
      <c r="C23" s="92" t="s">
        <v>207</v>
      </c>
      <c r="D23" s="102">
        <v>0</v>
      </c>
      <c r="E23" s="102">
        <v>0</v>
      </c>
      <c r="F23" s="98">
        <f>SUM((D23*2)*0.3)</f>
        <v>0</v>
      </c>
      <c r="G23" s="98">
        <f>SUM((E23*2)*0.3)</f>
        <v>0</v>
      </c>
      <c r="H23" s="110"/>
      <c r="I23" s="110"/>
      <c r="J23" s="98">
        <f>SUM(H23*0.78)*$C$2</f>
        <v>0</v>
      </c>
      <c r="K23" s="98">
        <f>SUM(I23*0.78)*$C$3</f>
        <v>0</v>
      </c>
      <c r="L23" s="103"/>
      <c r="M23" s="98">
        <f>L23</f>
        <v>0</v>
      </c>
      <c r="N23" s="98"/>
      <c r="O23" s="98"/>
      <c r="P23" s="98">
        <f>N23*$C$2</f>
        <v>0</v>
      </c>
      <c r="Q23" s="98">
        <f>O23*$C$3</f>
        <v>0</v>
      </c>
      <c r="R23" s="103">
        <v>105.92</v>
      </c>
      <c r="S23" s="98">
        <f>R23*$C$3</f>
        <v>118.63040000000001</v>
      </c>
      <c r="T23" s="108"/>
      <c r="U23" s="99"/>
      <c r="V23" s="98">
        <f>SUM(T23*($C$2))</f>
        <v>0</v>
      </c>
      <c r="W23" s="98">
        <f>SUM(U23*($C$3))</f>
        <v>0</v>
      </c>
      <c r="X23" s="120">
        <v>0</v>
      </c>
      <c r="Y23" s="120">
        <v>0</v>
      </c>
      <c r="Z23" s="110"/>
      <c r="AA23" s="121">
        <f>SUM(X23*0.75)+(Z23*0.75)</f>
        <v>0</v>
      </c>
      <c r="AB23" s="121">
        <f>(Y23*0.75)+(Z23*0.75)</f>
        <v>0</v>
      </c>
      <c r="AC23" s="110"/>
      <c r="AD23" s="110"/>
      <c r="AE23" s="121">
        <f>AC23*0.75</f>
        <v>0</v>
      </c>
      <c r="AF23" s="121">
        <f>AD23*0.75</f>
        <v>0</v>
      </c>
      <c r="AG23" s="98">
        <v>0</v>
      </c>
      <c r="AH23" s="98">
        <v>0</v>
      </c>
      <c r="AI23" s="98">
        <f>AG23*0.75</f>
        <v>0</v>
      </c>
      <c r="AJ23" s="98">
        <f>AH23*0.75</f>
        <v>0</v>
      </c>
      <c r="AK23" s="103">
        <v>61.96</v>
      </c>
      <c r="AL23" s="98">
        <v>26.43</v>
      </c>
      <c r="AM23" s="98">
        <f>AK23*$C$2</f>
        <v>70.014799999999994</v>
      </c>
      <c r="AN23" s="98">
        <f>AL23*$C$3</f>
        <v>29.601600000000001</v>
      </c>
      <c r="AO23" s="98"/>
      <c r="AP23" s="98"/>
      <c r="AQ23" s="131"/>
      <c r="AR23" s="131"/>
      <c r="AS23" s="99"/>
      <c r="AT23" s="98">
        <f>AS23*$C$3</f>
        <v>0</v>
      </c>
      <c r="AU23" s="99"/>
      <c r="AV23" s="149">
        <f t="shared" si="18"/>
        <v>0</v>
      </c>
      <c r="AW23" s="98">
        <v>23.16</v>
      </c>
      <c r="AX23" s="98">
        <v>12.04</v>
      </c>
      <c r="AY23" s="101"/>
      <c r="AZ23" s="98">
        <f>AY23*$D$2</f>
        <v>0</v>
      </c>
      <c r="BA23" s="98"/>
      <c r="BB23" s="98"/>
      <c r="BC23" s="99"/>
      <c r="BD23" s="99"/>
      <c r="BE23" s="98">
        <f>SUM(BC23*0.62)*$B$2</f>
        <v>0</v>
      </c>
      <c r="BF23" s="98">
        <f>SUM(BD23*0.62)*$B$3</f>
        <v>0</v>
      </c>
      <c r="BG23" s="99">
        <v>235.05</v>
      </c>
      <c r="BH23" s="99">
        <v>0</v>
      </c>
      <c r="BI23" s="98">
        <f>(BG23*$C$3)</f>
        <v>263.25600000000003</v>
      </c>
      <c r="BJ23" s="98">
        <f>BH23*$C$3</f>
        <v>0</v>
      </c>
      <c r="BK23" s="100"/>
      <c r="BL23" s="100"/>
      <c r="BM23" s="98"/>
      <c r="BN23" s="98">
        <f t="shared" si="24"/>
        <v>0</v>
      </c>
      <c r="BO23" s="105">
        <v>68.09</v>
      </c>
      <c r="BP23" s="149">
        <f>BO23*$C$3</f>
        <v>76.260800000000017</v>
      </c>
      <c r="BQ23" s="112"/>
      <c r="BR23" s="112"/>
      <c r="BS23" s="104">
        <f>(BQ23/$D$2)*$C$2</f>
        <v>0</v>
      </c>
      <c r="BT23" s="104">
        <f>(BR23/$D$3)*$C$3</f>
        <v>0</v>
      </c>
      <c r="BU23" s="105">
        <v>0</v>
      </c>
      <c r="BV23" s="105">
        <v>0</v>
      </c>
      <c r="BW23" s="142">
        <f>BU23*$E$2</f>
        <v>0</v>
      </c>
      <c r="BX23" s="142">
        <f>BV23*$E$3</f>
        <v>0</v>
      </c>
      <c r="BY23" s="110"/>
      <c r="BZ23" s="110"/>
      <c r="CA23" s="142">
        <f>BY23/2</f>
        <v>0</v>
      </c>
      <c r="CB23" s="142">
        <f>BZ23/2</f>
        <v>0</v>
      </c>
      <c r="CC23" s="106"/>
      <c r="CD23" s="106"/>
      <c r="CE23" s="98">
        <f>CC23*0.05</f>
        <v>0</v>
      </c>
      <c r="CF23" s="107">
        <f>CD23*0.05</f>
        <v>0</v>
      </c>
      <c r="CG23" s="81"/>
      <c r="CH23" s="65">
        <f>SUM(CI23:CO23)</f>
        <v>1310000</v>
      </c>
      <c r="CI23" s="133"/>
      <c r="CJ23" s="133"/>
      <c r="CK23" s="54">
        <v>470000</v>
      </c>
      <c r="CL23" s="133"/>
      <c r="CM23" s="54">
        <v>840000</v>
      </c>
      <c r="CN23" s="133"/>
      <c r="CO23" s="133"/>
      <c r="CP23" s="69"/>
      <c r="CQ23" s="68">
        <v>0</v>
      </c>
      <c r="CR23" s="69">
        <f>SUM(AO23,AQ23,F23,P23,BS23,AM23,AA23,AE23,J23,AI23,V23,BA23,BE23,CE23,AW23,CA23,BW23)</f>
        <v>93.174799999999991</v>
      </c>
      <c r="CS23" s="69">
        <f>SUM(AP23,AR23,G23,Q23,BN23,AZ23,M23,BT23,AN23,S23,AB23,AF23,K23,AJ23,BI23,W23,BB23,BF23,CF23,BP23,BL23,CG23,AT23,AV23,AX23,CB23,BX23)</f>
        <v>499.78880000000009</v>
      </c>
      <c r="CT23" s="70">
        <f>(((CR23*$A$2)+(CS23*$A$3))*0.6)+((BJ23*$A$3)*0.75)</f>
        <v>1304496.0705600001</v>
      </c>
      <c r="CU23" s="70">
        <f>((CR23*$A$2)+(CS23*$A$3))*0.4+((BJ23*$A$3)*0.25)</f>
        <v>869664.04704000021</v>
      </c>
      <c r="CV23" s="70">
        <f>CT23-CH23</f>
        <v>-5503.9294399998616</v>
      </c>
      <c r="CW23" s="55"/>
      <c r="CX23" s="118"/>
    </row>
    <row r="24" spans="1:102">
      <c r="A24" s="18"/>
      <c r="B24" s="94"/>
      <c r="C24" s="92"/>
      <c r="D24" s="102">
        <v>0</v>
      </c>
      <c r="E24" s="102">
        <v>0</v>
      </c>
      <c r="F24" s="98">
        <f t="shared" ref="F24:G25" si="39">SUM((D24*2)*0.3)</f>
        <v>0</v>
      </c>
      <c r="G24" s="98">
        <f t="shared" si="39"/>
        <v>0</v>
      </c>
      <c r="H24" s="110"/>
      <c r="I24" s="110"/>
      <c r="J24" s="98">
        <f t="shared" ref="J24" si="40">SUM(H24*0.78)*$C$2</f>
        <v>0</v>
      </c>
      <c r="K24" s="98">
        <f t="shared" ref="K24" si="41">SUM(I24*0.78)*$C$3</f>
        <v>0</v>
      </c>
      <c r="L24" s="103">
        <v>0</v>
      </c>
      <c r="M24" s="98">
        <f t="shared" ref="M24" si="42">L24</f>
        <v>0</v>
      </c>
      <c r="N24" s="98"/>
      <c r="O24" s="98"/>
      <c r="P24" s="98">
        <f t="shared" ref="P24" si="43">N24*$C$2</f>
        <v>0</v>
      </c>
      <c r="Q24" s="98">
        <f t="shared" ref="Q24" si="44">O24*$C$3</f>
        <v>0</v>
      </c>
      <c r="R24" s="103">
        <v>0</v>
      </c>
      <c r="S24" s="98">
        <f t="shared" ref="S24" si="45">R24*$C$3</f>
        <v>0</v>
      </c>
      <c r="T24" s="108">
        <v>0</v>
      </c>
      <c r="U24" s="99">
        <v>0</v>
      </c>
      <c r="V24" s="98">
        <f t="shared" ref="V24" si="46">SUM(T24*($C$2))</f>
        <v>0</v>
      </c>
      <c r="W24" s="98">
        <f t="shared" ref="W24" si="47">SUM(U24*($C$3))</f>
        <v>0</v>
      </c>
      <c r="X24" s="120">
        <v>0</v>
      </c>
      <c r="Y24" s="120">
        <v>0</v>
      </c>
      <c r="Z24" s="110"/>
      <c r="AA24" s="121">
        <f t="shared" ref="AA24" si="48">SUM(X24*0.75)+(Z24*0.75)</f>
        <v>0</v>
      </c>
      <c r="AB24" s="121">
        <f t="shared" ref="AB24" si="49">(Y24*0.75)+(Z24*0.75)</f>
        <v>0</v>
      </c>
      <c r="AC24" s="110"/>
      <c r="AD24" s="110"/>
      <c r="AE24" s="121">
        <f t="shared" ref="AE24:AF24" si="50">AC24*0.75</f>
        <v>0</v>
      </c>
      <c r="AF24" s="121">
        <f t="shared" si="50"/>
        <v>0</v>
      </c>
      <c r="AG24" s="98">
        <v>0</v>
      </c>
      <c r="AH24" s="98">
        <v>0</v>
      </c>
      <c r="AI24" s="98">
        <f t="shared" ref="AI24:AJ24" si="51">AG24*0.75</f>
        <v>0</v>
      </c>
      <c r="AJ24" s="98">
        <f t="shared" si="51"/>
        <v>0</v>
      </c>
      <c r="AK24" s="103">
        <v>0</v>
      </c>
      <c r="AL24" s="98">
        <v>0</v>
      </c>
      <c r="AM24" s="98">
        <f t="shared" ref="AM24" si="52">AK24*$C$2</f>
        <v>0</v>
      </c>
      <c r="AN24" s="98">
        <f t="shared" ref="AN24" si="53">AL24*$C$3</f>
        <v>0</v>
      </c>
      <c r="AO24" s="98"/>
      <c r="AP24" s="98"/>
      <c r="AQ24" s="131"/>
      <c r="AR24" s="131"/>
      <c r="AS24" s="99"/>
      <c r="AT24" s="98">
        <f t="shared" ref="AT24" si="54">AS24*$C$3</f>
        <v>0</v>
      </c>
      <c r="AU24" s="99"/>
      <c r="AV24" s="149">
        <f t="shared" si="18"/>
        <v>0</v>
      </c>
      <c r="AW24" s="98">
        <v>0</v>
      </c>
      <c r="AX24" s="98">
        <v>0</v>
      </c>
      <c r="AY24" s="101"/>
      <c r="AZ24" s="98">
        <f t="shared" ref="AZ24" si="55">AY24*$D$2</f>
        <v>0</v>
      </c>
      <c r="BA24" s="98"/>
      <c r="BB24" s="98"/>
      <c r="BC24" s="99"/>
      <c r="BD24" s="99"/>
      <c r="BE24" s="98">
        <f t="shared" ref="BE24" si="56">SUM(BC24*0.62)*$B$2</f>
        <v>0</v>
      </c>
      <c r="BF24" s="98">
        <f t="shared" ref="BF24" si="57">SUM(BD24*0.62)*$B$3</f>
        <v>0</v>
      </c>
      <c r="BG24" s="99"/>
      <c r="BH24" s="99"/>
      <c r="BI24" s="98">
        <f t="shared" ref="BI24" si="58">(BG24*$C$3)</f>
        <v>0</v>
      </c>
      <c r="BJ24" s="98">
        <f t="shared" ref="BJ24" si="59">BH24*$C$3</f>
        <v>0</v>
      </c>
      <c r="BK24" s="100"/>
      <c r="BL24" s="100"/>
      <c r="BM24" s="98"/>
      <c r="BN24" s="98">
        <f t="shared" si="24"/>
        <v>0</v>
      </c>
      <c r="BO24" s="105">
        <v>0</v>
      </c>
      <c r="BP24" s="149">
        <f t="shared" ref="BP24" si="60">BO24*$C$3</f>
        <v>0</v>
      </c>
      <c r="BQ24" s="112"/>
      <c r="BR24" s="112"/>
      <c r="BS24" s="104">
        <f t="shared" ref="BS24" si="61">(BQ24/$D$2)*$C$2</f>
        <v>0</v>
      </c>
      <c r="BT24" s="104">
        <f t="shared" ref="BT24" si="62">(BR24/$D$3)*$C$3</f>
        <v>0</v>
      </c>
      <c r="BU24" s="105">
        <v>0</v>
      </c>
      <c r="BV24" s="105">
        <v>0</v>
      </c>
      <c r="BW24" s="142">
        <f t="shared" ref="BW24" si="63">BU24*$E$2</f>
        <v>0</v>
      </c>
      <c r="BX24" s="142">
        <f t="shared" ref="BX24" si="64">BV24*$E$3</f>
        <v>0</v>
      </c>
      <c r="BY24" s="110"/>
      <c r="BZ24" s="110"/>
      <c r="CA24" s="142">
        <f t="shared" ref="CA24:CB24" si="65">BY24/2</f>
        <v>0</v>
      </c>
      <c r="CB24" s="142">
        <f t="shared" si="65"/>
        <v>0</v>
      </c>
      <c r="CC24" s="106"/>
      <c r="CD24" s="106"/>
      <c r="CE24" s="98">
        <f t="shared" ref="CE24:CF24" si="66">CC24*0.05</f>
        <v>0</v>
      </c>
      <c r="CF24" s="107">
        <f t="shared" si="66"/>
        <v>0</v>
      </c>
      <c r="CG24" s="81"/>
      <c r="CH24" s="65">
        <f t="shared" ref="CH24" si="67">SUM(CI24:CO24)</f>
        <v>0</v>
      </c>
      <c r="CI24" s="74"/>
      <c r="CJ24" s="74"/>
      <c r="CK24" s="54"/>
      <c r="CL24" s="74"/>
      <c r="CM24" s="54"/>
      <c r="CN24" s="74"/>
      <c r="CO24" s="74"/>
      <c r="CP24" s="90"/>
      <c r="CQ24" s="68">
        <v>0</v>
      </c>
      <c r="CR24" s="69">
        <f t="shared" ref="CR24" si="68">SUM(AO24,AQ24,F24,P24,BS24,AM24,AA24,AE24,J24,AI24,V24,BA24,BE24,CE24,AW24,CA24,BW24)</f>
        <v>0</v>
      </c>
      <c r="CS24" s="69">
        <f>SUM(AP24,AR24,G24,Q24,BN24,AZ24,M24,BT24,AN24,S24,AB24,AF24,K24,AJ24,BI24,W24,BB24,BF24,CF24,BP24,BL24,CG24,AT24,AV24,AX24,CB24,BX24)</f>
        <v>0</v>
      </c>
      <c r="CT24" s="70">
        <f t="shared" ref="CT24" si="69">(((CR24*$A$2)+(CS24*$A$3))*0.6)+((BJ24*$A$3)*0.75)</f>
        <v>0</v>
      </c>
      <c r="CU24" s="70">
        <f t="shared" ref="CU24" si="70">((CR24*$A$2)+(CS24*$A$3))*0.4+((BJ24*$A$3)*0.25)</f>
        <v>0</v>
      </c>
      <c r="CV24" s="70">
        <f t="shared" ref="CV24" si="71">CT24-CH24</f>
        <v>0</v>
      </c>
      <c r="CW24" s="55"/>
      <c r="CX24" s="118"/>
    </row>
    <row r="25" spans="1:102">
      <c r="A25" s="18"/>
      <c r="B25" s="94"/>
      <c r="C25" s="92"/>
      <c r="D25" s="102">
        <v>0</v>
      </c>
      <c r="E25" s="102">
        <v>0</v>
      </c>
      <c r="F25" s="98">
        <f t="shared" si="39"/>
        <v>0</v>
      </c>
      <c r="G25" s="98">
        <f t="shared" si="39"/>
        <v>0</v>
      </c>
      <c r="H25" s="110"/>
      <c r="I25" s="110"/>
      <c r="J25" s="98">
        <f t="shared" si="3"/>
        <v>0</v>
      </c>
      <c r="K25" s="98">
        <f t="shared" si="4"/>
        <v>0</v>
      </c>
      <c r="L25" s="103">
        <v>0</v>
      </c>
      <c r="M25" s="98">
        <f t="shared" si="5"/>
        <v>0</v>
      </c>
      <c r="N25" s="98"/>
      <c r="O25" s="98"/>
      <c r="P25" s="98">
        <f t="shared" si="6"/>
        <v>0</v>
      </c>
      <c r="Q25" s="98">
        <f t="shared" si="7"/>
        <v>0</v>
      </c>
      <c r="R25" s="103">
        <v>0</v>
      </c>
      <c r="S25" s="98">
        <f t="shared" si="8"/>
        <v>0</v>
      </c>
      <c r="T25" s="108">
        <v>0</v>
      </c>
      <c r="U25" s="99">
        <v>0</v>
      </c>
      <c r="V25" s="98">
        <f t="shared" si="9"/>
        <v>0</v>
      </c>
      <c r="W25" s="98">
        <f t="shared" si="10"/>
        <v>0</v>
      </c>
      <c r="X25" s="120">
        <v>0</v>
      </c>
      <c r="Y25" s="120">
        <v>0</v>
      </c>
      <c r="Z25" s="110"/>
      <c r="AA25" s="121">
        <f t="shared" si="11"/>
        <v>0</v>
      </c>
      <c r="AB25" s="121">
        <f t="shared" si="12"/>
        <v>0</v>
      </c>
      <c r="AC25" s="110"/>
      <c r="AD25" s="110"/>
      <c r="AE25" s="121">
        <f t="shared" si="13"/>
        <v>0</v>
      </c>
      <c r="AF25" s="121">
        <f t="shared" si="13"/>
        <v>0</v>
      </c>
      <c r="AG25" s="98">
        <v>0</v>
      </c>
      <c r="AH25" s="98">
        <v>0</v>
      </c>
      <c r="AI25" s="98">
        <f t="shared" si="14"/>
        <v>0</v>
      </c>
      <c r="AJ25" s="98">
        <f t="shared" si="14"/>
        <v>0</v>
      </c>
      <c r="AK25" s="103"/>
      <c r="AL25" s="98"/>
      <c r="AM25" s="98">
        <f t="shared" si="15"/>
        <v>0</v>
      </c>
      <c r="AN25" s="98">
        <f t="shared" si="16"/>
        <v>0</v>
      </c>
      <c r="AO25" s="98"/>
      <c r="AP25" s="98"/>
      <c r="AQ25" s="131"/>
      <c r="AR25" s="131"/>
      <c r="AS25" s="99"/>
      <c r="AT25" s="98">
        <f t="shared" si="17"/>
        <v>0</v>
      </c>
      <c r="AU25" s="99"/>
      <c r="AV25" s="149">
        <f t="shared" si="18"/>
        <v>0</v>
      </c>
      <c r="AW25" s="99">
        <v>0</v>
      </c>
      <c r="AX25" s="99">
        <v>0</v>
      </c>
      <c r="AY25" s="101"/>
      <c r="AZ25" s="98">
        <f t="shared" si="19"/>
        <v>0</v>
      </c>
      <c r="BA25" s="98">
        <v>0</v>
      </c>
      <c r="BB25" s="98"/>
      <c r="BC25" s="99"/>
      <c r="BD25" s="99"/>
      <c r="BE25" s="98">
        <f t="shared" si="20"/>
        <v>0</v>
      </c>
      <c r="BF25" s="98">
        <f t="shared" si="21"/>
        <v>0</v>
      </c>
      <c r="BG25" s="99"/>
      <c r="BH25" s="99"/>
      <c r="BI25" s="98">
        <f t="shared" si="22"/>
        <v>0</v>
      </c>
      <c r="BJ25" s="98">
        <f t="shared" si="23"/>
        <v>0</v>
      </c>
      <c r="BK25" s="100"/>
      <c r="BL25" s="100"/>
      <c r="BM25" s="98"/>
      <c r="BN25" s="98">
        <f t="shared" si="24"/>
        <v>0</v>
      </c>
      <c r="BO25" s="105">
        <v>0</v>
      </c>
      <c r="BP25" s="149">
        <f t="shared" si="25"/>
        <v>0</v>
      </c>
      <c r="BQ25" s="112"/>
      <c r="BR25" s="112"/>
      <c r="BS25" s="104">
        <f t="shared" si="26"/>
        <v>0</v>
      </c>
      <c r="BT25" s="104">
        <f t="shared" si="27"/>
        <v>0</v>
      </c>
      <c r="BU25" s="105">
        <v>0</v>
      </c>
      <c r="BV25" s="105">
        <v>0</v>
      </c>
      <c r="BW25" s="142">
        <f t="shared" si="28"/>
        <v>0</v>
      </c>
      <c r="BX25" s="142">
        <f t="shared" si="29"/>
        <v>0</v>
      </c>
      <c r="BY25" s="110"/>
      <c r="BZ25" s="110"/>
      <c r="CA25" s="142">
        <f t="shared" si="30"/>
        <v>0</v>
      </c>
      <c r="CB25" s="142">
        <f t="shared" si="30"/>
        <v>0</v>
      </c>
      <c r="CC25" s="106"/>
      <c r="CD25" s="106"/>
      <c r="CE25" s="98">
        <f t="shared" si="31"/>
        <v>0</v>
      </c>
      <c r="CF25" s="107">
        <f t="shared" si="31"/>
        <v>0</v>
      </c>
      <c r="CG25" s="81"/>
      <c r="CH25" s="65">
        <f t="shared" si="32"/>
        <v>0</v>
      </c>
      <c r="CI25" s="74"/>
      <c r="CJ25" s="74"/>
      <c r="CK25" s="54"/>
      <c r="CL25" s="74"/>
      <c r="CM25" s="54"/>
      <c r="CN25" s="74"/>
      <c r="CO25" s="74"/>
      <c r="CP25" s="90"/>
      <c r="CQ25" s="68">
        <v>0</v>
      </c>
      <c r="CR25" s="69">
        <f t="shared" si="33"/>
        <v>0</v>
      </c>
      <c r="CS25" s="69">
        <f>SUM(AP25,AR25,G25,Q25,BN25,AZ25,M25,BT25,AN25,S25,AB25,AF25,K25,AJ25,BI25,W25,BB25,BF25,CF25,BP25,BL25,CG25,AT25,AV25,AX25,CB25,BX25)</f>
        <v>0</v>
      </c>
      <c r="CT25" s="70">
        <f t="shared" si="0"/>
        <v>0</v>
      </c>
      <c r="CU25" s="70">
        <f t="shared" si="1"/>
        <v>0</v>
      </c>
      <c r="CV25" s="70">
        <f t="shared" si="35"/>
        <v>0</v>
      </c>
      <c r="CW25" s="55"/>
      <c r="CX25" s="118"/>
    </row>
    <row r="26" spans="1:102" s="5" customFormat="1" ht="44.25" customHeight="1">
      <c r="A26" s="19"/>
      <c r="B26" s="38"/>
      <c r="C26" s="20" t="s">
        <v>172</v>
      </c>
      <c r="D26" s="77">
        <f t="shared" ref="D26:BO26" si="72">SUM(D7:D25)</f>
        <v>13.8</v>
      </c>
      <c r="E26" s="77">
        <f t="shared" si="72"/>
        <v>74.14</v>
      </c>
      <c r="F26" s="77">
        <f t="shared" si="72"/>
        <v>8.2800000000000011</v>
      </c>
      <c r="G26" s="77">
        <f t="shared" si="72"/>
        <v>44.483999999999995</v>
      </c>
      <c r="H26" s="77">
        <f t="shared" si="72"/>
        <v>90</v>
      </c>
      <c r="I26" s="77">
        <f t="shared" si="72"/>
        <v>65</v>
      </c>
      <c r="J26" s="77">
        <f t="shared" si="72"/>
        <v>79.325999999999993</v>
      </c>
      <c r="K26" s="77">
        <f t="shared" si="72"/>
        <v>56.784000000000006</v>
      </c>
      <c r="L26" s="77">
        <f t="shared" si="72"/>
        <v>349.98</v>
      </c>
      <c r="M26" s="77">
        <f t="shared" si="72"/>
        <v>354.94079999999997</v>
      </c>
      <c r="N26" s="77">
        <f t="shared" si="72"/>
        <v>71.740000000000009</v>
      </c>
      <c r="O26" s="77">
        <f t="shared" si="72"/>
        <v>42.82</v>
      </c>
      <c r="P26" s="77">
        <f t="shared" si="72"/>
        <v>81.066199999999995</v>
      </c>
      <c r="Q26" s="77">
        <f t="shared" si="72"/>
        <v>47.958400000000005</v>
      </c>
      <c r="R26" s="77">
        <f t="shared" si="72"/>
        <v>1325.89</v>
      </c>
      <c r="S26" s="77">
        <f t="shared" si="72"/>
        <v>1484.9968000000001</v>
      </c>
      <c r="T26" s="77">
        <f t="shared" si="72"/>
        <v>250.57999999999998</v>
      </c>
      <c r="U26" s="77">
        <f t="shared" si="72"/>
        <v>182.59</v>
      </c>
      <c r="V26" s="77">
        <f t="shared" si="72"/>
        <v>283.15539999999999</v>
      </c>
      <c r="W26" s="77">
        <f t="shared" si="72"/>
        <v>204.50080000000003</v>
      </c>
      <c r="X26" s="77">
        <f t="shared" si="72"/>
        <v>571.29999999999995</v>
      </c>
      <c r="Y26" s="77">
        <f t="shared" si="72"/>
        <v>236.4</v>
      </c>
      <c r="Z26" s="77">
        <f t="shared" si="72"/>
        <v>0</v>
      </c>
      <c r="AA26" s="77">
        <f t="shared" si="72"/>
        <v>428.47500000000002</v>
      </c>
      <c r="AB26" s="77">
        <f t="shared" si="72"/>
        <v>177.3</v>
      </c>
      <c r="AC26" s="77">
        <f t="shared" si="72"/>
        <v>0</v>
      </c>
      <c r="AD26" s="77">
        <f t="shared" si="72"/>
        <v>0</v>
      </c>
      <c r="AE26" s="77">
        <f t="shared" si="72"/>
        <v>0</v>
      </c>
      <c r="AF26" s="77">
        <f t="shared" si="72"/>
        <v>0</v>
      </c>
      <c r="AG26" s="77">
        <f t="shared" si="72"/>
        <v>0</v>
      </c>
      <c r="AH26" s="77">
        <f t="shared" si="72"/>
        <v>0</v>
      </c>
      <c r="AI26" s="77">
        <f t="shared" si="72"/>
        <v>0</v>
      </c>
      <c r="AJ26" s="77">
        <f t="shared" si="72"/>
        <v>0</v>
      </c>
      <c r="AK26" s="77">
        <f t="shared" si="72"/>
        <v>1006.81</v>
      </c>
      <c r="AL26" s="77">
        <f t="shared" si="72"/>
        <v>1418.15</v>
      </c>
      <c r="AM26" s="77">
        <f t="shared" si="72"/>
        <v>1137.6952999999996</v>
      </c>
      <c r="AN26" s="77">
        <f t="shared" si="72"/>
        <v>1588.3280000000004</v>
      </c>
      <c r="AO26" s="77">
        <f t="shared" si="72"/>
        <v>0</v>
      </c>
      <c r="AP26" s="77">
        <f t="shared" si="72"/>
        <v>0</v>
      </c>
      <c r="AQ26" s="77">
        <f t="shared" si="72"/>
        <v>149.33999999999997</v>
      </c>
      <c r="AR26" s="77">
        <f t="shared" si="72"/>
        <v>85.710000000000008</v>
      </c>
      <c r="AS26" s="77">
        <f t="shared" si="72"/>
        <v>0</v>
      </c>
      <c r="AT26" s="77">
        <f t="shared" si="72"/>
        <v>0</v>
      </c>
      <c r="AU26" s="77">
        <f t="shared" si="72"/>
        <v>284.35000000000002</v>
      </c>
      <c r="AV26" s="77">
        <f t="shared" si="72"/>
        <v>284.35000000000002</v>
      </c>
      <c r="AW26" s="77">
        <f t="shared" si="72"/>
        <v>619.25999999999988</v>
      </c>
      <c r="AX26" s="77">
        <f t="shared" si="72"/>
        <v>562.43999999999994</v>
      </c>
      <c r="AY26" s="77">
        <f t="shared" si="72"/>
        <v>0</v>
      </c>
      <c r="AZ26" s="77">
        <f t="shared" si="72"/>
        <v>0</v>
      </c>
      <c r="BA26" s="77">
        <f t="shared" si="72"/>
        <v>80.650000000000006</v>
      </c>
      <c r="BB26" s="77">
        <f t="shared" si="72"/>
        <v>79.69</v>
      </c>
      <c r="BC26" s="77">
        <f t="shared" si="72"/>
        <v>128.6</v>
      </c>
      <c r="BD26" s="77">
        <f t="shared" si="72"/>
        <v>7</v>
      </c>
      <c r="BE26" s="77">
        <f t="shared" si="72"/>
        <v>106.04356</v>
      </c>
      <c r="BF26" s="77">
        <f t="shared" si="72"/>
        <v>5.5552000000000001</v>
      </c>
      <c r="BG26" s="77">
        <f t="shared" si="72"/>
        <v>949.5</v>
      </c>
      <c r="BH26" s="77">
        <f t="shared" si="72"/>
        <v>33.18</v>
      </c>
      <c r="BI26" s="77">
        <f t="shared" si="72"/>
        <v>1063.4400000000003</v>
      </c>
      <c r="BJ26" s="77">
        <f t="shared" si="72"/>
        <v>37.1616</v>
      </c>
      <c r="BK26" s="77">
        <f t="shared" si="72"/>
        <v>0</v>
      </c>
      <c r="BL26" s="77">
        <f t="shared" si="72"/>
        <v>0</v>
      </c>
      <c r="BM26" s="77">
        <f t="shared" si="72"/>
        <v>577.18999999999994</v>
      </c>
      <c r="BN26" s="77">
        <f t="shared" si="72"/>
        <v>543.02035200000012</v>
      </c>
      <c r="BO26" s="77">
        <f t="shared" si="72"/>
        <v>1214.24</v>
      </c>
      <c r="BP26" s="77">
        <f t="shared" ref="BP26:CP26" si="73">SUM(BP7:BP25)</f>
        <v>1359.9488000000001</v>
      </c>
      <c r="BQ26" s="114">
        <f t="shared" si="73"/>
        <v>0</v>
      </c>
      <c r="BR26" s="77">
        <f t="shared" si="73"/>
        <v>0</v>
      </c>
      <c r="BS26" s="77">
        <f t="shared" si="73"/>
        <v>0</v>
      </c>
      <c r="BT26" s="77">
        <f t="shared" si="73"/>
        <v>0</v>
      </c>
      <c r="BU26" s="77">
        <f t="shared" si="73"/>
        <v>228.20000000000002</v>
      </c>
      <c r="BV26" s="77">
        <f t="shared" si="73"/>
        <v>198.54000000000002</v>
      </c>
      <c r="BW26" s="77">
        <f t="shared" si="73"/>
        <v>301.22400000000005</v>
      </c>
      <c r="BX26" s="77">
        <f t="shared" si="73"/>
        <v>254.13120000000001</v>
      </c>
      <c r="BY26" s="77">
        <f t="shared" si="73"/>
        <v>32.980000000000004</v>
      </c>
      <c r="BZ26" s="77">
        <f t="shared" si="73"/>
        <v>354.82</v>
      </c>
      <c r="CA26" s="77">
        <f t="shared" si="73"/>
        <v>16.490000000000002</v>
      </c>
      <c r="CB26" s="77">
        <f t="shared" si="73"/>
        <v>177.41</v>
      </c>
      <c r="CC26" s="77">
        <f t="shared" si="73"/>
        <v>558</v>
      </c>
      <c r="CD26" s="77">
        <f t="shared" si="73"/>
        <v>1772</v>
      </c>
      <c r="CE26" s="77">
        <f t="shared" si="73"/>
        <v>27.900000000000002</v>
      </c>
      <c r="CF26" s="77">
        <f t="shared" si="73"/>
        <v>88.600000000000009</v>
      </c>
      <c r="CG26" s="77">
        <f t="shared" si="73"/>
        <v>0</v>
      </c>
      <c r="CH26" s="77">
        <f t="shared" si="73"/>
        <v>26523000</v>
      </c>
      <c r="CI26" s="77">
        <f t="shared" si="73"/>
        <v>0</v>
      </c>
      <c r="CJ26" s="77">
        <f t="shared" si="73"/>
        <v>0</v>
      </c>
      <c r="CK26" s="77">
        <f t="shared" si="73"/>
        <v>13063000</v>
      </c>
      <c r="CL26" s="77">
        <f t="shared" si="73"/>
        <v>820000</v>
      </c>
      <c r="CM26" s="77">
        <f t="shared" si="73"/>
        <v>12640000</v>
      </c>
      <c r="CN26" s="77">
        <f t="shared" si="73"/>
        <v>0</v>
      </c>
      <c r="CO26" s="77">
        <f t="shared" si="73"/>
        <v>0</v>
      </c>
      <c r="CP26" s="77">
        <f t="shared" si="73"/>
        <v>0</v>
      </c>
      <c r="CR26" s="5">
        <f>SUM(CR7:CR25)</f>
        <v>3318.9054599999999</v>
      </c>
      <c r="CS26" s="5">
        <f>SUM(CS7:CS25)</f>
        <v>8463.5883520000007</v>
      </c>
      <c r="CT26" s="6">
        <f>SUM(CT7:CT25)</f>
        <v>26524729.436184004</v>
      </c>
      <c r="CU26" s="6">
        <f>SUM(CU7:CU25)</f>
        <v>16874603.401056003</v>
      </c>
      <c r="CV26" s="5">
        <f>SUM(CV7:CV25)</f>
        <v>1729.4361840017882</v>
      </c>
      <c r="CW26" s="56" t="s">
        <v>173</v>
      </c>
      <c r="CX26" s="57">
        <f>SUM(CX6:CX25)</f>
        <v>12039212</v>
      </c>
    </row>
    <row r="27" spans="1:102" ht="26.25">
      <c r="B27" s="39"/>
      <c r="CW27" s="58" t="s">
        <v>174</v>
      </c>
      <c r="CX27" s="47">
        <f>CU26</f>
        <v>16874603.401056003</v>
      </c>
    </row>
    <row r="28" spans="1:102" ht="28.5">
      <c r="CW28" s="59" t="s">
        <v>175</v>
      </c>
      <c r="CX28" s="76">
        <f>CX27-CX26</f>
        <v>4835391.4010560028</v>
      </c>
    </row>
    <row r="29" spans="1:102">
      <c r="B29" s="1"/>
      <c r="H29" s="10"/>
      <c r="I29" s="10"/>
      <c r="J29" s="10"/>
      <c r="K29" s="10"/>
      <c r="L29" s="88"/>
      <c r="M29" s="10"/>
      <c r="N29" s="10"/>
      <c r="O29" s="10"/>
      <c r="BT29" s="7"/>
      <c r="BX29" s="7"/>
      <c r="CB29" s="7"/>
      <c r="CC29" s="8"/>
      <c r="CD29" s="5"/>
      <c r="CE29" s="5"/>
    </row>
    <row r="30" spans="1:102">
      <c r="A30" s="12"/>
      <c r="B30" s="1"/>
      <c r="C30" s="40"/>
      <c r="D30" s="40"/>
      <c r="E30" s="40"/>
      <c r="F30" s="40"/>
      <c r="G30" s="40"/>
      <c r="H30" s="40"/>
    </row>
    <row r="31" spans="1:102" ht="52.5" customHeight="1">
      <c r="A31" s="12"/>
      <c r="B31" s="1"/>
      <c r="C31" s="40"/>
      <c r="D31" s="13"/>
      <c r="E31" s="40"/>
      <c r="F31" s="41"/>
      <c r="G31" s="42"/>
      <c r="H31" s="40"/>
      <c r="V31" s="10"/>
      <c r="W31" s="10"/>
      <c r="X31" s="10"/>
      <c r="Y31" s="10"/>
      <c r="Z31" s="10"/>
      <c r="AA31" s="10"/>
      <c r="AB31" s="10"/>
      <c r="AC31" s="10"/>
      <c r="AD31" s="10"/>
    </row>
    <row r="32" spans="1:102">
      <c r="A32" s="12"/>
      <c r="B32" s="1"/>
      <c r="C32" s="40"/>
      <c r="D32" s="13"/>
      <c r="E32" s="40"/>
      <c r="F32" s="42"/>
      <c r="G32" s="42"/>
      <c r="H32" s="40"/>
      <c r="Q32" s="40"/>
      <c r="R32" s="40"/>
      <c r="S32" s="40"/>
      <c r="T32" s="40"/>
      <c r="U32" s="40"/>
      <c r="V32" s="40"/>
      <c r="CL32" s="1">
        <v>2</v>
      </c>
    </row>
    <row r="33" spans="1:22">
      <c r="A33" s="12"/>
      <c r="B33" s="1"/>
      <c r="C33" s="40"/>
      <c r="D33" s="13"/>
      <c r="E33" s="40"/>
      <c r="F33" s="42"/>
      <c r="G33" s="42"/>
      <c r="H33" s="40"/>
      <c r="Q33" s="40"/>
      <c r="R33" s="13"/>
      <c r="S33" s="40"/>
      <c r="T33" s="41"/>
      <c r="U33" s="42"/>
      <c r="V33" s="40"/>
    </row>
    <row r="34" spans="1:22">
      <c r="A34" s="12"/>
      <c r="B34" s="1"/>
      <c r="C34" s="40"/>
      <c r="D34" s="40"/>
      <c r="E34" s="40"/>
      <c r="F34" s="40"/>
      <c r="G34" s="40"/>
      <c r="H34" s="40"/>
      <c r="Q34" s="40"/>
      <c r="R34" s="13"/>
      <c r="S34" s="40"/>
      <c r="T34" s="42"/>
      <c r="U34" s="42"/>
      <c r="V34" s="40"/>
    </row>
    <row r="35" spans="1:22" ht="20.25" customHeight="1">
      <c r="A35" s="12"/>
      <c r="B35" s="1"/>
      <c r="C35" s="40"/>
      <c r="D35" s="14"/>
      <c r="E35" s="40"/>
      <c r="F35" s="42"/>
      <c r="G35" s="42"/>
      <c r="H35" s="40"/>
      <c r="Q35" s="40"/>
      <c r="R35" s="13"/>
      <c r="S35" s="40"/>
      <c r="T35" s="42"/>
      <c r="U35" s="42"/>
      <c r="V35" s="40"/>
    </row>
    <row r="36" spans="1:22" ht="18" customHeight="1">
      <c r="A36" s="12"/>
      <c r="B36" s="1"/>
      <c r="C36" s="40"/>
      <c r="D36" s="40"/>
      <c r="E36" s="40"/>
      <c r="F36" s="40"/>
      <c r="G36" s="40"/>
      <c r="H36" s="40"/>
      <c r="Q36" s="40"/>
      <c r="R36" s="40"/>
      <c r="S36" s="40"/>
      <c r="T36" s="40"/>
      <c r="U36" s="40"/>
      <c r="V36" s="40"/>
    </row>
    <row r="37" spans="1:22">
      <c r="A37" s="12"/>
      <c r="B37" s="1"/>
      <c r="C37" s="40"/>
      <c r="D37" s="40"/>
      <c r="E37" s="40"/>
      <c r="F37" s="40"/>
      <c r="G37" s="40"/>
      <c r="H37" s="40"/>
      <c r="Q37" s="40"/>
      <c r="R37" s="14"/>
      <c r="S37" s="40"/>
      <c r="T37" s="42"/>
      <c r="U37" s="42"/>
      <c r="V37" s="40"/>
    </row>
    <row r="38" spans="1:22">
      <c r="A38" s="12"/>
      <c r="B38" s="1"/>
      <c r="Q38" s="40"/>
      <c r="R38" s="40"/>
      <c r="S38" s="40"/>
      <c r="T38" s="40"/>
      <c r="U38" s="40"/>
      <c r="V38" s="40"/>
    </row>
    <row r="39" spans="1:22">
      <c r="A39" s="12"/>
      <c r="B39" s="1"/>
      <c r="Q39" s="40"/>
      <c r="R39" s="40"/>
      <c r="S39" s="40"/>
      <c r="T39" s="40"/>
      <c r="U39" s="40"/>
      <c r="V39" s="40"/>
    </row>
    <row r="40" spans="1:22">
      <c r="A40" s="12"/>
      <c r="B40" s="1"/>
    </row>
    <row r="41" spans="1:22">
      <c r="A41" s="12"/>
      <c r="B41" s="1"/>
    </row>
    <row r="42" spans="1:22" ht="21" customHeight="1">
      <c r="A42" s="12"/>
      <c r="B42" s="1"/>
    </row>
    <row r="43" spans="1:22">
      <c r="A43" s="12"/>
      <c r="B43" s="1"/>
    </row>
    <row r="44" spans="1:22" ht="20.25" customHeight="1">
      <c r="A44" s="12"/>
      <c r="B44" s="1"/>
    </row>
    <row r="45" spans="1:22">
      <c r="B45" s="1"/>
      <c r="H45" s="10"/>
      <c r="I45" s="10"/>
      <c r="J45" s="10"/>
      <c r="K45" s="10"/>
      <c r="L45" s="10"/>
      <c r="M45" s="10"/>
      <c r="N45" s="10"/>
      <c r="O45" s="10"/>
    </row>
    <row r="46" spans="1:22">
      <c r="B46" s="1"/>
      <c r="C46" s="40"/>
      <c r="D46" s="40"/>
      <c r="E46" s="40"/>
      <c r="F46" s="40"/>
      <c r="G46" s="40"/>
      <c r="H46" s="40"/>
    </row>
    <row r="47" spans="1:22">
      <c r="B47" s="1"/>
      <c r="C47" s="40"/>
      <c r="D47" s="13"/>
      <c r="E47" s="40"/>
      <c r="F47" s="41"/>
      <c r="G47" s="42"/>
      <c r="H47" s="40"/>
    </row>
    <row r="48" spans="1:22">
      <c r="B48" s="1"/>
      <c r="C48" s="40"/>
      <c r="D48" s="13"/>
      <c r="E48" s="40"/>
      <c r="F48" s="42"/>
      <c r="G48" s="42"/>
      <c r="H48" s="40"/>
    </row>
    <row r="49" spans="1:11">
      <c r="B49" s="1"/>
      <c r="C49" s="40"/>
      <c r="D49" s="13"/>
      <c r="E49" s="40"/>
      <c r="F49" s="42"/>
      <c r="G49" s="42"/>
      <c r="H49" s="40"/>
    </row>
    <row r="50" spans="1:11" ht="21.75" customHeight="1">
      <c r="B50" s="1"/>
      <c r="C50" s="40"/>
      <c r="D50" s="40"/>
      <c r="E50" s="40"/>
      <c r="F50" s="40"/>
      <c r="G50" s="40"/>
      <c r="H50" s="40"/>
    </row>
    <row r="51" spans="1:11" ht="21.75" customHeight="1">
      <c r="B51" s="1"/>
      <c r="C51" s="40"/>
      <c r="D51" s="14"/>
      <c r="E51" s="40"/>
      <c r="F51" s="42"/>
      <c r="G51" s="42"/>
      <c r="H51" s="40"/>
    </row>
    <row r="52" spans="1:11" ht="21.75" customHeight="1">
      <c r="B52" s="1"/>
    </row>
    <row r="53" spans="1:11" ht="21.75" customHeight="1">
      <c r="B53" s="1"/>
    </row>
    <row r="54" spans="1:11" ht="21.75" customHeight="1">
      <c r="B54" s="1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B58" s="1"/>
    </row>
    <row r="59" spans="1:11" ht="21.75" customHeight="1">
      <c r="A59" s="12"/>
      <c r="B59" s="1"/>
    </row>
    <row r="60" spans="1:11" ht="21.75" customHeight="1">
      <c r="A60" s="12"/>
      <c r="B60" s="1"/>
    </row>
    <row r="61" spans="1:11" ht="21.75" customHeight="1">
      <c r="B61" s="1"/>
      <c r="K61" s="11"/>
    </row>
    <row r="62" spans="1:11" ht="21.75" customHeight="1">
      <c r="B62" s="1"/>
      <c r="K62" s="11"/>
    </row>
    <row r="63" spans="1:11">
      <c r="B63" s="1"/>
      <c r="K63" s="11"/>
    </row>
    <row r="64" spans="1:11">
      <c r="B64" s="1"/>
      <c r="K64" s="11"/>
    </row>
    <row r="65" spans="2:35">
      <c r="B65" s="1"/>
      <c r="K65" s="11"/>
    </row>
    <row r="66" spans="2:35">
      <c r="B66" s="1"/>
      <c r="K66" s="16"/>
    </row>
    <row r="67" spans="2:35">
      <c r="B67" s="1"/>
      <c r="K67" s="12"/>
    </row>
    <row r="68" spans="2:35">
      <c r="B68" s="1"/>
    </row>
    <row r="69" spans="2:35">
      <c r="B69" s="1"/>
    </row>
    <row r="70" spans="2:35">
      <c r="B70" s="9"/>
      <c r="C70" s="9"/>
      <c r="D70" s="9"/>
      <c r="E70" s="9"/>
      <c r="F70" s="9"/>
      <c r="G70" s="9"/>
      <c r="H70" s="9"/>
      <c r="I70" s="9"/>
      <c r="J70" s="9"/>
    </row>
    <row r="71" spans="2:35">
      <c r="B71" s="1"/>
    </row>
    <row r="72" spans="2:35" ht="46.5" customHeight="1">
      <c r="B72" s="1"/>
      <c r="K72" s="9"/>
      <c r="U72" s="9"/>
      <c r="V72" s="9"/>
      <c r="W72" s="9"/>
      <c r="X72" s="9"/>
      <c r="Y72" s="9"/>
      <c r="Z72" s="9"/>
      <c r="AA72" s="9"/>
      <c r="AB72" s="9"/>
      <c r="AC72" s="9"/>
      <c r="AD72" s="9"/>
      <c r="AI72" s="17"/>
    </row>
    <row r="73" spans="2:35" ht="21.75" customHeight="1">
      <c r="B73" s="1"/>
    </row>
    <row r="74" spans="2:35">
      <c r="B74" s="1"/>
      <c r="M74" s="9"/>
      <c r="N74" s="9"/>
      <c r="O74" s="9"/>
      <c r="P74" s="9"/>
      <c r="Q74" s="9"/>
      <c r="R74" s="9"/>
      <c r="S74" s="9"/>
      <c r="T74" s="9"/>
    </row>
    <row r="75" spans="2:35">
      <c r="B75" s="1"/>
    </row>
    <row r="76" spans="2:35">
      <c r="B76" s="1"/>
    </row>
    <row r="77" spans="2:35">
      <c r="B77" s="1"/>
    </row>
    <row r="78" spans="2:35">
      <c r="B78" s="1"/>
    </row>
    <row r="79" spans="2:35">
      <c r="B79" s="1"/>
    </row>
    <row r="80" spans="2:35">
      <c r="B80" s="1"/>
    </row>
    <row r="81" spans="1:12">
      <c r="B81" s="1"/>
    </row>
    <row r="82" spans="1:12">
      <c r="B82" s="1"/>
    </row>
    <row r="83" spans="1:12">
      <c r="B83" s="1"/>
    </row>
    <row r="84" spans="1:12">
      <c r="B84" s="1"/>
    </row>
    <row r="85" spans="1:12">
      <c r="B85" s="1"/>
    </row>
    <row r="86" spans="1:12">
      <c r="B86" s="1"/>
    </row>
    <row r="87" spans="1:12">
      <c r="B87" s="1"/>
    </row>
    <row r="88" spans="1:12">
      <c r="B88" s="1"/>
    </row>
    <row r="89" spans="1:12">
      <c r="B89" s="1"/>
    </row>
    <row r="90" spans="1:12">
      <c r="B90" s="1"/>
    </row>
    <row r="91" spans="1:12">
      <c r="B91" s="1"/>
    </row>
    <row r="92" spans="1:12">
      <c r="B92" s="1"/>
      <c r="D92" s="9"/>
      <c r="E92" s="9"/>
      <c r="F92" s="9"/>
      <c r="G92" s="9"/>
      <c r="H92" s="9"/>
      <c r="I92" s="9"/>
      <c r="J92" s="9"/>
      <c r="K92" s="9"/>
      <c r="L92" s="9"/>
    </row>
    <row r="93" spans="1:12">
      <c r="B93" s="1"/>
    </row>
    <row r="94" spans="1:12">
      <c r="A94" s="9"/>
      <c r="B94" s="9"/>
      <c r="C94" s="9"/>
    </row>
    <row r="95" spans="1:12">
      <c r="B95" s="1"/>
    </row>
    <row r="96" spans="1:1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1:12">
      <c r="B113" s="1"/>
      <c r="D113" s="9"/>
      <c r="E113" s="9"/>
      <c r="F113" s="9"/>
      <c r="G113" s="9"/>
      <c r="H113" s="9"/>
      <c r="I113" s="9"/>
    </row>
    <row r="114" spans="1:12">
      <c r="B114" s="1"/>
      <c r="J114" s="9"/>
      <c r="K114" s="9"/>
      <c r="L114" s="9"/>
    </row>
    <row r="115" spans="1:12">
      <c r="A115" s="9"/>
      <c r="B115" s="9"/>
      <c r="C115" s="9"/>
    </row>
    <row r="116" spans="1:12">
      <c r="B116" s="1"/>
    </row>
    <row r="117" spans="1:12">
      <c r="B117" s="1"/>
    </row>
  </sheetData>
  <mergeCells count="27"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T5:W5"/>
    <mergeCell ref="D5:G5"/>
    <mergeCell ref="H5:K5"/>
    <mergeCell ref="L5:M5"/>
    <mergeCell ref="N5:Q5"/>
    <mergeCell ref="R5:S5"/>
  </mergeCells>
  <conditionalFormatting sqref="CT7:CV25">
    <cfRule type="cellIs" dxfId="49" priority="28" operator="lessThan">
      <formula>0</formula>
    </cfRule>
    <cfRule type="cellIs" dxfId="48" priority="29" operator="greaterThan">
      <formula>0</formula>
    </cfRule>
  </conditionalFormatting>
  <conditionalFormatting sqref="CR7:CS25">
    <cfRule type="cellIs" dxfId="47" priority="24" operator="greaterThan">
      <formula>1000</formula>
    </cfRule>
    <cfRule type="cellIs" dxfId="46" priority="25" operator="between">
      <formula>500</formula>
      <formula>1000</formula>
    </cfRule>
    <cfRule type="cellIs" dxfId="45" priority="26" operator="between">
      <formula>300</formula>
      <formula>500</formula>
    </cfRule>
    <cfRule type="cellIs" dxfId="44" priority="27" operator="lessThan">
      <formula>300</formula>
    </cfRule>
  </conditionalFormatting>
  <conditionalFormatting sqref="AI72">
    <cfRule type="cellIs" dxfId="43" priority="23" operator="greaterThanOrEqual">
      <formula>10</formula>
    </cfRule>
  </conditionalFormatting>
  <conditionalFormatting sqref="B118:B1048576 B6 C5 B13:B51">
    <cfRule type="duplicateValues" dxfId="42" priority="22"/>
  </conditionalFormatting>
  <conditionalFormatting sqref="C13:C25">
    <cfRule type="containsText" dxfId="41" priority="21" operator="containsText" text="@">
      <formula>NOT(ISERROR(SEARCH("@",C13)))</formula>
    </cfRule>
  </conditionalFormatting>
  <conditionalFormatting sqref="B13:B25">
    <cfRule type="notContainsBlanks" dxfId="40" priority="20">
      <formula>LEN(TRIM(B13))&gt;0</formula>
    </cfRule>
  </conditionalFormatting>
  <conditionalFormatting sqref="Z7:AN7 CH6:CO7 D7:M7 P7:W7 AC8:AD8 AU7:AX7 Z8:Z11 AY8:AY11 AA8:AB12 AZ8:BF12 AE8:AJ12 B15:C15 BI7:CG7 C8:K8 CP7:CV7 CP14:XFD15 A13:C14 AM8:AP14 CP13:CX13 CY7:XFD13 AQ7:AR14 BI8:BM15 BA7:BB7 F15:Q21 A16:C21 F9:K14 M8:R9 M10:Q14 BW13:CO15 BW8:CV12 D9:E21 A22:Q23 AM15:AU23 AS8:AU14 AY13:BF15 AY16:BM23 AV8:AV23 BO8:BT8 BN8:BN23 A24:W25 Z25:XFD25 L8:L14 R10:R23 S8:W23 Z13:AJ24 AM24:AV24 AK8:AL24 AW8:AX24 BG7:BH15 BP24:XFD24 BO9:BO24 BP9:BT23 BW16:XFD23 BU8:BV23 AY24:BN24">
    <cfRule type="expression" dxfId="39" priority="19">
      <formula>CELL("row")=ROW()</formula>
    </cfRule>
  </conditionalFormatting>
  <conditionalFormatting sqref="A1">
    <cfRule type="expression" dxfId="38" priority="18">
      <formula>CELL("row")=ROW()</formula>
    </cfRule>
  </conditionalFormatting>
  <conditionalFormatting sqref="C7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{84FEC650-3D91-4CBB-9AE2-F0DD8627026A}</x14:id>
        </ext>
      </extLst>
    </cfRule>
  </conditionalFormatting>
  <conditionalFormatting sqref="AS7:AT7 AY7:AZ7 N7:O7 AO7:AP7 BC7:BF7">
    <cfRule type="expression" dxfId="37" priority="16">
      <formula>CELL("row")=ROW()</formula>
    </cfRule>
  </conditionalFormatting>
  <conditionalFormatting sqref="C32">
    <cfRule type="duplicateValues" dxfId="36" priority="15"/>
  </conditionalFormatting>
  <conditionalFormatting sqref="C32">
    <cfRule type="containsText" dxfId="35" priority="14" operator="containsText" text="@">
      <formula>NOT(ISERROR(SEARCH("@",C32)))</formula>
    </cfRule>
  </conditionalFormatting>
  <conditionalFormatting sqref="C32">
    <cfRule type="expression" dxfId="34" priority="13">
      <formula>CELL("row")=ROW()</formula>
    </cfRule>
  </conditionalFormatting>
  <conditionalFormatting sqref="C33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{5DA7C0F9-88E4-4B00-978E-CEBDADE245A4}</x14:id>
        </ext>
      </extLst>
    </cfRule>
  </conditionalFormatting>
  <conditionalFormatting sqref="C35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{9CA3AEAF-3449-4B88-AAD6-2D3740E5BF92}</x14:id>
        </ext>
      </extLst>
    </cfRule>
  </conditionalFormatting>
  <conditionalFormatting sqref="C40">
    <cfRule type="containsText" dxfId="33" priority="10" operator="containsText" text="@">
      <formula>NOT(ISERROR(SEARCH("@",C40)))</formula>
    </cfRule>
  </conditionalFormatting>
  <conditionalFormatting sqref="C40">
    <cfRule type="expression" dxfId="32" priority="9">
      <formula>CELL("row")=ROW()</formula>
    </cfRule>
  </conditionalFormatting>
  <conditionalFormatting sqref="C41">
    <cfRule type="duplicateValues" dxfId="31" priority="8"/>
  </conditionalFormatting>
  <conditionalFormatting sqref="C41">
    <cfRule type="containsText" dxfId="30" priority="7" operator="containsText" text="@">
      <formula>NOT(ISERROR(SEARCH("@",C41)))</formula>
    </cfRule>
  </conditionalFormatting>
  <conditionalFormatting sqref="C41">
    <cfRule type="expression" dxfId="29" priority="6">
      <formula>CELL("row")=ROW()</formula>
    </cfRule>
  </conditionalFormatting>
  <conditionalFormatting sqref="C4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{1EDBFB7C-8B0F-4B0D-A9E5-C6878B2BDD16}</x14:id>
        </ext>
      </extLst>
    </cfRule>
  </conditionalFormatting>
  <conditionalFormatting sqref="C47">
    <cfRule type="duplicateValues" dxfId="28" priority="4"/>
  </conditionalFormatting>
  <conditionalFormatting sqref="C47">
    <cfRule type="containsText" dxfId="27" priority="3" operator="containsText" text="@">
      <formula>NOT(ISERROR(SEARCH("@",C47)))</formula>
    </cfRule>
  </conditionalFormatting>
  <conditionalFormatting sqref="C47">
    <cfRule type="expression" dxfId="26" priority="2">
      <formula>CELL("row")=ROW()</formula>
    </cfRule>
  </conditionalFormatting>
  <conditionalFormatting sqref="AY12 Z12 AC12:AD12">
    <cfRule type="expression" dxfId="25" priority="1">
      <formula>CELL("row")=ROW()</formula>
    </cfRule>
  </conditionalFormatting>
  <conditionalFormatting sqref="CT7:CT2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138" scale="13" orientation="landscape" horizontalDpi="1200" verticalDpi="120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FEC650-3D91-4CBB-9AE2-F0DD862702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5DA7C0F9-88E4-4B00-978E-CEBDADE245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C33</xm:sqref>
        </x14:conditionalFormatting>
        <x14:conditionalFormatting xmlns:xm="http://schemas.microsoft.com/office/excel/2006/main">
          <x14:cfRule type="dataBar" id="{9CA3AEAF-3449-4B88-AAD6-2D3740E5BF9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C35</xm:sqref>
        </x14:conditionalFormatting>
        <x14:conditionalFormatting xmlns:xm="http://schemas.microsoft.com/office/excel/2006/main">
          <x14:cfRule type="dataBar" id="{1EDBFB7C-8B0F-4B0D-A9E5-C6878B2BDD1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3ECCF-DA69-436B-BAAC-FBD022889291}">
  <sheetPr codeName="Hoja44">
    <pageSetUpPr fitToPage="1"/>
  </sheetPr>
  <dimension ref="A1:CX120"/>
  <sheetViews>
    <sheetView tabSelected="1" zoomScaleNormal="100" zoomScaleSheetLayoutView="70" workbookViewId="0">
      <pane xSplit="3" topLeftCell="BC1" activePane="topRight" state="frozen"/>
      <selection pane="topRight" activeCell="BG7" sqref="BG7:BH23"/>
    </sheetView>
  </sheetViews>
  <sheetFormatPr defaultColWidth="0" defaultRowHeight="21" outlineLevelCol="1"/>
  <cols>
    <col min="1" max="1" width="26.7109375" style="1" customWidth="1"/>
    <col min="2" max="2" width="16" style="31" bestFit="1" customWidth="1"/>
    <col min="3" max="3" width="33.28515625" style="1" bestFit="1" customWidth="1"/>
    <col min="4" max="4" width="19.85546875" style="1" customWidth="1"/>
    <col min="5" max="5" width="20.5703125" style="1" customWidth="1"/>
    <col min="6" max="6" width="20.140625" style="1" hidden="1" customWidth="1"/>
    <col min="7" max="7" width="26.42578125" style="1" hidden="1" customWidth="1"/>
    <col min="8" max="8" width="18" style="1" bestFit="1" customWidth="1"/>
    <col min="9" max="9" width="17.28515625" style="1" bestFit="1" customWidth="1"/>
    <col min="10" max="10" width="17.5703125" style="1" hidden="1" customWidth="1"/>
    <col min="11" max="11" width="13.140625" style="1" hidden="1" customWidth="1"/>
    <col min="12" max="12" width="15.7109375" style="1" customWidth="1"/>
    <col min="13" max="13" width="16.140625" style="1" customWidth="1"/>
    <col min="14" max="14" width="12.85546875" style="1" bestFit="1" customWidth="1"/>
    <col min="15" max="15" width="12.42578125" style="1" customWidth="1"/>
    <col min="16" max="16" width="11.140625" style="1" hidden="1" customWidth="1"/>
    <col min="17" max="17" width="11.42578125" style="1" hidden="1" customWidth="1"/>
    <col min="18" max="18" width="23.7109375" style="1" customWidth="1"/>
    <col min="19" max="19" width="13.42578125" style="1" hidden="1" customWidth="1"/>
    <col min="20" max="20" width="19.42578125" style="1" customWidth="1"/>
    <col min="21" max="21" width="17.7109375" style="1" customWidth="1"/>
    <col min="22" max="23" width="7.85546875" style="1" hidden="1" customWidth="1"/>
    <col min="24" max="24" width="15" style="1" bestFit="1" customWidth="1"/>
    <col min="25" max="25" width="14.7109375" style="1" customWidth="1"/>
    <col min="26" max="26" width="15" style="1" hidden="1" customWidth="1"/>
    <col min="27" max="27" width="12.85546875" style="1" hidden="1" customWidth="1"/>
    <col min="28" max="28" width="13.140625" style="1" hidden="1" customWidth="1"/>
    <col min="29" max="29" width="12.85546875" style="1" hidden="1" customWidth="1"/>
    <col min="30" max="30" width="9.5703125" style="1" hidden="1" customWidth="1"/>
    <col min="31" max="32" width="8.42578125" style="1" hidden="1" customWidth="1"/>
    <col min="33" max="33" width="15.7109375" style="1" hidden="1" customWidth="1"/>
    <col min="34" max="34" width="13.7109375" style="1" hidden="1" customWidth="1"/>
    <col min="35" max="35" width="10" style="1" hidden="1" customWidth="1"/>
    <col min="36" max="36" width="8.7109375" style="1" hidden="1" customWidth="1"/>
    <col min="37" max="38" width="14.85546875" style="1" customWidth="1"/>
    <col min="39" max="39" width="13.140625" style="1" hidden="1" customWidth="1"/>
    <col min="40" max="40" width="13" style="1" hidden="1" customWidth="1"/>
    <col min="41" max="42" width="15" style="1" customWidth="1"/>
    <col min="43" max="43" width="13.5703125" style="1" customWidth="1"/>
    <col min="44" max="44" width="14.7109375" style="1" customWidth="1"/>
    <col min="45" max="46" width="16.85546875" style="1" hidden="1" customWidth="1"/>
    <col min="47" max="47" width="18.42578125" style="1" customWidth="1"/>
    <col min="48" max="48" width="17.5703125" style="1" customWidth="1"/>
    <col min="49" max="50" width="17.7109375" style="1" customWidth="1"/>
    <col min="51" max="52" width="20.140625" style="1" hidden="1" customWidth="1"/>
    <col min="53" max="53" width="13" style="1" customWidth="1"/>
    <col min="54" max="54" width="12.85546875" style="1" bestFit="1" customWidth="1"/>
    <col min="55" max="55" width="15.7109375" style="1" customWidth="1"/>
    <col min="56" max="56" width="14.7109375" style="1" bestFit="1" customWidth="1"/>
    <col min="57" max="57" width="15.7109375" style="1" customWidth="1"/>
    <col min="58" max="58" width="14.140625" style="1" customWidth="1"/>
    <col min="59" max="59" width="13.42578125" style="1" customWidth="1"/>
    <col min="60" max="60" width="13.5703125" style="1" customWidth="1"/>
    <col min="61" max="61" width="14.85546875" style="1" customWidth="1"/>
    <col min="62" max="62" width="11.28515625" style="1" customWidth="1"/>
    <col min="63" max="63" width="10.5703125" style="1" hidden="1" customWidth="1"/>
    <col min="64" max="64" width="12.7109375" style="1" hidden="1" customWidth="1"/>
    <col min="65" max="66" width="18.140625" style="1" customWidth="1"/>
    <col min="67" max="67" width="22.7109375" style="1" customWidth="1"/>
    <col min="68" max="68" width="14.28515625" style="1" customWidth="1"/>
    <col min="69" max="69" width="16.28515625" style="1" customWidth="1"/>
    <col min="70" max="70" width="15.7109375" style="1" customWidth="1"/>
    <col min="71" max="71" width="11.5703125" style="1" customWidth="1"/>
    <col min="72" max="72" width="12.140625" style="1" customWidth="1"/>
    <col min="73" max="73" width="15.140625" style="1" customWidth="1"/>
    <col min="74" max="74" width="15.7109375" style="1" customWidth="1"/>
    <col min="75" max="75" width="13" style="1" hidden="1" customWidth="1"/>
    <col min="76" max="76" width="13.28515625" style="1" hidden="1" customWidth="1"/>
    <col min="77" max="77" width="15.140625" style="1" customWidth="1"/>
    <col min="78" max="78" width="15.7109375" style="1" customWidth="1"/>
    <col min="79" max="79" width="13.85546875" style="1" hidden="1" customWidth="1"/>
    <col min="80" max="80" width="15.85546875" style="1" hidden="1" customWidth="1"/>
    <col min="81" max="82" width="14.28515625" style="1" bestFit="1" customWidth="1"/>
    <col min="83" max="84" width="12.140625" style="1" hidden="1" customWidth="1"/>
    <col min="85" max="85" width="7.85546875" style="1" customWidth="1"/>
    <col min="86" max="86" width="20.140625" style="48" customWidth="1" outlineLevel="1"/>
    <col min="87" max="87" width="15.7109375" style="1" customWidth="1" outlineLevel="1"/>
    <col min="88" max="88" width="18.140625" style="1" customWidth="1" outlineLevel="1"/>
    <col min="89" max="89" width="22.7109375" style="1" customWidth="1" outlineLevel="1"/>
    <col min="90" max="90" width="20.7109375" style="1" customWidth="1" outlineLevel="1"/>
    <col min="91" max="91" width="21.28515625" style="1" customWidth="1" outlineLevel="1"/>
    <col min="92" max="92" width="19.5703125" style="1" customWidth="1" outlineLevel="1"/>
    <col min="93" max="93" width="17.140625" style="1" customWidth="1" outlineLevel="1"/>
    <col min="94" max="94" width="19.28515625" style="1" bestFit="1" customWidth="1"/>
    <col min="95" max="95" width="19.7109375" style="1" customWidth="1"/>
    <col min="96" max="96" width="21.85546875" style="1" customWidth="1"/>
    <col min="97" max="97" width="18.140625" style="1" customWidth="1"/>
    <col min="98" max="98" width="21.28515625" style="1" customWidth="1"/>
    <col min="99" max="99" width="19.7109375" style="1" customWidth="1"/>
    <col min="100" max="100" width="21.5703125" style="1" customWidth="1"/>
    <col min="101" max="101" width="21.85546875" style="1" customWidth="1"/>
    <col min="102" max="102" width="27.5703125" style="1" customWidth="1"/>
    <col min="103" max="105" width="10.7109375" style="1" customWidth="1"/>
    <col min="106" max="16384" width="0" style="1" hidden="1"/>
  </cols>
  <sheetData>
    <row r="1" spans="1:102" ht="12" customHeight="1">
      <c r="A1" s="27" t="s">
        <v>0</v>
      </c>
      <c r="B1" s="28"/>
      <c r="C1" s="29"/>
      <c r="D1" s="30"/>
      <c r="E1" s="30"/>
    </row>
    <row r="2" spans="1:102" ht="12.75" customHeight="1">
      <c r="A2" s="196">
        <v>3564</v>
      </c>
      <c r="B2" s="197">
        <v>1.28</v>
      </c>
      <c r="C2" s="198">
        <v>1.1200000000000001</v>
      </c>
      <c r="D2" s="199">
        <v>395.32</v>
      </c>
      <c r="E2" s="199">
        <v>1.32</v>
      </c>
      <c r="CC2"/>
      <c r="CD2"/>
      <c r="CE2"/>
      <c r="CG2"/>
      <c r="CI2"/>
      <c r="CJ2"/>
      <c r="CK2"/>
      <c r="CL2"/>
      <c r="CM2"/>
      <c r="CN2"/>
      <c r="CO2"/>
      <c r="CP2"/>
      <c r="CQ2"/>
      <c r="CT2" s="2"/>
    </row>
    <row r="3" spans="1:102" ht="12.75" customHeight="1">
      <c r="A3" s="200">
        <v>3564</v>
      </c>
      <c r="B3" s="201">
        <v>1.28</v>
      </c>
      <c r="C3" s="201">
        <v>1.1200000000000001</v>
      </c>
      <c r="D3" s="202">
        <v>395.32</v>
      </c>
      <c r="E3" s="202">
        <v>1.28</v>
      </c>
      <c r="F3" s="32"/>
      <c r="H3" s="32"/>
      <c r="L3" s="32"/>
      <c r="T3" s="43"/>
      <c r="AU3" s="203" t="s">
        <v>210</v>
      </c>
      <c r="BG3" s="1" t="s">
        <v>1</v>
      </c>
      <c r="BP3" s="1" t="s">
        <v>2</v>
      </c>
      <c r="CC3"/>
      <c r="CD3"/>
      <c r="CE3"/>
      <c r="CG3"/>
      <c r="CI3"/>
      <c r="CJ3"/>
      <c r="CK3"/>
      <c r="CL3"/>
      <c r="CM3"/>
      <c r="CN3"/>
      <c r="CO3"/>
      <c r="CP3"/>
      <c r="CQ3"/>
      <c r="CS3" s="1" t="s">
        <v>3</v>
      </c>
    </row>
    <row r="4" spans="1:102" s="78" customFormat="1" ht="12.75" customHeight="1">
      <c r="A4" s="96" t="s">
        <v>4</v>
      </c>
      <c r="B4" s="96" t="s">
        <v>5</v>
      </c>
      <c r="C4" s="97" t="s">
        <v>6</v>
      </c>
      <c r="D4" s="96" t="s">
        <v>7</v>
      </c>
      <c r="E4" s="96" t="s">
        <v>8</v>
      </c>
      <c r="L4" s="79"/>
      <c r="AQ4" s="78" t="s">
        <v>9</v>
      </c>
      <c r="BA4" s="172" t="s">
        <v>197</v>
      </c>
      <c r="BO4" s="78" t="s">
        <v>10</v>
      </c>
      <c r="CH4" s="80"/>
    </row>
    <row r="5" spans="1:102" s="4" customFormat="1" ht="43.5" customHeight="1">
      <c r="A5" s="33"/>
      <c r="B5" s="34" t="s">
        <v>11</v>
      </c>
      <c r="C5" s="35" t="s">
        <v>12</v>
      </c>
      <c r="D5" s="206" t="s">
        <v>13</v>
      </c>
      <c r="E5" s="206"/>
      <c r="F5" s="206"/>
      <c r="G5" s="206"/>
      <c r="H5" s="204"/>
      <c r="I5" s="205"/>
      <c r="J5" s="205"/>
      <c r="K5" s="207"/>
      <c r="L5" s="208"/>
      <c r="M5" s="209"/>
      <c r="N5" s="210" t="s">
        <v>14</v>
      </c>
      <c r="O5" s="211"/>
      <c r="P5" s="211"/>
      <c r="Q5" s="212"/>
      <c r="R5" s="213"/>
      <c r="S5" s="214"/>
      <c r="T5" s="204" t="s">
        <v>15</v>
      </c>
      <c r="U5" s="205"/>
      <c r="V5" s="205"/>
      <c r="W5" s="205"/>
      <c r="X5" s="204" t="s">
        <v>16</v>
      </c>
      <c r="Y5" s="205"/>
      <c r="Z5" s="205"/>
      <c r="AA5" s="205"/>
      <c r="AB5" s="207"/>
      <c r="AC5" s="204" t="s">
        <v>17</v>
      </c>
      <c r="AD5" s="205"/>
      <c r="AE5" s="205"/>
      <c r="AF5" s="207"/>
      <c r="AG5" s="204" t="s">
        <v>18</v>
      </c>
      <c r="AH5" s="205"/>
      <c r="AI5" s="205"/>
      <c r="AJ5" s="207"/>
      <c r="AK5" s="215" t="s">
        <v>208</v>
      </c>
      <c r="AL5" s="216"/>
      <c r="AM5" s="216"/>
      <c r="AN5" s="216"/>
      <c r="AO5" s="217" t="s">
        <v>20</v>
      </c>
      <c r="AP5" s="218"/>
      <c r="AQ5" s="217"/>
      <c r="AR5" s="218"/>
      <c r="AS5" s="219" t="s">
        <v>21</v>
      </c>
      <c r="AT5" s="220"/>
      <c r="AU5" s="219" t="s">
        <v>22</v>
      </c>
      <c r="AV5" s="220"/>
      <c r="AW5" s="219" t="s">
        <v>23</v>
      </c>
      <c r="AX5" s="220"/>
      <c r="AY5" s="219" t="s">
        <v>24</v>
      </c>
      <c r="AZ5" s="221"/>
      <c r="BA5" s="204" t="s">
        <v>25</v>
      </c>
      <c r="BB5" s="207"/>
      <c r="BC5" s="204" t="s">
        <v>26</v>
      </c>
      <c r="BD5" s="205"/>
      <c r="BE5" s="205"/>
      <c r="BF5" s="205"/>
      <c r="BG5" s="227" t="s">
        <v>27</v>
      </c>
      <c r="BH5" s="228"/>
      <c r="BI5" s="228"/>
      <c r="BJ5" s="229"/>
      <c r="BK5" s="208" t="s">
        <v>28</v>
      </c>
      <c r="BL5" s="230"/>
      <c r="BM5" s="231" t="s">
        <v>198</v>
      </c>
      <c r="BN5" s="232"/>
      <c r="BO5" s="219" t="s">
        <v>30</v>
      </c>
      <c r="BP5" s="220"/>
      <c r="BQ5" s="215" t="s">
        <v>31</v>
      </c>
      <c r="BR5" s="216"/>
      <c r="BS5" s="216"/>
      <c r="BT5" s="222"/>
      <c r="BU5" s="215" t="s">
        <v>32</v>
      </c>
      <c r="BV5" s="216"/>
      <c r="BW5" s="216"/>
      <c r="BX5" s="222"/>
      <c r="BY5" s="215" t="s">
        <v>33</v>
      </c>
      <c r="BZ5" s="216"/>
      <c r="CA5" s="216"/>
      <c r="CB5" s="222"/>
      <c r="CC5" s="223" t="s">
        <v>34</v>
      </c>
      <c r="CD5" s="224"/>
      <c r="CE5" s="224"/>
      <c r="CF5" s="224"/>
      <c r="CG5" s="3"/>
      <c r="CH5" s="49" t="s">
        <v>35</v>
      </c>
      <c r="CI5" s="50" t="s">
        <v>36</v>
      </c>
      <c r="CJ5" s="51" t="s">
        <v>37</v>
      </c>
      <c r="CK5" s="51" t="s">
        <v>38</v>
      </c>
      <c r="CL5" s="52" t="s">
        <v>39</v>
      </c>
      <c r="CM5" s="52" t="s">
        <v>40</v>
      </c>
      <c r="CN5" s="52" t="s">
        <v>41</v>
      </c>
      <c r="CO5" s="52" t="s">
        <v>42</v>
      </c>
      <c r="CP5" s="21" t="s">
        <v>43</v>
      </c>
      <c r="CQ5" s="22" t="s">
        <v>44</v>
      </c>
      <c r="CR5" s="22" t="s">
        <v>45</v>
      </c>
      <c r="CS5" s="22" t="s">
        <v>46</v>
      </c>
      <c r="CT5" s="23" t="s">
        <v>47</v>
      </c>
      <c r="CU5" s="23" t="s">
        <v>48</v>
      </c>
      <c r="CV5" s="24" t="s">
        <v>49</v>
      </c>
      <c r="CW5" s="225" t="s">
        <v>50</v>
      </c>
      <c r="CX5" s="226"/>
    </row>
    <row r="6" spans="1:102" s="25" customFormat="1" ht="15.75" customHeight="1">
      <c r="A6" s="36"/>
      <c r="B6" s="37"/>
      <c r="C6" s="26"/>
      <c r="D6" s="82" t="s">
        <v>51</v>
      </c>
      <c r="E6" s="82" t="s">
        <v>52</v>
      </c>
      <c r="F6" s="82" t="s">
        <v>53</v>
      </c>
      <c r="G6" s="82" t="s">
        <v>54</v>
      </c>
      <c r="H6" s="83" t="s">
        <v>55</v>
      </c>
      <c r="I6" s="82" t="s">
        <v>56</v>
      </c>
      <c r="J6" s="82" t="s">
        <v>57</v>
      </c>
      <c r="K6" s="82" t="s">
        <v>58</v>
      </c>
      <c r="L6" s="83" t="s">
        <v>6</v>
      </c>
      <c r="M6" s="82" t="s">
        <v>59</v>
      </c>
      <c r="N6" s="128" t="s">
        <v>60</v>
      </c>
      <c r="O6" s="129" t="s">
        <v>61</v>
      </c>
      <c r="P6" s="129" t="s">
        <v>62</v>
      </c>
      <c r="Q6" s="129" t="s">
        <v>63</v>
      </c>
      <c r="R6" s="83" t="s">
        <v>64</v>
      </c>
      <c r="S6" s="82" t="s">
        <v>65</v>
      </c>
      <c r="T6" s="83" t="s">
        <v>66</v>
      </c>
      <c r="U6" s="82" t="s">
        <v>67</v>
      </c>
      <c r="V6" s="82" t="s">
        <v>68</v>
      </c>
      <c r="W6" s="82" t="s">
        <v>69</v>
      </c>
      <c r="X6" s="83" t="s">
        <v>45</v>
      </c>
      <c r="Y6" s="82" t="s">
        <v>46</v>
      </c>
      <c r="Z6" s="82" t="s">
        <v>70</v>
      </c>
      <c r="AA6" s="82" t="s">
        <v>71</v>
      </c>
      <c r="AB6" s="82" t="s">
        <v>72</v>
      </c>
      <c r="AC6" s="83" t="s">
        <v>73</v>
      </c>
      <c r="AD6" s="82" t="s">
        <v>74</v>
      </c>
      <c r="AE6" s="82" t="s">
        <v>75</v>
      </c>
      <c r="AF6" s="82" t="s">
        <v>76</v>
      </c>
      <c r="AG6" s="83" t="s">
        <v>77</v>
      </c>
      <c r="AH6" s="82" t="s">
        <v>78</v>
      </c>
      <c r="AI6" s="82" t="s">
        <v>79</v>
      </c>
      <c r="AJ6" s="82" t="s">
        <v>80</v>
      </c>
      <c r="AK6" s="83" t="s">
        <v>81</v>
      </c>
      <c r="AL6" s="82" t="s">
        <v>82</v>
      </c>
      <c r="AM6" s="82" t="s">
        <v>83</v>
      </c>
      <c r="AN6" s="82" t="s">
        <v>84</v>
      </c>
      <c r="AO6" s="84" t="s">
        <v>85</v>
      </c>
      <c r="AP6" s="85" t="s">
        <v>86</v>
      </c>
      <c r="AQ6" s="83" t="s">
        <v>87</v>
      </c>
      <c r="AR6" s="82" t="s">
        <v>88</v>
      </c>
      <c r="AS6" s="83" t="s">
        <v>89</v>
      </c>
      <c r="AT6" s="83" t="s">
        <v>90</v>
      </c>
      <c r="AU6" s="83" t="s">
        <v>91</v>
      </c>
      <c r="AV6" s="148" t="s">
        <v>92</v>
      </c>
      <c r="AW6" s="83" t="s">
        <v>93</v>
      </c>
      <c r="AX6" s="82" t="s">
        <v>94</v>
      </c>
      <c r="AY6" s="83" t="s">
        <v>95</v>
      </c>
      <c r="AZ6" s="82" t="s">
        <v>96</v>
      </c>
      <c r="BA6" s="83" t="s">
        <v>97</v>
      </c>
      <c r="BB6" s="82" t="s">
        <v>98</v>
      </c>
      <c r="BC6" s="83" t="s">
        <v>99</v>
      </c>
      <c r="BD6" s="82" t="s">
        <v>100</v>
      </c>
      <c r="BE6" s="82" t="s">
        <v>101</v>
      </c>
      <c r="BF6" s="82" t="s">
        <v>102</v>
      </c>
      <c r="BG6" s="83" t="s">
        <v>103</v>
      </c>
      <c r="BH6" s="82" t="s">
        <v>104</v>
      </c>
      <c r="BI6" s="82" t="s">
        <v>105</v>
      </c>
      <c r="BJ6" s="82" t="s">
        <v>106</v>
      </c>
      <c r="BK6" s="83" t="s">
        <v>107</v>
      </c>
      <c r="BL6" s="82" t="s">
        <v>108</v>
      </c>
      <c r="BM6" s="83" t="s">
        <v>109</v>
      </c>
      <c r="BN6" s="82" t="s">
        <v>110</v>
      </c>
      <c r="BO6" s="83" t="s">
        <v>111</v>
      </c>
      <c r="BP6" s="141" t="s">
        <v>112</v>
      </c>
      <c r="BQ6" s="82" t="s">
        <v>45</v>
      </c>
      <c r="BR6" s="82" t="s">
        <v>46</v>
      </c>
      <c r="BS6" s="82" t="s">
        <v>112</v>
      </c>
      <c r="BT6" s="82" t="s">
        <v>112</v>
      </c>
      <c r="BU6" s="82" t="s">
        <v>45</v>
      </c>
      <c r="BV6" s="82" t="s">
        <v>46</v>
      </c>
      <c r="BW6" s="141" t="s">
        <v>112</v>
      </c>
      <c r="BX6" s="141" t="s">
        <v>112</v>
      </c>
      <c r="BY6" s="82" t="s">
        <v>45</v>
      </c>
      <c r="BZ6" s="82" t="s">
        <v>46</v>
      </c>
      <c r="CA6" s="141" t="s">
        <v>53</v>
      </c>
      <c r="CB6" s="141" t="s">
        <v>54</v>
      </c>
      <c r="CC6" s="82" t="s">
        <v>113</v>
      </c>
      <c r="CD6" s="82" t="s">
        <v>114</v>
      </c>
      <c r="CE6" s="82" t="s">
        <v>115</v>
      </c>
      <c r="CF6" s="86" t="s">
        <v>116</v>
      </c>
      <c r="CG6" s="60"/>
      <c r="CH6" s="75"/>
      <c r="CI6" s="75"/>
      <c r="CJ6" s="75"/>
      <c r="CK6" s="61"/>
      <c r="CL6" s="75"/>
      <c r="CM6" s="61"/>
      <c r="CN6" s="75">
        <v>0</v>
      </c>
      <c r="CO6" s="75"/>
      <c r="CP6" s="124"/>
      <c r="CQ6" s="62"/>
      <c r="CR6" s="63"/>
      <c r="CS6" s="63"/>
      <c r="CT6" s="63"/>
      <c r="CU6" s="63"/>
      <c r="CV6" s="63"/>
      <c r="CW6" s="64" t="s">
        <v>117</v>
      </c>
      <c r="CX6" s="115">
        <v>4835079</v>
      </c>
    </row>
    <row r="7" spans="1:102">
      <c r="A7" s="44"/>
      <c r="B7" s="45" t="s">
        <v>118</v>
      </c>
      <c r="C7" s="46" t="s">
        <v>119</v>
      </c>
      <c r="D7" s="102">
        <v>3.4</v>
      </c>
      <c r="E7" s="102">
        <v>0</v>
      </c>
      <c r="F7" s="98">
        <f>SUM((D7*2)*0.3)</f>
        <v>2.04</v>
      </c>
      <c r="G7" s="98">
        <f>SUM((E7*2)*0.3)</f>
        <v>0</v>
      </c>
      <c r="H7" s="98">
        <v>0</v>
      </c>
      <c r="I7" s="98">
        <v>0</v>
      </c>
      <c r="J7" s="98">
        <f>SUM(H7*0.78)*$C$2</f>
        <v>0</v>
      </c>
      <c r="K7" s="98">
        <f>SUM(I7*0.78)*$C$3</f>
        <v>0</v>
      </c>
      <c r="L7" s="103">
        <v>32.46</v>
      </c>
      <c r="M7" s="98">
        <f>L7</f>
        <v>32.46</v>
      </c>
      <c r="N7" s="98">
        <v>29.58</v>
      </c>
      <c r="O7" s="98">
        <v>39.43</v>
      </c>
      <c r="P7" s="98">
        <f>N7*$C$2</f>
        <v>33.129600000000003</v>
      </c>
      <c r="Q7" s="98">
        <f>O7*$C$3</f>
        <v>44.161600000000007</v>
      </c>
      <c r="R7" s="103">
        <v>54.09</v>
      </c>
      <c r="S7" s="98">
        <f>R7*$C$3</f>
        <v>60.580800000000011</v>
      </c>
      <c r="T7" s="103">
        <v>35.46</v>
      </c>
      <c r="U7" s="98">
        <v>62.75</v>
      </c>
      <c r="V7" s="98">
        <f>SUM(T7*($C$2))</f>
        <v>39.715200000000003</v>
      </c>
      <c r="W7" s="98">
        <f>SUM(U7*($C$3))</f>
        <v>70.28</v>
      </c>
      <c r="X7" s="120">
        <v>0</v>
      </c>
      <c r="Y7" s="120">
        <v>0</v>
      </c>
      <c r="Z7" s="121"/>
      <c r="AA7" s="121">
        <f>SUM(X7*0.75)+(Z7*0.75)</f>
        <v>0</v>
      </c>
      <c r="AB7" s="121">
        <f>(Y7*0.75)+(Z7*0.75)</f>
        <v>0</v>
      </c>
      <c r="AC7" s="121">
        <v>0</v>
      </c>
      <c r="AD7" s="121">
        <v>0</v>
      </c>
      <c r="AE7" s="121">
        <f>AC7*0.75</f>
        <v>0</v>
      </c>
      <c r="AF7" s="121">
        <f>AD7*0.75</f>
        <v>0</v>
      </c>
      <c r="AG7" s="98"/>
      <c r="AH7" s="98"/>
      <c r="AI7" s="98">
        <f>AG7*0.75</f>
        <v>0</v>
      </c>
      <c r="AJ7" s="98">
        <f>AH7*0.75</f>
        <v>0</v>
      </c>
      <c r="AK7" s="103">
        <v>155.27000000000001</v>
      </c>
      <c r="AL7" s="98">
        <v>110.1</v>
      </c>
      <c r="AM7" s="98">
        <f>AK7*$C$2</f>
        <v>173.90240000000003</v>
      </c>
      <c r="AN7" s="98">
        <f>AL7*$C$3</f>
        <v>123.31200000000001</v>
      </c>
      <c r="AO7" s="98"/>
      <c r="AP7" s="98"/>
      <c r="AQ7" s="130"/>
      <c r="AR7" s="130"/>
      <c r="AS7" s="98"/>
      <c r="AT7" s="98">
        <f>AS7*$C$3</f>
        <v>0</v>
      </c>
      <c r="AU7" s="98"/>
      <c r="AV7" s="149">
        <f>AU7</f>
        <v>0</v>
      </c>
      <c r="AW7" s="98">
        <v>97.15</v>
      </c>
      <c r="AX7" s="98">
        <v>39.630000000000003</v>
      </c>
      <c r="AY7" s="98"/>
      <c r="AZ7" s="98">
        <f>AY7*$D$2</f>
        <v>0</v>
      </c>
      <c r="BA7" s="99">
        <v>72.94</v>
      </c>
      <c r="BB7" s="99">
        <v>45.05</v>
      </c>
      <c r="BC7" s="98"/>
      <c r="BD7" s="98"/>
      <c r="BE7" s="98">
        <f>SUM(BC7*0.62)*$B$2</f>
        <v>0</v>
      </c>
      <c r="BF7" s="98">
        <f>SUM(BD7*0.62)*$B$3</f>
        <v>0</v>
      </c>
      <c r="BG7" s="98"/>
      <c r="BH7" s="98"/>
      <c r="BI7" s="98">
        <f>(BG7*$C$3)</f>
        <v>0</v>
      </c>
      <c r="BJ7" s="98">
        <f>BH7*$C$3</f>
        <v>0</v>
      </c>
      <c r="BK7" s="98"/>
      <c r="BL7" s="98"/>
      <c r="BM7" s="98">
        <v>157.05000000000001</v>
      </c>
      <c r="BN7" s="98">
        <f>(BM7*$C$3)-((BM7*$C$3)*0.16)</f>
        <v>147.75264000000004</v>
      </c>
      <c r="BO7" s="105">
        <v>7.28</v>
      </c>
      <c r="BP7" s="149">
        <f>BO7*$C$3</f>
        <v>8.1536000000000008</v>
      </c>
      <c r="BQ7" s="112">
        <v>0</v>
      </c>
      <c r="BR7" s="112">
        <v>0</v>
      </c>
      <c r="BS7" s="104">
        <f>(BQ7/$D$2)*$C$2</f>
        <v>0</v>
      </c>
      <c r="BT7" s="104">
        <f>(BR7/$D$3)*$C$3</f>
        <v>0</v>
      </c>
      <c r="BU7" s="105">
        <v>0</v>
      </c>
      <c r="BV7" s="105">
        <v>0</v>
      </c>
      <c r="BW7" s="142">
        <f>BU7*$E$2</f>
        <v>0</v>
      </c>
      <c r="BX7" s="142">
        <f>BV7*$E$3</f>
        <v>0</v>
      </c>
      <c r="BY7" s="110">
        <v>33.72</v>
      </c>
      <c r="BZ7" s="110">
        <v>89.66</v>
      </c>
      <c r="CA7" s="142">
        <f>BY7/2</f>
        <v>16.86</v>
      </c>
      <c r="CB7" s="142">
        <f>BZ7/2</f>
        <v>44.83</v>
      </c>
      <c r="CC7" s="106">
        <v>0</v>
      </c>
      <c r="CD7" s="106">
        <v>0</v>
      </c>
      <c r="CE7" s="98">
        <f>CC7*0.05</f>
        <v>0</v>
      </c>
      <c r="CF7" s="107">
        <f>CD7*0.05</f>
        <v>0</v>
      </c>
      <c r="CG7" s="81"/>
      <c r="CH7" s="53">
        <f>SUM(CI7:CO7)</f>
        <v>1320000</v>
      </c>
      <c r="CI7" s="72"/>
      <c r="CJ7" s="72"/>
      <c r="CK7" s="53">
        <v>1320000</v>
      </c>
      <c r="CL7" s="72"/>
      <c r="CM7" s="53"/>
      <c r="CN7" s="72"/>
      <c r="CO7" s="72">
        <v>0</v>
      </c>
      <c r="CP7" s="90"/>
      <c r="CQ7" s="68">
        <v>0</v>
      </c>
      <c r="CR7" s="69">
        <f>SUM(AO7,AQ7,F7,P7,BS7,AM7,AA7,AE7,J7,AI7,V7,BA7,BE7,CE7,AW7,CA7,BW7)</f>
        <v>435.73720000000003</v>
      </c>
      <c r="CS7" s="69">
        <f>SUM(AP7,AR7,G7,Q7,BN7,AZ7,M7,BT7,AN7,S7,AB7,AF7,K7,AJ7,BI7,W7,BB7,BF7,CF7,BP7,BL7,CG7,AT7,AV7,AX7,CB7,BX7)</f>
        <v>616.21064000000013</v>
      </c>
      <c r="CT7" s="70">
        <f t="shared" ref="CT7:CT28" si="0">(((CR7*$A$2)+(CS7*$A$3))*0.6)+((BJ7*$A$3)*0.75)</f>
        <v>2249485.2610560004</v>
      </c>
      <c r="CU7" s="70">
        <f t="shared" ref="CU7:CU28" si="1">((CR7*$A$2)+(CS7*$A$3))*0.4+((BJ7*$A$3)*0.25)</f>
        <v>1499656.8407040006</v>
      </c>
      <c r="CV7" s="143">
        <f>CT7-CH7</f>
        <v>929485.26105600037</v>
      </c>
      <c r="CW7" s="1" t="s">
        <v>120</v>
      </c>
      <c r="CX7" s="126">
        <v>0</v>
      </c>
    </row>
    <row r="8" spans="1:102" ht="20.25" customHeight="1">
      <c r="B8" s="71" t="s">
        <v>121</v>
      </c>
      <c r="C8" s="92" t="s">
        <v>122</v>
      </c>
      <c r="D8" s="102">
        <v>0</v>
      </c>
      <c r="E8" s="102">
        <v>0</v>
      </c>
      <c r="F8" s="98">
        <f t="shared" ref="F8:G22" si="2">SUM((D8*2)*0.3)</f>
        <v>0</v>
      </c>
      <c r="G8" s="98">
        <f t="shared" si="2"/>
        <v>0</v>
      </c>
      <c r="H8" s="98">
        <v>0</v>
      </c>
      <c r="I8" s="98">
        <v>0</v>
      </c>
      <c r="J8" s="98">
        <f t="shared" ref="J8:J28" si="3">SUM(H8*0.78)*$C$2</f>
        <v>0</v>
      </c>
      <c r="K8" s="98">
        <f t="shared" ref="K8:K28" si="4">SUM(I8*0.78)*$C$3</f>
        <v>0</v>
      </c>
      <c r="L8" s="103">
        <v>0</v>
      </c>
      <c r="M8" s="98">
        <f t="shared" ref="M8:M28" si="5">L8</f>
        <v>0</v>
      </c>
      <c r="N8" s="99"/>
      <c r="O8" s="99"/>
      <c r="P8" s="98">
        <f t="shared" ref="P8:P28" si="6">N8*$C$2</f>
        <v>0</v>
      </c>
      <c r="Q8" s="98">
        <f t="shared" ref="Q8:Q28" si="7">O8*$C$3</f>
        <v>0</v>
      </c>
      <c r="R8" s="103"/>
      <c r="S8" s="98">
        <f t="shared" ref="S8:S28" si="8">R8*$C$3</f>
        <v>0</v>
      </c>
      <c r="T8" s="103">
        <v>0</v>
      </c>
      <c r="U8" s="98">
        <v>0</v>
      </c>
      <c r="V8" s="98">
        <f t="shared" ref="V8:V28" si="9">SUM(T8*($C$2))</f>
        <v>0</v>
      </c>
      <c r="W8" s="98">
        <f t="shared" ref="W8:W28" si="10">SUM(U8*($C$3))</f>
        <v>0</v>
      </c>
      <c r="X8" s="120">
        <v>0</v>
      </c>
      <c r="Y8" s="120">
        <v>0</v>
      </c>
      <c r="Z8" s="119"/>
      <c r="AA8" s="121">
        <f t="shared" ref="AA8:AA28" si="11">SUM(X8*0.75)+(Z8*0.75)</f>
        <v>0</v>
      </c>
      <c r="AB8" s="121">
        <f t="shared" ref="AB8:AB28" si="12">(Y8*0.75)+(Z8*0.75)</f>
        <v>0</v>
      </c>
      <c r="AC8" s="119"/>
      <c r="AD8" s="119"/>
      <c r="AE8" s="121">
        <f t="shared" ref="AE8:AF28" si="13">AC8*0.75</f>
        <v>0</v>
      </c>
      <c r="AF8" s="121">
        <f t="shared" si="13"/>
        <v>0</v>
      </c>
      <c r="AG8" s="98"/>
      <c r="AH8" s="98"/>
      <c r="AI8" s="98">
        <f t="shared" ref="AI8:AJ28" si="14">AG8*0.75</f>
        <v>0</v>
      </c>
      <c r="AJ8" s="98">
        <f t="shared" si="14"/>
        <v>0</v>
      </c>
      <c r="AK8" s="103">
        <v>0.1</v>
      </c>
      <c r="AL8" s="98"/>
      <c r="AM8" s="98">
        <f t="shared" ref="AM8:AM28" si="15">AK8*$C$2</f>
        <v>0.11200000000000002</v>
      </c>
      <c r="AN8" s="98">
        <f t="shared" ref="AN8:AN28" si="16">AL8*$C$3</f>
        <v>0</v>
      </c>
      <c r="AO8" s="99">
        <v>0</v>
      </c>
      <c r="AP8" s="99">
        <v>0</v>
      </c>
      <c r="AQ8" s="131"/>
      <c r="AR8" s="131"/>
      <c r="AS8" s="99"/>
      <c r="AT8" s="98">
        <f t="shared" ref="AT8:AT28" si="17">AS8*$C$3</f>
        <v>0</v>
      </c>
      <c r="AU8" s="99"/>
      <c r="AV8" s="149">
        <f t="shared" ref="AV8:AV28" si="18">AU8</f>
        <v>0</v>
      </c>
      <c r="AW8" s="98">
        <v>0</v>
      </c>
      <c r="AX8" s="98">
        <v>0</v>
      </c>
      <c r="AY8" s="99"/>
      <c r="AZ8" s="98">
        <f t="shared" ref="AZ8:AZ28" si="19">AY8*$D$2</f>
        <v>0</v>
      </c>
      <c r="BA8" s="99"/>
      <c r="BB8" s="99"/>
      <c r="BC8" s="99">
        <v>0</v>
      </c>
      <c r="BD8" s="99">
        <v>0</v>
      </c>
      <c r="BE8" s="98">
        <f t="shared" ref="BE8:BE28" si="20">SUM(BC8*0.62)*$B$2</f>
        <v>0</v>
      </c>
      <c r="BF8" s="98">
        <f t="shared" ref="BF8:BF28" si="21">SUM(BD8*0.62)*$B$3</f>
        <v>0</v>
      </c>
      <c r="BG8" s="98"/>
      <c r="BH8" s="98"/>
      <c r="BI8" s="98">
        <f t="shared" ref="BI8:BI28" si="22">(BG8*$C$3)</f>
        <v>0</v>
      </c>
      <c r="BJ8" s="98">
        <f t="shared" ref="BJ8:BJ28" si="23">BH8*$C$3</f>
        <v>0</v>
      </c>
      <c r="BK8" s="99"/>
      <c r="BL8" s="99"/>
      <c r="BM8" s="99">
        <v>0</v>
      </c>
      <c r="BN8" s="98">
        <f t="shared" ref="BN8:BN28" si="24">(BM8*$C$3)-((BM8*$C$3)*0.16)</f>
        <v>0</v>
      </c>
      <c r="BO8" s="105">
        <v>0</v>
      </c>
      <c r="BP8" s="149">
        <f t="shared" ref="BP8:BP28" si="25">BO8*$C$3</f>
        <v>0</v>
      </c>
      <c r="BQ8" s="113">
        <v>0</v>
      </c>
      <c r="BR8" s="113">
        <v>0</v>
      </c>
      <c r="BS8" s="104">
        <f t="shared" ref="BS8:BS28" si="26">(BQ8/$D$2)*$C$2</f>
        <v>0</v>
      </c>
      <c r="BT8" s="104">
        <f t="shared" ref="BT8:BT28" si="27">(BR8/$D$3)*$C$3</f>
        <v>0</v>
      </c>
      <c r="BU8" s="105">
        <v>0</v>
      </c>
      <c r="BV8" s="105">
        <v>0</v>
      </c>
      <c r="BW8" s="142">
        <f t="shared" ref="BW8:BW28" si="28">BU8*$E$2</f>
        <v>0</v>
      </c>
      <c r="BX8" s="142">
        <f t="shared" ref="BX8:BX28" si="29">BV8*$E$3</f>
        <v>0</v>
      </c>
      <c r="BY8" s="110">
        <v>0</v>
      </c>
      <c r="BZ8" s="110">
        <v>0</v>
      </c>
      <c r="CA8" s="142">
        <f t="shared" ref="CA8:CB28" si="30">BY8/2</f>
        <v>0</v>
      </c>
      <c r="CB8" s="142">
        <f t="shared" si="30"/>
        <v>0</v>
      </c>
      <c r="CC8" s="109">
        <v>0</v>
      </c>
      <c r="CD8" s="109">
        <v>0</v>
      </c>
      <c r="CE8" s="98">
        <f t="shared" ref="CE8:CF28" si="31">CC8*0.05</f>
        <v>0</v>
      </c>
      <c r="CF8" s="107">
        <f t="shared" si="31"/>
        <v>0</v>
      </c>
      <c r="CG8" s="81"/>
      <c r="CH8" s="65">
        <f t="shared" ref="CH8:CH28" si="32">SUM(CI8:CO8)</f>
        <v>0</v>
      </c>
      <c r="CI8" s="73"/>
      <c r="CJ8" s="125"/>
      <c r="CK8" s="66"/>
      <c r="CL8" s="73"/>
      <c r="CM8" s="66"/>
      <c r="CN8" s="73"/>
      <c r="CO8" s="73">
        <v>0</v>
      </c>
      <c r="CP8" s="90"/>
      <c r="CQ8" s="68">
        <v>0</v>
      </c>
      <c r="CR8" s="69">
        <f t="shared" ref="CR8:CR28" si="33">SUM(AO8,AQ8,F8,P8,BS8,AM8,AA8,AE8,J8,AI8,V8,BA8,BE8,CE8,AW8,CA8,BW8)</f>
        <v>0.11200000000000002</v>
      </c>
      <c r="CS8" s="69">
        <f t="shared" ref="CS8:CS21" si="34">SUM(AP8,AR8,G8,Q8,BN8,AZ8,M8,BT8,AN8,S8,AB8,AF8,K8,AJ8,BI8,W8,BB8,BF8,CF8,BP8,BL8,CG8,AT8,AV8,AX8,CB8,BX8)</f>
        <v>0</v>
      </c>
      <c r="CT8" s="70">
        <f t="shared" si="0"/>
        <v>239.50080000000003</v>
      </c>
      <c r="CU8" s="70">
        <f t="shared" si="1"/>
        <v>159.66720000000004</v>
      </c>
      <c r="CV8" s="70">
        <f t="shared" ref="CV8:CV28" si="35">CT8-CH8</f>
        <v>239.50080000000003</v>
      </c>
      <c r="CW8" s="15" t="s">
        <v>123</v>
      </c>
      <c r="CX8" s="127">
        <v>178960</v>
      </c>
    </row>
    <row r="9" spans="1:102" s="87" customFormat="1" ht="20.25" customHeight="1">
      <c r="B9" s="93" t="s">
        <v>124</v>
      </c>
      <c r="C9" s="92" t="s">
        <v>125</v>
      </c>
      <c r="D9" s="102">
        <v>0</v>
      </c>
      <c r="E9" s="102">
        <v>0</v>
      </c>
      <c r="F9" s="98">
        <f t="shared" si="2"/>
        <v>0</v>
      </c>
      <c r="G9" s="98">
        <f t="shared" si="2"/>
        <v>0</v>
      </c>
      <c r="H9" s="98"/>
      <c r="I9" s="98"/>
      <c r="J9" s="98">
        <f t="shared" si="3"/>
        <v>0</v>
      </c>
      <c r="K9" s="98">
        <f t="shared" si="4"/>
        <v>0</v>
      </c>
      <c r="L9" s="103">
        <v>0.02</v>
      </c>
      <c r="M9" s="98">
        <f t="shared" si="5"/>
        <v>0.02</v>
      </c>
      <c r="N9" s="98"/>
      <c r="O9" s="98"/>
      <c r="P9" s="98">
        <f t="shared" si="6"/>
        <v>0</v>
      </c>
      <c r="Q9" s="98">
        <f t="shared" si="7"/>
        <v>0</v>
      </c>
      <c r="R9" s="103">
        <v>0</v>
      </c>
      <c r="S9" s="98">
        <f t="shared" si="8"/>
        <v>0</v>
      </c>
      <c r="T9" s="103">
        <v>0</v>
      </c>
      <c r="U9" s="98">
        <v>0</v>
      </c>
      <c r="V9" s="98">
        <f t="shared" si="9"/>
        <v>0</v>
      </c>
      <c r="W9" s="98">
        <f t="shared" si="10"/>
        <v>0</v>
      </c>
      <c r="X9" s="120">
        <v>0</v>
      </c>
      <c r="Y9" s="120">
        <v>0</v>
      </c>
      <c r="Z9" s="121"/>
      <c r="AA9" s="121">
        <f t="shared" si="11"/>
        <v>0</v>
      </c>
      <c r="AB9" s="121">
        <f t="shared" si="12"/>
        <v>0</v>
      </c>
      <c r="AC9" s="123">
        <v>0</v>
      </c>
      <c r="AD9" s="123">
        <v>0</v>
      </c>
      <c r="AE9" s="121">
        <f t="shared" si="13"/>
        <v>0</v>
      </c>
      <c r="AF9" s="121">
        <f t="shared" si="13"/>
        <v>0</v>
      </c>
      <c r="AG9" s="98"/>
      <c r="AH9" s="98"/>
      <c r="AI9" s="98">
        <f t="shared" si="14"/>
        <v>0</v>
      </c>
      <c r="AJ9" s="98">
        <f t="shared" si="14"/>
        <v>0</v>
      </c>
      <c r="AK9" s="103"/>
      <c r="AL9" s="98">
        <v>0.28999999999999998</v>
      </c>
      <c r="AM9" s="98">
        <f t="shared" si="15"/>
        <v>0</v>
      </c>
      <c r="AN9" s="98">
        <f t="shared" si="16"/>
        <v>0.32480000000000003</v>
      </c>
      <c r="AO9" s="98"/>
      <c r="AP9" s="98"/>
      <c r="AQ9" s="130"/>
      <c r="AR9" s="130"/>
      <c r="AS9" s="99"/>
      <c r="AT9" s="98">
        <f t="shared" si="17"/>
        <v>0</v>
      </c>
      <c r="AU9" s="98"/>
      <c r="AV9" s="149">
        <f t="shared" si="18"/>
        <v>0</v>
      </c>
      <c r="AW9" s="98">
        <v>0</v>
      </c>
      <c r="AX9" s="98">
        <v>0</v>
      </c>
      <c r="AY9" s="98"/>
      <c r="AZ9" s="98">
        <f t="shared" si="19"/>
        <v>0</v>
      </c>
      <c r="BA9" s="98"/>
      <c r="BB9" s="98"/>
      <c r="BC9" s="98"/>
      <c r="BD9" s="98"/>
      <c r="BE9" s="98">
        <f t="shared" si="20"/>
        <v>0</v>
      </c>
      <c r="BF9" s="98">
        <f t="shared" si="21"/>
        <v>0</v>
      </c>
      <c r="BG9" s="98"/>
      <c r="BH9" s="98"/>
      <c r="BI9" s="98">
        <f t="shared" si="22"/>
        <v>0</v>
      </c>
      <c r="BJ9" s="98">
        <f t="shared" si="23"/>
        <v>0</v>
      </c>
      <c r="BK9" s="98"/>
      <c r="BL9" s="98"/>
      <c r="BM9" s="98"/>
      <c r="BN9" s="98">
        <f t="shared" si="24"/>
        <v>0</v>
      </c>
      <c r="BO9" s="105"/>
      <c r="BP9" s="149">
        <f t="shared" si="25"/>
        <v>0</v>
      </c>
      <c r="BQ9" s="112">
        <v>0</v>
      </c>
      <c r="BR9" s="112">
        <v>0</v>
      </c>
      <c r="BS9" s="104">
        <f>(BQ9/$D$2)*$C$2</f>
        <v>0</v>
      </c>
      <c r="BT9" s="104">
        <f t="shared" si="27"/>
        <v>0</v>
      </c>
      <c r="BU9" s="105">
        <v>0</v>
      </c>
      <c r="BV9" s="105">
        <v>0</v>
      </c>
      <c r="BW9" s="142">
        <f t="shared" si="28"/>
        <v>0</v>
      </c>
      <c r="BX9" s="142">
        <f t="shared" si="29"/>
        <v>0</v>
      </c>
      <c r="BY9" s="110">
        <v>0</v>
      </c>
      <c r="BZ9" s="110">
        <v>0</v>
      </c>
      <c r="CA9" s="142">
        <f t="shared" si="30"/>
        <v>0</v>
      </c>
      <c r="CB9" s="142">
        <f t="shared" si="30"/>
        <v>0</v>
      </c>
      <c r="CC9" s="106"/>
      <c r="CD9" s="106"/>
      <c r="CE9" s="98">
        <f t="shared" si="31"/>
        <v>0</v>
      </c>
      <c r="CF9" s="107">
        <f t="shared" si="31"/>
        <v>0</v>
      </c>
      <c r="CG9" s="89"/>
      <c r="CH9" s="65">
        <f t="shared" si="32"/>
        <v>0</v>
      </c>
      <c r="CI9" s="73"/>
      <c r="CJ9" s="73"/>
      <c r="CK9" s="66"/>
      <c r="CL9" s="73"/>
      <c r="CM9" s="66"/>
      <c r="CN9" s="73"/>
      <c r="CO9" s="73"/>
      <c r="CP9" s="90"/>
      <c r="CQ9" s="68">
        <v>0</v>
      </c>
      <c r="CR9" s="69">
        <f t="shared" si="33"/>
        <v>0</v>
      </c>
      <c r="CS9" s="69">
        <f t="shared" si="34"/>
        <v>0.34480000000000005</v>
      </c>
      <c r="CT9" s="70">
        <f t="shared" si="0"/>
        <v>737.32032000000004</v>
      </c>
      <c r="CU9" s="70">
        <f t="shared" si="1"/>
        <v>491.5468800000001</v>
      </c>
      <c r="CV9" s="70">
        <f t="shared" si="35"/>
        <v>737.32032000000004</v>
      </c>
      <c r="CW9" s="87" t="s">
        <v>126</v>
      </c>
      <c r="CX9" s="87">
        <v>2920</v>
      </c>
    </row>
    <row r="10" spans="1:102" s="87" customFormat="1" ht="20.25" customHeight="1">
      <c r="B10" s="93" t="s">
        <v>127</v>
      </c>
      <c r="C10" s="92" t="s">
        <v>128</v>
      </c>
      <c r="D10" s="102">
        <v>0</v>
      </c>
      <c r="E10" s="102">
        <v>0</v>
      </c>
      <c r="F10" s="98">
        <f t="shared" si="2"/>
        <v>0</v>
      </c>
      <c r="G10" s="98">
        <f t="shared" si="2"/>
        <v>0</v>
      </c>
      <c r="H10" s="98">
        <v>15</v>
      </c>
      <c r="I10" s="98">
        <v>0</v>
      </c>
      <c r="J10" s="98">
        <f t="shared" si="3"/>
        <v>13.104000000000003</v>
      </c>
      <c r="K10" s="98">
        <f t="shared" si="4"/>
        <v>0</v>
      </c>
      <c r="L10" s="103">
        <v>54.13</v>
      </c>
      <c r="M10" s="98">
        <f t="shared" si="5"/>
        <v>54.13</v>
      </c>
      <c r="N10" s="99"/>
      <c r="O10" s="99"/>
      <c r="P10" s="98">
        <f t="shared" si="6"/>
        <v>0</v>
      </c>
      <c r="Q10" s="98">
        <f t="shared" si="7"/>
        <v>0</v>
      </c>
      <c r="R10" s="103">
        <v>53.08</v>
      </c>
      <c r="S10" s="98">
        <f t="shared" si="8"/>
        <v>59.449600000000004</v>
      </c>
      <c r="T10" s="103">
        <v>23.29</v>
      </c>
      <c r="U10" s="98">
        <v>1.82</v>
      </c>
      <c r="V10" s="98">
        <f t="shared" si="9"/>
        <v>26.084800000000001</v>
      </c>
      <c r="W10" s="98">
        <f t="shared" si="10"/>
        <v>2.0384000000000002</v>
      </c>
      <c r="X10" s="120">
        <v>0</v>
      </c>
      <c r="Y10" s="120">
        <v>0</v>
      </c>
      <c r="Z10" s="119"/>
      <c r="AA10" s="121">
        <f t="shared" si="11"/>
        <v>0</v>
      </c>
      <c r="AB10" s="121">
        <f t="shared" si="12"/>
        <v>0</v>
      </c>
      <c r="AC10" s="122">
        <v>0</v>
      </c>
      <c r="AD10" s="122">
        <v>0</v>
      </c>
      <c r="AE10" s="121">
        <f t="shared" si="13"/>
        <v>0</v>
      </c>
      <c r="AF10" s="121">
        <f t="shared" si="13"/>
        <v>0</v>
      </c>
      <c r="AG10" s="98">
        <v>0</v>
      </c>
      <c r="AH10" s="98">
        <v>0</v>
      </c>
      <c r="AI10" s="98">
        <f t="shared" si="14"/>
        <v>0</v>
      </c>
      <c r="AJ10" s="98">
        <f t="shared" si="14"/>
        <v>0</v>
      </c>
      <c r="AK10" s="103">
        <v>150.97</v>
      </c>
      <c r="AL10" s="98">
        <v>26.3</v>
      </c>
      <c r="AM10" s="98">
        <f t="shared" si="15"/>
        <v>169.08640000000003</v>
      </c>
      <c r="AN10" s="98">
        <f t="shared" si="16"/>
        <v>29.456000000000003</v>
      </c>
      <c r="AO10" s="98"/>
      <c r="AP10" s="98"/>
      <c r="AQ10" s="131"/>
      <c r="AR10" s="131"/>
      <c r="AS10" s="99"/>
      <c r="AT10" s="98">
        <f t="shared" si="17"/>
        <v>0</v>
      </c>
      <c r="AU10" s="99"/>
      <c r="AV10" s="149">
        <f t="shared" si="18"/>
        <v>0</v>
      </c>
      <c r="AW10" s="98">
        <v>102.44</v>
      </c>
      <c r="AX10" s="98">
        <v>38.08</v>
      </c>
      <c r="AY10" s="99"/>
      <c r="AZ10" s="98">
        <f t="shared" si="19"/>
        <v>0</v>
      </c>
      <c r="BA10" s="99"/>
      <c r="BB10" s="99"/>
      <c r="BC10" s="99"/>
      <c r="BD10" s="99"/>
      <c r="BE10" s="98">
        <f t="shared" si="20"/>
        <v>0</v>
      </c>
      <c r="BF10" s="98">
        <f t="shared" si="21"/>
        <v>0</v>
      </c>
      <c r="BG10" s="98">
        <v>129.66999999999999</v>
      </c>
      <c r="BH10" s="98">
        <v>5.09</v>
      </c>
      <c r="BI10" s="98">
        <f t="shared" si="22"/>
        <v>145.2304</v>
      </c>
      <c r="BJ10" s="98">
        <f t="shared" si="23"/>
        <v>5.7008000000000001</v>
      </c>
      <c r="BK10" s="99"/>
      <c r="BL10" s="99"/>
      <c r="BM10" s="98"/>
      <c r="BN10" s="98">
        <f t="shared" si="24"/>
        <v>0</v>
      </c>
      <c r="BO10" s="105">
        <v>58.27</v>
      </c>
      <c r="BP10" s="149">
        <f t="shared" si="25"/>
        <v>65.262400000000014</v>
      </c>
      <c r="BQ10" s="113"/>
      <c r="BR10" s="113"/>
      <c r="BS10" s="104">
        <f t="shared" si="26"/>
        <v>0</v>
      </c>
      <c r="BT10" s="104">
        <f t="shared" si="27"/>
        <v>0</v>
      </c>
      <c r="BU10" s="105">
        <v>0</v>
      </c>
      <c r="BV10" s="105">
        <v>0</v>
      </c>
      <c r="BW10" s="142">
        <f t="shared" si="28"/>
        <v>0</v>
      </c>
      <c r="BX10" s="142">
        <f t="shared" si="29"/>
        <v>0</v>
      </c>
      <c r="BY10" s="111"/>
      <c r="BZ10" s="111"/>
      <c r="CA10" s="142">
        <f t="shared" si="30"/>
        <v>0</v>
      </c>
      <c r="CB10" s="142">
        <f t="shared" si="30"/>
        <v>0</v>
      </c>
      <c r="CC10" s="109"/>
      <c r="CD10" s="109"/>
      <c r="CE10" s="98">
        <f t="shared" si="31"/>
        <v>0</v>
      </c>
      <c r="CF10" s="107">
        <f t="shared" si="31"/>
        <v>0</v>
      </c>
      <c r="CG10" s="89"/>
      <c r="CH10" s="65">
        <f t="shared" si="32"/>
        <v>1200000</v>
      </c>
      <c r="CI10" s="73"/>
      <c r="CJ10" s="73"/>
      <c r="CK10" s="66">
        <v>1200000</v>
      </c>
      <c r="CL10" s="73"/>
      <c r="CM10" s="66"/>
      <c r="CN10" s="73"/>
      <c r="CO10" s="73"/>
      <c r="CP10" s="90"/>
      <c r="CQ10" s="68">
        <v>0</v>
      </c>
      <c r="CR10" s="69">
        <f t="shared" si="33"/>
        <v>310.71520000000004</v>
      </c>
      <c r="CS10" s="69">
        <f>SUM(AP10,AR10,G10,Q10,BN10,AZ10,M10,BT10,AN10,S10,AB10,AF10,K10,AJ10,BI10,W10,BB10,BF10,CF10,BP10,BL10,CG10,AT10,AV10,AX10,CB10,BX10)</f>
        <v>393.64680000000004</v>
      </c>
      <c r="CT10" s="70">
        <f t="shared" si="0"/>
        <v>1521445.9392000001</v>
      </c>
      <c r="CU10" s="70">
        <f t="shared" si="1"/>
        <v>1009217.8800000004</v>
      </c>
      <c r="CV10" s="70">
        <f t="shared" si="35"/>
        <v>321445.93920000014</v>
      </c>
      <c r="CW10" s="67" t="s">
        <v>129</v>
      </c>
      <c r="CX10" s="116">
        <v>300000</v>
      </c>
    </row>
    <row r="11" spans="1:102" s="87" customFormat="1" ht="20.25" customHeight="1">
      <c r="B11" s="93" t="s">
        <v>130</v>
      </c>
      <c r="C11" s="92" t="s">
        <v>131</v>
      </c>
      <c r="D11" s="102">
        <v>0</v>
      </c>
      <c r="E11" s="102">
        <v>0</v>
      </c>
      <c r="F11" s="98">
        <f t="shared" si="2"/>
        <v>0</v>
      </c>
      <c r="G11" s="98">
        <f t="shared" si="2"/>
        <v>0</v>
      </c>
      <c r="H11" s="98">
        <v>0</v>
      </c>
      <c r="I11" s="98">
        <v>10</v>
      </c>
      <c r="J11" s="98">
        <f t="shared" si="3"/>
        <v>0</v>
      </c>
      <c r="K11" s="98">
        <f t="shared" si="4"/>
        <v>8.7360000000000024</v>
      </c>
      <c r="L11" s="103">
        <v>62.12</v>
      </c>
      <c r="M11" s="98">
        <f t="shared" si="5"/>
        <v>62.12</v>
      </c>
      <c r="N11" s="98"/>
      <c r="O11" s="98"/>
      <c r="P11" s="98">
        <f t="shared" si="6"/>
        <v>0</v>
      </c>
      <c r="Q11" s="98">
        <f t="shared" si="7"/>
        <v>0</v>
      </c>
      <c r="R11" s="103">
        <v>51.08</v>
      </c>
      <c r="S11" s="98">
        <f t="shared" si="8"/>
        <v>57.209600000000002</v>
      </c>
      <c r="T11" s="103">
        <v>13.25</v>
      </c>
      <c r="U11" s="98">
        <v>5.73</v>
      </c>
      <c r="V11" s="98">
        <f t="shared" si="9"/>
        <v>14.840000000000002</v>
      </c>
      <c r="W11" s="98">
        <f t="shared" si="10"/>
        <v>6.4176000000000011</v>
      </c>
      <c r="X11" s="120">
        <v>54</v>
      </c>
      <c r="Y11" s="120">
        <v>63</v>
      </c>
      <c r="Z11" s="121"/>
      <c r="AA11" s="121">
        <f t="shared" si="11"/>
        <v>40.5</v>
      </c>
      <c r="AB11" s="121">
        <f t="shared" si="12"/>
        <v>47.25</v>
      </c>
      <c r="AC11" s="123">
        <v>0</v>
      </c>
      <c r="AD11" s="123">
        <v>0</v>
      </c>
      <c r="AE11" s="121">
        <f t="shared" si="13"/>
        <v>0</v>
      </c>
      <c r="AF11" s="121">
        <f t="shared" si="13"/>
        <v>0</v>
      </c>
      <c r="AG11" s="98"/>
      <c r="AH11" s="98"/>
      <c r="AI11" s="98">
        <f t="shared" si="14"/>
        <v>0</v>
      </c>
      <c r="AJ11" s="98">
        <f t="shared" si="14"/>
        <v>0</v>
      </c>
      <c r="AK11" s="103">
        <v>489.2</v>
      </c>
      <c r="AL11" s="98">
        <v>42.98</v>
      </c>
      <c r="AM11" s="98">
        <f t="shared" si="15"/>
        <v>547.904</v>
      </c>
      <c r="AN11" s="98">
        <f t="shared" si="16"/>
        <v>48.137599999999999</v>
      </c>
      <c r="AO11" s="98"/>
      <c r="AP11" s="98"/>
      <c r="AQ11" s="131">
        <v>4.75</v>
      </c>
      <c r="AR11" s="131" t="s">
        <v>211</v>
      </c>
      <c r="AS11" s="99"/>
      <c r="AT11" s="98">
        <f t="shared" si="17"/>
        <v>0</v>
      </c>
      <c r="AU11" s="98"/>
      <c r="AV11" s="149">
        <f t="shared" si="18"/>
        <v>0</v>
      </c>
      <c r="AW11" s="98">
        <v>19.04</v>
      </c>
      <c r="AX11" s="98">
        <v>77.260000000000005</v>
      </c>
      <c r="AY11" s="98"/>
      <c r="AZ11" s="98">
        <f t="shared" si="19"/>
        <v>0</v>
      </c>
      <c r="BA11" s="98"/>
      <c r="BB11" s="98"/>
      <c r="BC11" s="98"/>
      <c r="BD11" s="98"/>
      <c r="BE11" s="98">
        <f t="shared" si="20"/>
        <v>0</v>
      </c>
      <c r="BF11" s="98">
        <f t="shared" si="21"/>
        <v>0</v>
      </c>
      <c r="BG11" s="98">
        <v>67.67</v>
      </c>
      <c r="BH11" s="98">
        <v>12.93</v>
      </c>
      <c r="BI11" s="98">
        <f t="shared" si="22"/>
        <v>75.790400000000005</v>
      </c>
      <c r="BJ11" s="98">
        <f t="shared" si="23"/>
        <v>14.4816</v>
      </c>
      <c r="BK11" s="98"/>
      <c r="BL11" s="98"/>
      <c r="BM11" s="98">
        <v>46.89</v>
      </c>
      <c r="BN11" s="98">
        <f t="shared" si="24"/>
        <v>44.114112000000006</v>
      </c>
      <c r="BO11" s="105">
        <v>72.5</v>
      </c>
      <c r="BP11" s="149">
        <f t="shared" si="25"/>
        <v>81.2</v>
      </c>
      <c r="BQ11" s="112">
        <v>0</v>
      </c>
      <c r="BR11" s="112">
        <v>0</v>
      </c>
      <c r="BS11" s="104">
        <f t="shared" si="26"/>
        <v>0</v>
      </c>
      <c r="BT11" s="104">
        <f t="shared" si="27"/>
        <v>0</v>
      </c>
      <c r="BU11" s="105">
        <v>13.06</v>
      </c>
      <c r="BV11" s="105">
        <v>0</v>
      </c>
      <c r="BW11" s="142">
        <f t="shared" si="28"/>
        <v>17.2392</v>
      </c>
      <c r="BX11" s="142">
        <f t="shared" si="29"/>
        <v>0</v>
      </c>
      <c r="BY11" s="110">
        <v>0</v>
      </c>
      <c r="BZ11" s="110">
        <v>0</v>
      </c>
      <c r="CA11" s="142">
        <f t="shared" si="30"/>
        <v>0</v>
      </c>
      <c r="CB11" s="142">
        <f t="shared" si="30"/>
        <v>0</v>
      </c>
      <c r="CC11" s="106">
        <v>6</v>
      </c>
      <c r="CD11" s="106">
        <v>0</v>
      </c>
      <c r="CE11" s="98">
        <f t="shared" si="31"/>
        <v>0.30000000000000004</v>
      </c>
      <c r="CF11" s="107">
        <f t="shared" si="31"/>
        <v>0</v>
      </c>
      <c r="CG11" s="89"/>
      <c r="CH11" s="65">
        <f t="shared" si="32"/>
        <v>1870000</v>
      </c>
      <c r="CI11" s="73"/>
      <c r="CJ11" s="73"/>
      <c r="CK11" s="66">
        <v>1870000</v>
      </c>
      <c r="CL11" s="73"/>
      <c r="CM11" s="66"/>
      <c r="CN11" s="73"/>
      <c r="CO11" s="73">
        <v>0</v>
      </c>
      <c r="CP11" s="90"/>
      <c r="CQ11" s="68">
        <v>0</v>
      </c>
      <c r="CR11" s="69">
        <f t="shared" si="33"/>
        <v>644.57319999999993</v>
      </c>
      <c r="CS11" s="69">
        <f t="shared" si="34"/>
        <v>508.23531199999996</v>
      </c>
      <c r="CT11" s="70">
        <f t="shared" si="0"/>
        <v>2503875.0388607997</v>
      </c>
      <c r="CU11" s="70">
        <f t="shared" si="1"/>
        <v>1656346.9203071999</v>
      </c>
      <c r="CV11" s="70">
        <f t="shared" si="35"/>
        <v>633875.03886079974</v>
      </c>
      <c r="CW11" s="67" t="s">
        <v>132</v>
      </c>
      <c r="CX11" s="116">
        <v>3000000</v>
      </c>
    </row>
    <row r="12" spans="1:102" s="87" customFormat="1" ht="20.25" customHeight="1">
      <c r="B12" s="94" t="s">
        <v>133</v>
      </c>
      <c r="C12" s="95" t="s">
        <v>134</v>
      </c>
      <c r="D12" s="102">
        <v>22.8</v>
      </c>
      <c r="E12" s="102">
        <v>2.7</v>
      </c>
      <c r="F12" s="98">
        <f t="shared" si="2"/>
        <v>13.68</v>
      </c>
      <c r="G12" s="98">
        <f t="shared" si="2"/>
        <v>1.62</v>
      </c>
      <c r="H12" s="98"/>
      <c r="I12" s="98"/>
      <c r="J12" s="98">
        <f t="shared" si="3"/>
        <v>0</v>
      </c>
      <c r="K12" s="98">
        <f t="shared" si="4"/>
        <v>0</v>
      </c>
      <c r="L12" s="103">
        <v>132.77000000000001</v>
      </c>
      <c r="M12" s="98">
        <f t="shared" si="5"/>
        <v>132.77000000000001</v>
      </c>
      <c r="N12" s="99"/>
      <c r="O12" s="99"/>
      <c r="P12" s="98">
        <f t="shared" si="6"/>
        <v>0</v>
      </c>
      <c r="Q12" s="98">
        <f t="shared" si="7"/>
        <v>0</v>
      </c>
      <c r="R12" s="103">
        <v>25.95</v>
      </c>
      <c r="S12" s="98">
        <f t="shared" si="8"/>
        <v>29.064000000000004</v>
      </c>
      <c r="T12" s="103">
        <v>53.85</v>
      </c>
      <c r="U12" s="98">
        <v>5.31</v>
      </c>
      <c r="V12" s="98">
        <f t="shared" si="9"/>
        <v>60.312000000000005</v>
      </c>
      <c r="W12" s="98">
        <f t="shared" si="10"/>
        <v>5.9472000000000005</v>
      </c>
      <c r="X12" s="120">
        <v>473</v>
      </c>
      <c r="Y12" s="120">
        <v>94</v>
      </c>
      <c r="Z12" s="119"/>
      <c r="AA12" s="121">
        <f t="shared" si="11"/>
        <v>354.75</v>
      </c>
      <c r="AB12" s="121">
        <f t="shared" si="12"/>
        <v>70.5</v>
      </c>
      <c r="AC12" s="119"/>
      <c r="AD12" s="119"/>
      <c r="AE12" s="121">
        <f t="shared" si="13"/>
        <v>0</v>
      </c>
      <c r="AF12" s="121">
        <f t="shared" si="13"/>
        <v>0</v>
      </c>
      <c r="AG12" s="98"/>
      <c r="AH12" s="98"/>
      <c r="AI12" s="98">
        <f t="shared" si="14"/>
        <v>0</v>
      </c>
      <c r="AJ12" s="98">
        <f t="shared" si="14"/>
        <v>0</v>
      </c>
      <c r="AK12" s="103">
        <v>18.04</v>
      </c>
      <c r="AL12" s="98">
        <v>3.06</v>
      </c>
      <c r="AM12" s="98">
        <f t="shared" si="15"/>
        <v>20.204800000000002</v>
      </c>
      <c r="AN12" s="98">
        <f t="shared" si="16"/>
        <v>3.4272000000000005</v>
      </c>
      <c r="AO12" s="98"/>
      <c r="AP12" s="98"/>
      <c r="AQ12" s="131"/>
      <c r="AR12" s="131"/>
      <c r="AS12" s="99"/>
      <c r="AT12" s="98">
        <f t="shared" si="17"/>
        <v>0</v>
      </c>
      <c r="AU12" s="99">
        <v>1.8</v>
      </c>
      <c r="AV12" s="149">
        <f t="shared" si="18"/>
        <v>1.8</v>
      </c>
      <c r="AW12" s="98">
        <v>86.64</v>
      </c>
      <c r="AX12" s="98">
        <v>32.32</v>
      </c>
      <c r="AY12" s="99"/>
      <c r="AZ12" s="98">
        <f t="shared" si="19"/>
        <v>0</v>
      </c>
      <c r="BA12" s="99"/>
      <c r="BB12" s="99"/>
      <c r="BC12" s="99"/>
      <c r="BD12" s="99"/>
      <c r="BE12" s="98">
        <f t="shared" si="20"/>
        <v>0</v>
      </c>
      <c r="BF12" s="98">
        <f t="shared" si="21"/>
        <v>0</v>
      </c>
      <c r="BG12" s="98">
        <v>38.61</v>
      </c>
      <c r="BH12" s="98">
        <v>0</v>
      </c>
      <c r="BI12" s="98">
        <f t="shared" si="22"/>
        <v>43.243200000000002</v>
      </c>
      <c r="BJ12" s="98">
        <f t="shared" si="23"/>
        <v>0</v>
      </c>
      <c r="BK12" s="99"/>
      <c r="BL12" s="99"/>
      <c r="BM12" s="98"/>
      <c r="BN12" s="98">
        <f t="shared" si="24"/>
        <v>0</v>
      </c>
      <c r="BO12" s="105">
        <v>34.97</v>
      </c>
      <c r="BP12" s="149">
        <f t="shared" si="25"/>
        <v>39.166400000000003</v>
      </c>
      <c r="BQ12" s="113"/>
      <c r="BR12" s="113"/>
      <c r="BS12" s="104">
        <f t="shared" si="26"/>
        <v>0</v>
      </c>
      <c r="BT12" s="104">
        <f t="shared" si="27"/>
        <v>0</v>
      </c>
      <c r="BU12" s="105">
        <v>0</v>
      </c>
      <c r="BV12" s="105">
        <v>0</v>
      </c>
      <c r="BW12" s="142">
        <f t="shared" si="28"/>
        <v>0</v>
      </c>
      <c r="BX12" s="142">
        <f t="shared" si="29"/>
        <v>0</v>
      </c>
      <c r="BY12" s="111"/>
      <c r="BZ12" s="111"/>
      <c r="CA12" s="142">
        <f t="shared" si="30"/>
        <v>0</v>
      </c>
      <c r="CB12" s="142">
        <f t="shared" si="30"/>
        <v>0</v>
      </c>
      <c r="CC12" s="109"/>
      <c r="CD12" s="109"/>
      <c r="CE12" s="98">
        <f t="shared" si="31"/>
        <v>0</v>
      </c>
      <c r="CF12" s="107">
        <f t="shared" si="31"/>
        <v>0</v>
      </c>
      <c r="CG12" s="89"/>
      <c r="CH12" s="65">
        <f t="shared" si="32"/>
        <v>1710000</v>
      </c>
      <c r="CI12" s="73"/>
      <c r="CJ12" s="73"/>
      <c r="CK12" s="66">
        <v>1710000</v>
      </c>
      <c r="CL12" s="73"/>
      <c r="CM12" s="66"/>
      <c r="CN12" s="73"/>
      <c r="CO12" s="73"/>
      <c r="CP12" s="90"/>
      <c r="CQ12" s="68">
        <v>0</v>
      </c>
      <c r="CR12" s="69">
        <f t="shared" si="33"/>
        <v>535.58680000000004</v>
      </c>
      <c r="CS12" s="69">
        <f t="shared" si="34"/>
        <v>359.85800000000006</v>
      </c>
      <c r="CT12" s="70">
        <f t="shared" si="0"/>
        <v>1914819.1603200003</v>
      </c>
      <c r="CU12" s="70">
        <f t="shared" si="1"/>
        <v>1276546.1068800003</v>
      </c>
      <c r="CV12" s="70">
        <f t="shared" si="35"/>
        <v>204819.16032000026</v>
      </c>
      <c r="CW12" s="67" t="s">
        <v>135</v>
      </c>
      <c r="CX12" s="116">
        <v>250000</v>
      </c>
    </row>
    <row r="13" spans="1:102">
      <c r="A13" s="18"/>
      <c r="B13" s="94" t="s">
        <v>142</v>
      </c>
      <c r="C13" s="92" t="s">
        <v>143</v>
      </c>
      <c r="D13" s="102">
        <v>0</v>
      </c>
      <c r="E13" s="102">
        <v>0</v>
      </c>
      <c r="F13" s="98">
        <f t="shared" si="2"/>
        <v>0</v>
      </c>
      <c r="G13" s="98">
        <f t="shared" si="2"/>
        <v>0</v>
      </c>
      <c r="H13" s="119"/>
      <c r="I13" s="119"/>
      <c r="J13" s="98">
        <f t="shared" si="3"/>
        <v>0</v>
      </c>
      <c r="K13" s="98">
        <f t="shared" si="4"/>
        <v>0</v>
      </c>
      <c r="L13" s="103">
        <v>0</v>
      </c>
      <c r="M13" s="98">
        <f t="shared" si="5"/>
        <v>0</v>
      </c>
      <c r="N13" s="98">
        <v>0</v>
      </c>
      <c r="O13" s="98">
        <v>0</v>
      </c>
      <c r="P13" s="98">
        <f t="shared" si="6"/>
        <v>0</v>
      </c>
      <c r="Q13" s="98">
        <f t="shared" si="7"/>
        <v>0</v>
      </c>
      <c r="R13" s="103">
        <v>0</v>
      </c>
      <c r="S13" s="98">
        <f t="shared" si="8"/>
        <v>0</v>
      </c>
      <c r="T13" s="103">
        <v>0</v>
      </c>
      <c r="U13" s="98">
        <v>0</v>
      </c>
      <c r="V13" s="98">
        <f t="shared" si="9"/>
        <v>0</v>
      </c>
      <c r="W13" s="98">
        <f t="shared" si="10"/>
        <v>0</v>
      </c>
      <c r="X13" s="120">
        <v>0</v>
      </c>
      <c r="Y13" s="120">
        <v>0</v>
      </c>
      <c r="Z13" s="110"/>
      <c r="AA13" s="121">
        <f t="shared" si="11"/>
        <v>0</v>
      </c>
      <c r="AB13" s="121">
        <f t="shared" si="12"/>
        <v>0</v>
      </c>
      <c r="AC13" s="110"/>
      <c r="AD13" s="110"/>
      <c r="AE13" s="121">
        <f t="shared" si="13"/>
        <v>0</v>
      </c>
      <c r="AF13" s="121">
        <f t="shared" si="13"/>
        <v>0</v>
      </c>
      <c r="AG13" s="98"/>
      <c r="AH13" s="98"/>
      <c r="AI13" s="98">
        <f t="shared" si="14"/>
        <v>0</v>
      </c>
      <c r="AJ13" s="98">
        <f t="shared" si="14"/>
        <v>0</v>
      </c>
      <c r="AK13" s="103"/>
      <c r="AL13" s="98"/>
      <c r="AM13" s="98">
        <f t="shared" si="15"/>
        <v>0</v>
      </c>
      <c r="AN13" s="98">
        <f t="shared" si="16"/>
        <v>0</v>
      </c>
      <c r="AO13" s="98"/>
      <c r="AP13" s="98"/>
      <c r="AQ13" s="131">
        <v>0</v>
      </c>
      <c r="AR13" s="131"/>
      <c r="AS13" s="99"/>
      <c r="AT13" s="98">
        <f t="shared" si="17"/>
        <v>0</v>
      </c>
      <c r="AU13" s="99"/>
      <c r="AV13" s="149">
        <f t="shared" si="18"/>
        <v>0</v>
      </c>
      <c r="AW13" s="98">
        <v>0</v>
      </c>
      <c r="AX13" s="98">
        <v>0</v>
      </c>
      <c r="AY13" s="101"/>
      <c r="AZ13" s="98">
        <f t="shared" si="19"/>
        <v>0</v>
      </c>
      <c r="BA13" s="98"/>
      <c r="BB13" s="98"/>
      <c r="BC13" s="99"/>
      <c r="BD13" s="99"/>
      <c r="BE13" s="98">
        <f t="shared" si="20"/>
        <v>0</v>
      </c>
      <c r="BF13" s="98">
        <f t="shared" si="21"/>
        <v>0</v>
      </c>
      <c r="BG13" s="98"/>
      <c r="BH13" s="98"/>
      <c r="BI13" s="98">
        <f t="shared" si="22"/>
        <v>0</v>
      </c>
      <c r="BJ13" s="98">
        <f t="shared" si="23"/>
        <v>0</v>
      </c>
      <c r="BK13" s="100"/>
      <c r="BL13" s="100"/>
      <c r="BM13" s="98"/>
      <c r="BN13" s="98">
        <f t="shared" si="24"/>
        <v>0</v>
      </c>
      <c r="BO13" s="105"/>
      <c r="BP13" s="149">
        <f t="shared" si="25"/>
        <v>0</v>
      </c>
      <c r="BQ13" s="112"/>
      <c r="BR13" s="112"/>
      <c r="BS13" s="104">
        <f t="shared" si="26"/>
        <v>0</v>
      </c>
      <c r="BT13" s="104">
        <f t="shared" si="27"/>
        <v>0</v>
      </c>
      <c r="BU13" s="105">
        <v>0</v>
      </c>
      <c r="BV13" s="105">
        <v>0</v>
      </c>
      <c r="BW13" s="142">
        <f t="shared" si="28"/>
        <v>0</v>
      </c>
      <c r="BX13" s="142">
        <f t="shared" si="29"/>
        <v>0</v>
      </c>
      <c r="BY13" s="110"/>
      <c r="BZ13" s="110"/>
      <c r="CA13" s="142">
        <f t="shared" si="30"/>
        <v>0</v>
      </c>
      <c r="CB13" s="142">
        <f t="shared" si="30"/>
        <v>0</v>
      </c>
      <c r="CC13" s="106"/>
      <c r="CD13" s="106"/>
      <c r="CE13" s="98">
        <f t="shared" si="31"/>
        <v>0</v>
      </c>
      <c r="CF13" s="107">
        <f t="shared" si="31"/>
        <v>0</v>
      </c>
      <c r="CG13" s="81"/>
      <c r="CH13" s="65">
        <f t="shared" si="32"/>
        <v>0</v>
      </c>
      <c r="CI13" s="74"/>
      <c r="CJ13" s="74"/>
      <c r="CK13" s="54"/>
      <c r="CL13" s="74"/>
      <c r="CM13" s="54"/>
      <c r="CN13" s="74"/>
      <c r="CO13" s="74"/>
      <c r="CP13" s="90"/>
      <c r="CQ13" s="68">
        <v>0</v>
      </c>
      <c r="CR13" s="69">
        <f t="shared" si="33"/>
        <v>0</v>
      </c>
      <c r="CS13" s="69">
        <f t="shared" si="34"/>
        <v>0</v>
      </c>
      <c r="CT13" s="70">
        <f t="shared" si="0"/>
        <v>0</v>
      </c>
      <c r="CU13" s="70">
        <f t="shared" si="1"/>
        <v>0</v>
      </c>
      <c r="CV13" s="70">
        <f t="shared" si="35"/>
        <v>0</v>
      </c>
      <c r="CW13" s="55" t="s">
        <v>141</v>
      </c>
      <c r="CX13" s="118">
        <v>0</v>
      </c>
    </row>
    <row r="14" spans="1:102">
      <c r="A14" s="18"/>
      <c r="B14" s="94" t="s">
        <v>145</v>
      </c>
      <c r="C14" s="92" t="s">
        <v>146</v>
      </c>
      <c r="D14" s="102">
        <v>17.600000000000001</v>
      </c>
      <c r="E14" s="102">
        <v>181.1</v>
      </c>
      <c r="F14" s="98">
        <f t="shared" si="2"/>
        <v>10.56</v>
      </c>
      <c r="G14" s="98">
        <f t="shared" si="2"/>
        <v>108.66</v>
      </c>
      <c r="H14" s="110"/>
      <c r="I14" s="110"/>
      <c r="J14" s="98">
        <f t="shared" si="3"/>
        <v>0</v>
      </c>
      <c r="K14" s="98">
        <f t="shared" si="4"/>
        <v>0</v>
      </c>
      <c r="L14" s="103">
        <v>15.74</v>
      </c>
      <c r="M14" s="98">
        <f t="shared" si="5"/>
        <v>15.74</v>
      </c>
      <c r="N14" s="98"/>
      <c r="O14" s="98"/>
      <c r="P14" s="98">
        <f t="shared" si="6"/>
        <v>0</v>
      </c>
      <c r="Q14" s="98">
        <f t="shared" si="7"/>
        <v>0</v>
      </c>
      <c r="R14" s="103">
        <v>84.88</v>
      </c>
      <c r="S14" s="98">
        <f t="shared" si="8"/>
        <v>95.065600000000003</v>
      </c>
      <c r="T14" s="103">
        <v>31.06</v>
      </c>
      <c r="U14" s="98">
        <v>17.850000000000001</v>
      </c>
      <c r="V14" s="98">
        <f t="shared" si="9"/>
        <v>34.787199999999999</v>
      </c>
      <c r="W14" s="98">
        <f t="shared" si="10"/>
        <v>19.992000000000004</v>
      </c>
      <c r="X14" s="120">
        <v>0</v>
      </c>
      <c r="Y14" s="120">
        <v>0</v>
      </c>
      <c r="Z14" s="110"/>
      <c r="AA14" s="121">
        <f t="shared" si="11"/>
        <v>0</v>
      </c>
      <c r="AB14" s="121">
        <f t="shared" si="12"/>
        <v>0</v>
      </c>
      <c r="AC14" s="110"/>
      <c r="AD14" s="110"/>
      <c r="AE14" s="121">
        <f t="shared" si="13"/>
        <v>0</v>
      </c>
      <c r="AF14" s="121">
        <f t="shared" si="13"/>
        <v>0</v>
      </c>
      <c r="AG14" s="98"/>
      <c r="AH14" s="98"/>
      <c r="AI14" s="98">
        <f t="shared" si="14"/>
        <v>0</v>
      </c>
      <c r="AJ14" s="98">
        <f t="shared" si="14"/>
        <v>0</v>
      </c>
      <c r="AK14" s="103">
        <v>44.4</v>
      </c>
      <c r="AL14" s="98">
        <v>61.82</v>
      </c>
      <c r="AM14" s="98">
        <f t="shared" si="15"/>
        <v>49.728000000000002</v>
      </c>
      <c r="AN14" s="98">
        <f t="shared" si="16"/>
        <v>69.238400000000013</v>
      </c>
      <c r="AO14" s="98"/>
      <c r="AP14" s="98"/>
      <c r="AQ14" s="131"/>
      <c r="AR14" s="131"/>
      <c r="AS14" s="99"/>
      <c r="AT14" s="98">
        <f t="shared" si="17"/>
        <v>0</v>
      </c>
      <c r="AU14" s="99">
        <v>113.2</v>
      </c>
      <c r="AV14" s="149">
        <f t="shared" si="18"/>
        <v>113.2</v>
      </c>
      <c r="AW14" s="98">
        <v>53.38</v>
      </c>
      <c r="AX14" s="98">
        <v>35.81</v>
      </c>
      <c r="AY14" s="101"/>
      <c r="AZ14" s="98">
        <f t="shared" si="19"/>
        <v>0</v>
      </c>
      <c r="BA14" s="98"/>
      <c r="BB14" s="98"/>
      <c r="BC14" s="99"/>
      <c r="BD14" s="99"/>
      <c r="BE14" s="98">
        <f t="shared" si="20"/>
        <v>0</v>
      </c>
      <c r="BF14" s="98">
        <f t="shared" si="21"/>
        <v>0</v>
      </c>
      <c r="BG14" s="98">
        <v>176.01</v>
      </c>
      <c r="BH14" s="98">
        <v>46.57</v>
      </c>
      <c r="BI14" s="98">
        <f t="shared" si="22"/>
        <v>197.13120000000001</v>
      </c>
      <c r="BJ14" s="98">
        <f t="shared" si="23"/>
        <v>52.158400000000007</v>
      </c>
      <c r="BK14" s="100"/>
      <c r="BL14" s="100"/>
      <c r="BM14" s="98"/>
      <c r="BN14" s="98">
        <f t="shared" si="24"/>
        <v>0</v>
      </c>
      <c r="BO14" s="105">
        <v>162.87</v>
      </c>
      <c r="BP14" s="149">
        <f t="shared" si="25"/>
        <v>182.41440000000003</v>
      </c>
      <c r="BQ14" s="112"/>
      <c r="BR14" s="112"/>
      <c r="BS14" s="104">
        <f t="shared" si="26"/>
        <v>0</v>
      </c>
      <c r="BT14" s="104">
        <f t="shared" si="27"/>
        <v>0</v>
      </c>
      <c r="BU14" s="105">
        <v>0</v>
      </c>
      <c r="BV14" s="105">
        <v>0</v>
      </c>
      <c r="BW14" s="142">
        <f t="shared" si="28"/>
        <v>0</v>
      </c>
      <c r="BX14" s="142">
        <f t="shared" si="29"/>
        <v>0</v>
      </c>
      <c r="BY14" s="110"/>
      <c r="BZ14" s="110"/>
      <c r="CA14" s="142">
        <f t="shared" si="30"/>
        <v>0</v>
      </c>
      <c r="CB14" s="142">
        <f t="shared" si="30"/>
        <v>0</v>
      </c>
      <c r="CC14" s="106"/>
      <c r="CD14" s="106"/>
      <c r="CE14" s="98">
        <f t="shared" si="31"/>
        <v>0</v>
      </c>
      <c r="CF14" s="107">
        <f t="shared" si="31"/>
        <v>0</v>
      </c>
      <c r="CG14" s="81"/>
      <c r="CH14" s="65">
        <f t="shared" si="32"/>
        <v>1090000</v>
      </c>
      <c r="CI14" s="74"/>
      <c r="CJ14" s="74"/>
      <c r="CK14" s="54">
        <v>1090000</v>
      </c>
      <c r="CL14" s="74"/>
      <c r="CM14" s="54"/>
      <c r="CN14" s="74"/>
      <c r="CO14" s="74"/>
      <c r="CP14" s="90"/>
      <c r="CQ14" s="68">
        <v>0</v>
      </c>
      <c r="CR14" s="69">
        <f t="shared" si="33"/>
        <v>148.45519999999999</v>
      </c>
      <c r="CS14" s="69">
        <f t="shared" si="34"/>
        <v>837.25160000000005</v>
      </c>
      <c r="CT14" s="70">
        <f t="shared" si="0"/>
        <v>2247254.8243200001</v>
      </c>
      <c r="CU14" s="70">
        <f t="shared" si="1"/>
        <v>1451696.7484800003</v>
      </c>
      <c r="CV14" s="70">
        <f t="shared" si="35"/>
        <v>1157254.8243200001</v>
      </c>
      <c r="CW14" s="55" t="s">
        <v>144</v>
      </c>
      <c r="CX14" s="118">
        <v>0</v>
      </c>
    </row>
    <row r="15" spans="1:102">
      <c r="A15" s="132"/>
      <c r="B15" s="94" t="s">
        <v>153</v>
      </c>
      <c r="C15" s="92" t="s">
        <v>154</v>
      </c>
      <c r="D15" s="102">
        <v>0.9</v>
      </c>
      <c r="E15" s="102">
        <v>16.100000000000001</v>
      </c>
      <c r="F15" s="98">
        <f t="shared" si="2"/>
        <v>0.54</v>
      </c>
      <c r="G15" s="98">
        <f t="shared" si="2"/>
        <v>9.66</v>
      </c>
      <c r="H15" s="119"/>
      <c r="I15" s="119"/>
      <c r="J15" s="98">
        <f t="shared" si="3"/>
        <v>0</v>
      </c>
      <c r="K15" s="98">
        <f t="shared" si="4"/>
        <v>0</v>
      </c>
      <c r="L15" s="103">
        <v>0</v>
      </c>
      <c r="M15" s="98">
        <f t="shared" si="5"/>
        <v>0</v>
      </c>
      <c r="N15" s="98">
        <v>25.49</v>
      </c>
      <c r="O15" s="98">
        <v>59.08</v>
      </c>
      <c r="P15" s="98">
        <f t="shared" si="6"/>
        <v>28.5488</v>
      </c>
      <c r="Q15" s="98">
        <f t="shared" si="7"/>
        <v>66.169600000000003</v>
      </c>
      <c r="R15" s="103">
        <v>131.81</v>
      </c>
      <c r="S15" s="98">
        <f t="shared" si="8"/>
        <v>147.62720000000002</v>
      </c>
      <c r="T15" s="103">
        <v>7.03</v>
      </c>
      <c r="U15" s="98">
        <v>11.38</v>
      </c>
      <c r="V15" s="98">
        <f t="shared" si="9"/>
        <v>7.8736000000000006</v>
      </c>
      <c r="W15" s="98">
        <f t="shared" si="10"/>
        <v>12.745600000000001</v>
      </c>
      <c r="X15" s="120">
        <v>0</v>
      </c>
      <c r="Y15" s="120">
        <v>0</v>
      </c>
      <c r="Z15" s="110"/>
      <c r="AA15" s="121">
        <f t="shared" si="11"/>
        <v>0</v>
      </c>
      <c r="AB15" s="121">
        <f t="shared" si="12"/>
        <v>0</v>
      </c>
      <c r="AC15" s="110"/>
      <c r="AD15" s="110"/>
      <c r="AE15" s="121">
        <f t="shared" si="13"/>
        <v>0</v>
      </c>
      <c r="AF15" s="121">
        <f t="shared" si="13"/>
        <v>0</v>
      </c>
      <c r="AG15" s="98"/>
      <c r="AH15" s="98"/>
      <c r="AI15" s="98">
        <f t="shared" si="14"/>
        <v>0</v>
      </c>
      <c r="AJ15" s="98">
        <f t="shared" si="14"/>
        <v>0</v>
      </c>
      <c r="AK15" s="103">
        <v>90.66</v>
      </c>
      <c r="AL15" s="98">
        <v>96.76</v>
      </c>
      <c r="AM15" s="98">
        <f t="shared" si="15"/>
        <v>101.53920000000001</v>
      </c>
      <c r="AN15" s="98">
        <f t="shared" si="16"/>
        <v>108.37120000000002</v>
      </c>
      <c r="AO15" s="98"/>
      <c r="AP15" s="98"/>
      <c r="AQ15" s="131"/>
      <c r="AR15" s="131"/>
      <c r="AS15" s="99"/>
      <c r="AT15" s="98">
        <f t="shared" si="17"/>
        <v>0</v>
      </c>
      <c r="AU15" s="99"/>
      <c r="AV15" s="149">
        <f t="shared" si="18"/>
        <v>0</v>
      </c>
      <c r="AW15" s="98"/>
      <c r="AX15" s="98"/>
      <c r="AY15" s="101"/>
      <c r="AZ15" s="98">
        <f t="shared" si="19"/>
        <v>0</v>
      </c>
      <c r="BA15" s="98"/>
      <c r="BB15" s="98"/>
      <c r="BC15" s="99"/>
      <c r="BD15" s="99"/>
      <c r="BE15" s="98">
        <f t="shared" si="20"/>
        <v>0</v>
      </c>
      <c r="BF15" s="98">
        <f t="shared" si="21"/>
        <v>0</v>
      </c>
      <c r="BG15" s="98">
        <v>186.02</v>
      </c>
      <c r="BH15" s="98">
        <v>1.05</v>
      </c>
      <c r="BI15" s="98">
        <f t="shared" si="22"/>
        <v>208.34240000000003</v>
      </c>
      <c r="BJ15" s="98">
        <f t="shared" si="23"/>
        <v>1.1760000000000002</v>
      </c>
      <c r="BK15" s="100"/>
      <c r="BL15" s="100"/>
      <c r="BM15" s="98">
        <v>19.52</v>
      </c>
      <c r="BN15" s="98">
        <f t="shared" si="24"/>
        <v>18.364416000000002</v>
      </c>
      <c r="BO15" s="105">
        <v>73.92</v>
      </c>
      <c r="BP15" s="149">
        <f t="shared" si="25"/>
        <v>82.790400000000005</v>
      </c>
      <c r="BQ15" s="112"/>
      <c r="BR15" s="112"/>
      <c r="BS15" s="104">
        <f t="shared" si="26"/>
        <v>0</v>
      </c>
      <c r="BT15" s="104">
        <f t="shared" si="27"/>
        <v>0</v>
      </c>
      <c r="BU15" s="105">
        <v>3.22</v>
      </c>
      <c r="BV15" s="105">
        <v>0</v>
      </c>
      <c r="BW15" s="142">
        <f t="shared" si="28"/>
        <v>4.2504000000000008</v>
      </c>
      <c r="BX15" s="142">
        <f t="shared" si="29"/>
        <v>0</v>
      </c>
      <c r="BY15" s="110">
        <v>145.02000000000001</v>
      </c>
      <c r="BZ15" s="110">
        <v>2.34</v>
      </c>
      <c r="CA15" s="142">
        <f t="shared" si="30"/>
        <v>72.510000000000005</v>
      </c>
      <c r="CB15" s="142">
        <f t="shared" si="30"/>
        <v>1.17</v>
      </c>
      <c r="CC15" s="106">
        <f>623+872</f>
        <v>1495</v>
      </c>
      <c r="CD15" s="106">
        <v>0</v>
      </c>
      <c r="CE15" s="98">
        <f t="shared" si="31"/>
        <v>74.75</v>
      </c>
      <c r="CF15" s="107">
        <f t="shared" si="31"/>
        <v>0</v>
      </c>
      <c r="CG15" s="81"/>
      <c r="CH15" s="65">
        <f t="shared" si="32"/>
        <v>980000</v>
      </c>
      <c r="CI15" s="74"/>
      <c r="CJ15" s="74"/>
      <c r="CK15" s="54">
        <v>980000</v>
      </c>
      <c r="CL15" s="74"/>
      <c r="CM15" s="54"/>
      <c r="CN15" s="74"/>
      <c r="CO15" s="74"/>
      <c r="CP15" s="90"/>
      <c r="CQ15" s="68">
        <v>0</v>
      </c>
      <c r="CR15" s="69">
        <f t="shared" si="33"/>
        <v>290.01200000000006</v>
      </c>
      <c r="CS15" s="69">
        <f t="shared" si="34"/>
        <v>655.240816</v>
      </c>
      <c r="CT15" s="70">
        <f t="shared" si="0"/>
        <v>2024472.0697344001</v>
      </c>
      <c r="CU15" s="70">
        <f t="shared" si="1"/>
        <v>1348600.2304896002</v>
      </c>
      <c r="CV15" s="70">
        <f t="shared" si="35"/>
        <v>1044472.0697344001</v>
      </c>
      <c r="CW15" s="55" t="s">
        <v>147</v>
      </c>
      <c r="CX15" s="118">
        <v>400000</v>
      </c>
    </row>
    <row r="16" spans="1:102">
      <c r="A16" s="18"/>
      <c r="B16" s="94" t="s">
        <v>157</v>
      </c>
      <c r="C16" s="92" t="s">
        <v>158</v>
      </c>
      <c r="D16" s="102">
        <v>0</v>
      </c>
      <c r="E16" s="102">
        <v>0</v>
      </c>
      <c r="F16" s="98">
        <f t="shared" si="2"/>
        <v>0</v>
      </c>
      <c r="G16" s="98">
        <f t="shared" si="2"/>
        <v>0</v>
      </c>
      <c r="H16" s="110"/>
      <c r="I16" s="110"/>
      <c r="J16" s="98">
        <f t="shared" si="3"/>
        <v>0</v>
      </c>
      <c r="K16" s="98">
        <f t="shared" si="4"/>
        <v>0</v>
      </c>
      <c r="L16" s="103">
        <v>0</v>
      </c>
      <c r="M16" s="98">
        <f t="shared" si="5"/>
        <v>0</v>
      </c>
      <c r="N16" s="98"/>
      <c r="O16" s="98"/>
      <c r="P16" s="98">
        <f t="shared" si="6"/>
        <v>0</v>
      </c>
      <c r="Q16" s="98">
        <f t="shared" si="7"/>
        <v>0</v>
      </c>
      <c r="R16" s="103">
        <v>0</v>
      </c>
      <c r="S16" s="98">
        <f t="shared" si="8"/>
        <v>0</v>
      </c>
      <c r="T16" s="103">
        <v>0</v>
      </c>
      <c r="U16" s="98">
        <v>0</v>
      </c>
      <c r="V16" s="98">
        <f t="shared" si="9"/>
        <v>0</v>
      </c>
      <c r="W16" s="98">
        <f t="shared" si="10"/>
        <v>0</v>
      </c>
      <c r="X16" s="120">
        <v>0</v>
      </c>
      <c r="Y16" s="120">
        <v>0</v>
      </c>
      <c r="Z16" s="110"/>
      <c r="AA16" s="121">
        <f t="shared" si="11"/>
        <v>0</v>
      </c>
      <c r="AB16" s="121">
        <f t="shared" si="12"/>
        <v>0</v>
      </c>
      <c r="AC16" s="110"/>
      <c r="AD16" s="110"/>
      <c r="AE16" s="121">
        <f t="shared" si="13"/>
        <v>0</v>
      </c>
      <c r="AF16" s="121">
        <f t="shared" si="13"/>
        <v>0</v>
      </c>
      <c r="AG16" s="98">
        <v>0</v>
      </c>
      <c r="AH16" s="98">
        <v>0</v>
      </c>
      <c r="AI16" s="98">
        <f t="shared" si="14"/>
        <v>0</v>
      </c>
      <c r="AJ16" s="98">
        <f t="shared" si="14"/>
        <v>0</v>
      </c>
      <c r="AK16" s="103"/>
      <c r="AL16" s="98"/>
      <c r="AM16" s="98">
        <f t="shared" si="15"/>
        <v>0</v>
      </c>
      <c r="AN16" s="98">
        <f t="shared" si="16"/>
        <v>0</v>
      </c>
      <c r="AO16" s="98"/>
      <c r="AP16" s="98"/>
      <c r="AQ16" s="131">
        <v>0</v>
      </c>
      <c r="AR16" s="131"/>
      <c r="AS16" s="99"/>
      <c r="AT16" s="98">
        <f t="shared" si="17"/>
        <v>0</v>
      </c>
      <c r="AU16" s="99"/>
      <c r="AV16" s="149">
        <f t="shared" si="18"/>
        <v>0</v>
      </c>
      <c r="AW16" s="98">
        <v>0</v>
      </c>
      <c r="AX16" s="98">
        <v>0</v>
      </c>
      <c r="AY16" s="101"/>
      <c r="AZ16" s="98">
        <f t="shared" si="19"/>
        <v>0</v>
      </c>
      <c r="BA16" s="98"/>
      <c r="BB16" s="98"/>
      <c r="BC16" s="99"/>
      <c r="BD16" s="99"/>
      <c r="BE16" s="98">
        <f t="shared" si="20"/>
        <v>0</v>
      </c>
      <c r="BF16" s="98">
        <f t="shared" si="21"/>
        <v>0</v>
      </c>
      <c r="BG16" s="99"/>
      <c r="BH16" s="99"/>
      <c r="BI16" s="98">
        <f t="shared" si="22"/>
        <v>0</v>
      </c>
      <c r="BJ16" s="98">
        <f t="shared" si="23"/>
        <v>0</v>
      </c>
      <c r="BK16" s="100"/>
      <c r="BL16" s="100"/>
      <c r="BM16" s="98"/>
      <c r="BN16" s="98">
        <f t="shared" si="24"/>
        <v>0</v>
      </c>
      <c r="BO16" s="105">
        <v>0</v>
      </c>
      <c r="BP16" s="149">
        <f t="shared" si="25"/>
        <v>0</v>
      </c>
      <c r="BQ16" s="112"/>
      <c r="BR16" s="112"/>
      <c r="BS16" s="104">
        <f t="shared" si="26"/>
        <v>0</v>
      </c>
      <c r="BT16" s="104">
        <f t="shared" si="27"/>
        <v>0</v>
      </c>
      <c r="BU16" s="105">
        <v>0</v>
      </c>
      <c r="BV16" s="105">
        <v>0</v>
      </c>
      <c r="BW16" s="142">
        <f t="shared" si="28"/>
        <v>0</v>
      </c>
      <c r="BX16" s="142">
        <f t="shared" si="29"/>
        <v>0</v>
      </c>
      <c r="BY16" s="110">
        <v>0</v>
      </c>
      <c r="BZ16" s="110">
        <v>0</v>
      </c>
      <c r="CA16" s="142">
        <f t="shared" si="30"/>
        <v>0</v>
      </c>
      <c r="CB16" s="142">
        <f t="shared" si="30"/>
        <v>0</v>
      </c>
      <c r="CC16" s="106"/>
      <c r="CD16" s="106"/>
      <c r="CE16" s="98">
        <f t="shared" si="31"/>
        <v>0</v>
      </c>
      <c r="CF16" s="107">
        <f t="shared" si="31"/>
        <v>0</v>
      </c>
      <c r="CG16" s="81"/>
      <c r="CH16" s="65">
        <f t="shared" si="32"/>
        <v>0</v>
      </c>
      <c r="CI16" s="74"/>
      <c r="CJ16" s="74"/>
      <c r="CK16" s="54"/>
      <c r="CL16" s="74"/>
      <c r="CM16" s="54"/>
      <c r="CN16" s="74"/>
      <c r="CO16" s="74"/>
      <c r="CP16" s="90"/>
      <c r="CQ16" s="68">
        <v>0</v>
      </c>
      <c r="CR16" s="69">
        <f t="shared" si="33"/>
        <v>0</v>
      </c>
      <c r="CS16" s="69">
        <f t="shared" si="34"/>
        <v>0</v>
      </c>
      <c r="CT16" s="70">
        <f t="shared" si="0"/>
        <v>0</v>
      </c>
      <c r="CU16" s="70">
        <f t="shared" si="1"/>
        <v>0</v>
      </c>
      <c r="CV16" s="70">
        <f t="shared" si="35"/>
        <v>0</v>
      </c>
      <c r="CW16" s="55"/>
      <c r="CX16" s="118"/>
    </row>
    <row r="17" spans="1:102">
      <c r="A17" s="18" t="s">
        <v>166</v>
      </c>
      <c r="B17" s="94" t="s">
        <v>167</v>
      </c>
      <c r="C17" s="92" t="s">
        <v>168</v>
      </c>
      <c r="D17" s="102">
        <v>0</v>
      </c>
      <c r="E17" s="102">
        <v>0</v>
      </c>
      <c r="F17" s="98">
        <f t="shared" si="2"/>
        <v>0</v>
      </c>
      <c r="G17" s="98">
        <f t="shared" si="2"/>
        <v>0</v>
      </c>
      <c r="H17" s="110"/>
      <c r="I17" s="110"/>
      <c r="J17" s="98">
        <f t="shared" si="3"/>
        <v>0</v>
      </c>
      <c r="K17" s="98">
        <f t="shared" si="4"/>
        <v>0</v>
      </c>
      <c r="L17" s="103">
        <v>0</v>
      </c>
      <c r="M17" s="98">
        <f t="shared" si="5"/>
        <v>0</v>
      </c>
      <c r="N17" s="98"/>
      <c r="O17" s="98"/>
      <c r="P17" s="98">
        <f t="shared" si="6"/>
        <v>0</v>
      </c>
      <c r="Q17" s="98">
        <f t="shared" si="7"/>
        <v>0</v>
      </c>
      <c r="R17" s="103">
        <v>0</v>
      </c>
      <c r="S17" s="98">
        <f t="shared" si="8"/>
        <v>0</v>
      </c>
      <c r="T17" s="103"/>
      <c r="U17" s="98"/>
      <c r="V17" s="98">
        <f t="shared" si="9"/>
        <v>0</v>
      </c>
      <c r="W17" s="98">
        <f t="shared" si="10"/>
        <v>0</v>
      </c>
      <c r="X17" s="120">
        <v>0</v>
      </c>
      <c r="Y17" s="120">
        <v>0</v>
      </c>
      <c r="Z17" s="110"/>
      <c r="AA17" s="121">
        <f t="shared" si="11"/>
        <v>0</v>
      </c>
      <c r="AB17" s="121">
        <f t="shared" si="12"/>
        <v>0</v>
      </c>
      <c r="AC17" s="110"/>
      <c r="AD17" s="110"/>
      <c r="AE17" s="121">
        <f t="shared" si="13"/>
        <v>0</v>
      </c>
      <c r="AF17" s="121">
        <f t="shared" si="13"/>
        <v>0</v>
      </c>
      <c r="AG17" s="98">
        <v>0</v>
      </c>
      <c r="AH17" s="98">
        <v>0</v>
      </c>
      <c r="AI17" s="98">
        <f t="shared" si="14"/>
        <v>0</v>
      </c>
      <c r="AJ17" s="98">
        <f t="shared" si="14"/>
        <v>0</v>
      </c>
      <c r="AK17" s="103">
        <v>0.17</v>
      </c>
      <c r="AL17" s="98"/>
      <c r="AM17" s="98">
        <f t="shared" si="15"/>
        <v>0.19040000000000004</v>
      </c>
      <c r="AN17" s="98">
        <f t="shared" si="16"/>
        <v>0</v>
      </c>
      <c r="AO17" s="98"/>
      <c r="AP17" s="98"/>
      <c r="AQ17" s="131"/>
      <c r="AR17" s="131"/>
      <c r="AS17" s="99"/>
      <c r="AT17" s="98">
        <f t="shared" si="17"/>
        <v>0</v>
      </c>
      <c r="AU17" s="99"/>
      <c r="AV17" s="149">
        <f t="shared" si="18"/>
        <v>0</v>
      </c>
      <c r="AW17" s="98">
        <v>0</v>
      </c>
      <c r="AX17" s="98">
        <v>0</v>
      </c>
      <c r="AY17" s="101"/>
      <c r="AZ17" s="98">
        <f t="shared" si="19"/>
        <v>0</v>
      </c>
      <c r="BA17" s="98"/>
      <c r="BB17" s="98"/>
      <c r="BC17" s="99"/>
      <c r="BD17" s="99"/>
      <c r="BE17" s="98">
        <f t="shared" si="20"/>
        <v>0</v>
      </c>
      <c r="BF17" s="98">
        <f t="shared" si="21"/>
        <v>0</v>
      </c>
      <c r="BG17" s="99"/>
      <c r="BH17" s="99"/>
      <c r="BI17" s="98">
        <f t="shared" si="22"/>
        <v>0</v>
      </c>
      <c r="BJ17" s="98">
        <f t="shared" si="23"/>
        <v>0</v>
      </c>
      <c r="BK17" s="100"/>
      <c r="BL17" s="100"/>
      <c r="BM17" s="98"/>
      <c r="BN17" s="98">
        <f t="shared" si="24"/>
        <v>0</v>
      </c>
      <c r="BO17" s="105"/>
      <c r="BP17" s="149">
        <f t="shared" si="25"/>
        <v>0</v>
      </c>
      <c r="BQ17" s="112"/>
      <c r="BR17" s="112"/>
      <c r="BS17" s="104">
        <f t="shared" si="26"/>
        <v>0</v>
      </c>
      <c r="BT17" s="104">
        <f t="shared" si="27"/>
        <v>0</v>
      </c>
      <c r="BU17" s="105">
        <v>0</v>
      </c>
      <c r="BV17" s="105">
        <v>0</v>
      </c>
      <c r="BW17" s="142">
        <f t="shared" si="28"/>
        <v>0</v>
      </c>
      <c r="BX17" s="142">
        <f t="shared" si="29"/>
        <v>0</v>
      </c>
      <c r="BY17" s="110"/>
      <c r="BZ17" s="110"/>
      <c r="CA17" s="142">
        <f t="shared" si="30"/>
        <v>0</v>
      </c>
      <c r="CB17" s="142">
        <f t="shared" si="30"/>
        <v>0</v>
      </c>
      <c r="CC17" s="106"/>
      <c r="CD17" s="106"/>
      <c r="CE17" s="98">
        <f t="shared" si="31"/>
        <v>0</v>
      </c>
      <c r="CF17" s="107">
        <f t="shared" si="31"/>
        <v>0</v>
      </c>
      <c r="CG17" s="81"/>
      <c r="CH17" s="65">
        <f t="shared" si="32"/>
        <v>0</v>
      </c>
      <c r="CI17" s="74"/>
      <c r="CJ17" s="74"/>
      <c r="CK17" s="54"/>
      <c r="CL17" s="74"/>
      <c r="CM17" s="54"/>
      <c r="CN17" s="74"/>
      <c r="CO17" s="74"/>
      <c r="CP17" s="90"/>
      <c r="CQ17" s="68">
        <v>0</v>
      </c>
      <c r="CR17" s="69">
        <f t="shared" si="33"/>
        <v>0.19040000000000004</v>
      </c>
      <c r="CS17" s="69">
        <f t="shared" si="34"/>
        <v>0</v>
      </c>
      <c r="CT17" s="70">
        <f t="shared" si="0"/>
        <v>407.15136000000007</v>
      </c>
      <c r="CU17" s="70">
        <f t="shared" si="1"/>
        <v>271.43424000000005</v>
      </c>
      <c r="CV17" s="70">
        <f t="shared" si="35"/>
        <v>407.15136000000007</v>
      </c>
      <c r="CW17" s="55"/>
      <c r="CX17" s="118"/>
    </row>
    <row r="18" spans="1:102">
      <c r="A18" s="18"/>
      <c r="B18" s="94" t="s">
        <v>178</v>
      </c>
      <c r="C18" s="92" t="s">
        <v>179</v>
      </c>
      <c r="D18" s="102">
        <v>0</v>
      </c>
      <c r="E18" s="102">
        <v>0</v>
      </c>
      <c r="F18" s="98">
        <f t="shared" si="2"/>
        <v>0</v>
      </c>
      <c r="G18" s="98">
        <f t="shared" si="2"/>
        <v>0</v>
      </c>
      <c r="H18" s="110"/>
      <c r="I18" s="110"/>
      <c r="J18" s="98">
        <f t="shared" si="3"/>
        <v>0</v>
      </c>
      <c r="K18" s="98">
        <f t="shared" si="4"/>
        <v>0</v>
      </c>
      <c r="L18" s="103">
        <v>145.57</v>
      </c>
      <c r="M18" s="98">
        <f t="shared" si="5"/>
        <v>145.57</v>
      </c>
      <c r="N18" s="98"/>
      <c r="O18" s="98"/>
      <c r="P18" s="98">
        <f t="shared" si="6"/>
        <v>0</v>
      </c>
      <c r="Q18" s="98">
        <f t="shared" si="7"/>
        <v>0</v>
      </c>
      <c r="R18" s="103">
        <v>51.98</v>
      </c>
      <c r="S18" s="98">
        <f t="shared" si="8"/>
        <v>58.217600000000004</v>
      </c>
      <c r="T18" s="103">
        <v>0.88</v>
      </c>
      <c r="U18" s="98">
        <v>7.63</v>
      </c>
      <c r="V18" s="98">
        <f t="shared" si="9"/>
        <v>0.98560000000000014</v>
      </c>
      <c r="W18" s="98">
        <f t="shared" si="10"/>
        <v>8.5456000000000003</v>
      </c>
      <c r="X18" s="120">
        <v>0</v>
      </c>
      <c r="Y18" s="120">
        <v>0</v>
      </c>
      <c r="Z18" s="110"/>
      <c r="AA18" s="121">
        <f t="shared" si="11"/>
        <v>0</v>
      </c>
      <c r="AB18" s="121">
        <f t="shared" si="12"/>
        <v>0</v>
      </c>
      <c r="AC18" s="110"/>
      <c r="AD18" s="110"/>
      <c r="AE18" s="121">
        <f t="shared" si="13"/>
        <v>0</v>
      </c>
      <c r="AF18" s="121">
        <f t="shared" si="13"/>
        <v>0</v>
      </c>
      <c r="AG18" s="98">
        <v>0</v>
      </c>
      <c r="AH18" s="98">
        <v>0</v>
      </c>
      <c r="AI18" s="98">
        <f t="shared" si="14"/>
        <v>0</v>
      </c>
      <c r="AJ18" s="98">
        <f t="shared" si="14"/>
        <v>0</v>
      </c>
      <c r="AK18" s="103">
        <v>12.38</v>
      </c>
      <c r="AL18" s="98">
        <v>3.2</v>
      </c>
      <c r="AM18" s="98">
        <f t="shared" si="15"/>
        <v>13.865600000000002</v>
      </c>
      <c r="AN18" s="98">
        <f t="shared" si="16"/>
        <v>3.5840000000000005</v>
      </c>
      <c r="AO18" s="98">
        <v>0</v>
      </c>
      <c r="AP18" s="98">
        <v>0</v>
      </c>
      <c r="AQ18" s="131">
        <v>142.25</v>
      </c>
      <c r="AR18" s="131" t="s">
        <v>212</v>
      </c>
      <c r="AS18" s="99"/>
      <c r="AT18" s="98">
        <f t="shared" si="17"/>
        <v>0</v>
      </c>
      <c r="AU18" s="99"/>
      <c r="AV18" s="149">
        <f t="shared" si="18"/>
        <v>0</v>
      </c>
      <c r="AW18" s="98">
        <v>2.2599999999999998</v>
      </c>
      <c r="AX18" s="98">
        <v>0</v>
      </c>
      <c r="AY18" s="101"/>
      <c r="AZ18" s="98">
        <f t="shared" si="19"/>
        <v>0</v>
      </c>
      <c r="BA18" s="98"/>
      <c r="BB18" s="98"/>
      <c r="BC18" s="99"/>
      <c r="BD18" s="99"/>
      <c r="BE18" s="98">
        <f t="shared" si="20"/>
        <v>0</v>
      </c>
      <c r="BF18" s="98">
        <f t="shared" si="21"/>
        <v>0</v>
      </c>
      <c r="BG18" s="99">
        <v>88.77</v>
      </c>
      <c r="BH18" s="99">
        <v>0</v>
      </c>
      <c r="BI18" s="98">
        <f t="shared" si="22"/>
        <v>99.42240000000001</v>
      </c>
      <c r="BJ18" s="98">
        <f t="shared" si="23"/>
        <v>0</v>
      </c>
      <c r="BK18" s="100"/>
      <c r="BL18" s="100"/>
      <c r="BM18" s="98"/>
      <c r="BN18" s="98">
        <f t="shared" si="24"/>
        <v>0</v>
      </c>
      <c r="BO18" s="105">
        <v>33.56</v>
      </c>
      <c r="BP18" s="149">
        <f t="shared" si="25"/>
        <v>37.587200000000003</v>
      </c>
      <c r="BQ18" s="112"/>
      <c r="BR18" s="112"/>
      <c r="BS18" s="104">
        <f t="shared" si="26"/>
        <v>0</v>
      </c>
      <c r="BT18" s="104">
        <f t="shared" si="27"/>
        <v>0</v>
      </c>
      <c r="BU18" s="105">
        <v>0</v>
      </c>
      <c r="BV18" s="105">
        <v>0</v>
      </c>
      <c r="BW18" s="142">
        <f t="shared" si="28"/>
        <v>0</v>
      </c>
      <c r="BX18" s="142">
        <f t="shared" si="29"/>
        <v>0</v>
      </c>
      <c r="BY18" s="110"/>
      <c r="BZ18" s="110"/>
      <c r="CA18" s="142">
        <f t="shared" si="30"/>
        <v>0</v>
      </c>
      <c r="CB18" s="142">
        <f t="shared" si="30"/>
        <v>0</v>
      </c>
      <c r="CC18" s="106"/>
      <c r="CD18" s="106"/>
      <c r="CE18" s="98">
        <f t="shared" si="31"/>
        <v>0</v>
      </c>
      <c r="CF18" s="107">
        <f t="shared" si="31"/>
        <v>0</v>
      </c>
      <c r="CG18" s="81"/>
      <c r="CH18" s="65">
        <f t="shared" si="32"/>
        <v>650000</v>
      </c>
      <c r="CI18" s="74"/>
      <c r="CJ18" s="74"/>
      <c r="CK18" s="54">
        <v>650000</v>
      </c>
      <c r="CL18" s="74"/>
      <c r="CM18" s="54"/>
      <c r="CN18" s="74"/>
      <c r="CO18" s="74"/>
      <c r="CP18" s="90"/>
      <c r="CQ18" s="68">
        <v>0</v>
      </c>
      <c r="CR18" s="69">
        <f t="shared" si="33"/>
        <v>159.3612</v>
      </c>
      <c r="CS18" s="69">
        <f t="shared" si="34"/>
        <v>352.92679999999996</v>
      </c>
      <c r="CT18" s="70">
        <f t="shared" si="0"/>
        <v>1095476.6591999999</v>
      </c>
      <c r="CU18" s="70">
        <f t="shared" si="1"/>
        <v>730317.77280000004</v>
      </c>
      <c r="CV18" s="70">
        <f t="shared" si="35"/>
        <v>445476.65919999988</v>
      </c>
      <c r="CW18" s="55"/>
      <c r="CX18" s="118"/>
    </row>
    <row r="19" spans="1:102">
      <c r="A19" s="18"/>
      <c r="B19" s="94" t="s">
        <v>186</v>
      </c>
      <c r="C19" s="92" t="s">
        <v>187</v>
      </c>
      <c r="D19" s="102">
        <v>0</v>
      </c>
      <c r="E19" s="102">
        <v>0</v>
      </c>
      <c r="F19" s="98">
        <f t="shared" si="2"/>
        <v>0</v>
      </c>
      <c r="G19" s="98">
        <f t="shared" si="2"/>
        <v>0</v>
      </c>
      <c r="H19" s="110"/>
      <c r="I19" s="110"/>
      <c r="J19" s="98">
        <f t="shared" si="3"/>
        <v>0</v>
      </c>
      <c r="K19" s="98">
        <f t="shared" si="4"/>
        <v>0</v>
      </c>
      <c r="L19" s="103">
        <v>0</v>
      </c>
      <c r="M19" s="98">
        <f t="shared" si="5"/>
        <v>0</v>
      </c>
      <c r="N19" s="98">
        <v>0</v>
      </c>
      <c r="O19" s="98">
        <v>0</v>
      </c>
      <c r="P19" s="98">
        <f t="shared" si="6"/>
        <v>0</v>
      </c>
      <c r="Q19" s="98">
        <f t="shared" si="7"/>
        <v>0</v>
      </c>
      <c r="R19" s="103">
        <v>22.06</v>
      </c>
      <c r="S19" s="98">
        <f t="shared" si="8"/>
        <v>24.7072</v>
      </c>
      <c r="T19" s="103">
        <v>2.73</v>
      </c>
      <c r="U19" s="98">
        <v>9.3800000000000008</v>
      </c>
      <c r="V19" s="98">
        <f t="shared" si="9"/>
        <v>3.0576000000000003</v>
      </c>
      <c r="W19" s="98">
        <f t="shared" si="10"/>
        <v>10.505600000000001</v>
      </c>
      <c r="X19" s="120">
        <v>0</v>
      </c>
      <c r="Y19" s="120">
        <v>0</v>
      </c>
      <c r="Z19" s="110"/>
      <c r="AA19" s="121">
        <f t="shared" si="11"/>
        <v>0</v>
      </c>
      <c r="AB19" s="121">
        <f t="shared" si="12"/>
        <v>0</v>
      </c>
      <c r="AC19" s="110"/>
      <c r="AD19" s="110"/>
      <c r="AE19" s="121">
        <f t="shared" si="13"/>
        <v>0</v>
      </c>
      <c r="AF19" s="121">
        <f t="shared" si="13"/>
        <v>0</v>
      </c>
      <c r="AG19" s="98">
        <v>0</v>
      </c>
      <c r="AH19" s="98">
        <v>0</v>
      </c>
      <c r="AI19" s="98">
        <f t="shared" si="14"/>
        <v>0</v>
      </c>
      <c r="AJ19" s="98">
        <f t="shared" si="14"/>
        <v>0</v>
      </c>
      <c r="AK19" s="103">
        <v>12.95</v>
      </c>
      <c r="AL19" s="98">
        <v>21.36</v>
      </c>
      <c r="AM19" s="98">
        <f t="shared" si="15"/>
        <v>14.504000000000001</v>
      </c>
      <c r="AN19" s="98">
        <f t="shared" si="16"/>
        <v>23.923200000000001</v>
      </c>
      <c r="AO19" s="98"/>
      <c r="AP19" s="98"/>
      <c r="AQ19" s="131"/>
      <c r="AR19" s="131">
        <v>0</v>
      </c>
      <c r="AS19" s="99"/>
      <c r="AT19" s="98">
        <f t="shared" si="17"/>
        <v>0</v>
      </c>
      <c r="AU19" s="99">
        <v>18.3</v>
      </c>
      <c r="AV19" s="149">
        <f t="shared" si="18"/>
        <v>18.3</v>
      </c>
      <c r="AW19" s="98">
        <v>1.0900000000000001</v>
      </c>
      <c r="AX19" s="98">
        <v>17.64</v>
      </c>
      <c r="AY19" s="101"/>
      <c r="AZ19" s="98">
        <f t="shared" si="19"/>
        <v>0</v>
      </c>
      <c r="BA19" s="98"/>
      <c r="BB19" s="98"/>
      <c r="BC19" s="99"/>
      <c r="BD19" s="99"/>
      <c r="BE19" s="98">
        <f t="shared" si="20"/>
        <v>0</v>
      </c>
      <c r="BF19" s="98">
        <f t="shared" si="21"/>
        <v>0</v>
      </c>
      <c r="BG19" s="99">
        <v>57.84</v>
      </c>
      <c r="BH19" s="99">
        <v>0</v>
      </c>
      <c r="BI19" s="98">
        <f t="shared" si="22"/>
        <v>64.780800000000013</v>
      </c>
      <c r="BJ19" s="98">
        <f t="shared" si="23"/>
        <v>0</v>
      </c>
      <c r="BK19" s="100"/>
      <c r="BL19" s="100"/>
      <c r="BM19" s="98">
        <v>11.27</v>
      </c>
      <c r="BN19" s="98">
        <f t="shared" si="24"/>
        <v>10.602816000000001</v>
      </c>
      <c r="BO19" s="105">
        <v>0.41</v>
      </c>
      <c r="BP19" s="149">
        <f t="shared" si="25"/>
        <v>0.4592</v>
      </c>
      <c r="BQ19" s="112"/>
      <c r="BR19" s="112"/>
      <c r="BS19" s="104">
        <f t="shared" si="26"/>
        <v>0</v>
      </c>
      <c r="BT19" s="104">
        <f t="shared" si="27"/>
        <v>0</v>
      </c>
      <c r="BU19" s="105">
        <v>0</v>
      </c>
      <c r="BV19" s="105">
        <v>0</v>
      </c>
      <c r="BW19" s="142">
        <f t="shared" si="28"/>
        <v>0</v>
      </c>
      <c r="BX19" s="142">
        <f t="shared" si="29"/>
        <v>0</v>
      </c>
      <c r="BY19" s="110"/>
      <c r="BZ19" s="110"/>
      <c r="CA19" s="142">
        <f t="shared" si="30"/>
        <v>0</v>
      </c>
      <c r="CB19" s="142">
        <f t="shared" si="30"/>
        <v>0</v>
      </c>
      <c r="CC19" s="106"/>
      <c r="CD19" s="106"/>
      <c r="CE19" s="98">
        <f t="shared" si="31"/>
        <v>0</v>
      </c>
      <c r="CF19" s="107">
        <f t="shared" si="31"/>
        <v>0</v>
      </c>
      <c r="CG19" s="81"/>
      <c r="CH19" s="65">
        <f t="shared" si="32"/>
        <v>110000</v>
      </c>
      <c r="CI19" s="74"/>
      <c r="CJ19" s="74"/>
      <c r="CK19" s="54">
        <v>110000</v>
      </c>
      <c r="CL19" s="74"/>
      <c r="CM19" s="54"/>
      <c r="CN19" s="74"/>
      <c r="CO19" s="74">
        <v>0</v>
      </c>
      <c r="CP19" s="90"/>
      <c r="CQ19" s="68">
        <v>0</v>
      </c>
      <c r="CR19" s="69">
        <f t="shared" si="33"/>
        <v>18.651600000000002</v>
      </c>
      <c r="CS19" s="69">
        <f t="shared" si="34"/>
        <v>170.91881600000005</v>
      </c>
      <c r="CT19" s="70">
        <f t="shared" si="0"/>
        <v>405377.37757440016</v>
      </c>
      <c r="CU19" s="70">
        <f t="shared" si="1"/>
        <v>270251.58504960011</v>
      </c>
      <c r="CV19" s="70">
        <f t="shared" si="35"/>
        <v>295377.37757440016</v>
      </c>
      <c r="CW19" s="55"/>
      <c r="CX19" s="118"/>
    </row>
    <row r="20" spans="1:102">
      <c r="A20" s="18"/>
      <c r="B20" s="94" t="s">
        <v>193</v>
      </c>
      <c r="C20" s="92" t="s">
        <v>194</v>
      </c>
      <c r="D20" s="102">
        <v>0</v>
      </c>
      <c r="E20" s="102">
        <v>0</v>
      </c>
      <c r="F20" s="98">
        <f t="shared" si="2"/>
        <v>0</v>
      </c>
      <c r="G20" s="98">
        <f t="shared" si="2"/>
        <v>0</v>
      </c>
      <c r="H20" s="110"/>
      <c r="I20" s="110"/>
      <c r="J20" s="98">
        <f t="shared" si="3"/>
        <v>0</v>
      </c>
      <c r="K20" s="98">
        <f t="shared" si="4"/>
        <v>0</v>
      </c>
      <c r="L20" s="103">
        <v>0</v>
      </c>
      <c r="M20" s="98">
        <f t="shared" si="5"/>
        <v>0</v>
      </c>
      <c r="N20" s="98"/>
      <c r="O20" s="98"/>
      <c r="P20" s="98">
        <f t="shared" si="6"/>
        <v>0</v>
      </c>
      <c r="Q20" s="98">
        <f t="shared" si="7"/>
        <v>0</v>
      </c>
      <c r="R20" s="103">
        <v>566.70000000000005</v>
      </c>
      <c r="S20" s="98">
        <f t="shared" si="8"/>
        <v>634.70400000000006</v>
      </c>
      <c r="T20" s="103">
        <v>0</v>
      </c>
      <c r="U20" s="98">
        <v>0</v>
      </c>
      <c r="V20" s="98">
        <f t="shared" si="9"/>
        <v>0</v>
      </c>
      <c r="W20" s="98">
        <f t="shared" si="10"/>
        <v>0</v>
      </c>
      <c r="X20" s="120">
        <v>0</v>
      </c>
      <c r="Y20" s="120">
        <v>0</v>
      </c>
      <c r="Z20" s="110"/>
      <c r="AA20" s="121">
        <f t="shared" si="11"/>
        <v>0</v>
      </c>
      <c r="AB20" s="121">
        <f t="shared" si="12"/>
        <v>0</v>
      </c>
      <c r="AC20" s="110"/>
      <c r="AD20" s="110"/>
      <c r="AE20" s="121">
        <f t="shared" si="13"/>
        <v>0</v>
      </c>
      <c r="AF20" s="121">
        <f t="shared" si="13"/>
        <v>0</v>
      </c>
      <c r="AG20" s="98">
        <v>0</v>
      </c>
      <c r="AH20" s="98">
        <v>0</v>
      </c>
      <c r="AI20" s="98">
        <f t="shared" si="14"/>
        <v>0</v>
      </c>
      <c r="AJ20" s="98">
        <f t="shared" si="14"/>
        <v>0</v>
      </c>
      <c r="AK20" s="103">
        <v>206.26</v>
      </c>
      <c r="AL20" s="98">
        <v>114.67</v>
      </c>
      <c r="AM20" s="98">
        <f t="shared" si="15"/>
        <v>231.0112</v>
      </c>
      <c r="AN20" s="98">
        <f t="shared" si="16"/>
        <v>128.43040000000002</v>
      </c>
      <c r="AO20" s="98"/>
      <c r="AP20" s="98"/>
      <c r="AQ20" s="131"/>
      <c r="AR20" s="131"/>
      <c r="AS20" s="99"/>
      <c r="AT20" s="98">
        <f t="shared" si="17"/>
        <v>0</v>
      </c>
      <c r="AU20" s="99"/>
      <c r="AV20" s="149">
        <f t="shared" si="18"/>
        <v>0</v>
      </c>
      <c r="AW20" s="98">
        <v>66.91</v>
      </c>
      <c r="AX20" s="98">
        <v>56.92</v>
      </c>
      <c r="AY20" s="101"/>
      <c r="AZ20" s="98">
        <f t="shared" si="19"/>
        <v>0</v>
      </c>
      <c r="BA20" s="98"/>
      <c r="BB20" s="98"/>
      <c r="BC20" s="99">
        <v>1.5</v>
      </c>
      <c r="BD20" s="99">
        <v>0</v>
      </c>
      <c r="BE20" s="98">
        <f t="shared" si="20"/>
        <v>1.1903999999999999</v>
      </c>
      <c r="BF20" s="98">
        <f t="shared" si="21"/>
        <v>0</v>
      </c>
      <c r="BG20" s="99"/>
      <c r="BH20" s="99"/>
      <c r="BI20" s="98">
        <f t="shared" si="22"/>
        <v>0</v>
      </c>
      <c r="BJ20" s="98">
        <f t="shared" si="23"/>
        <v>0</v>
      </c>
      <c r="BK20" s="100"/>
      <c r="BL20" s="100"/>
      <c r="BM20" s="98">
        <v>98.82</v>
      </c>
      <c r="BN20" s="98">
        <f t="shared" si="24"/>
        <v>92.969855999999993</v>
      </c>
      <c r="BO20" s="105">
        <v>11.53</v>
      </c>
      <c r="BP20" s="149">
        <f t="shared" si="25"/>
        <v>12.913600000000001</v>
      </c>
      <c r="BQ20" s="112"/>
      <c r="BR20" s="112"/>
      <c r="BS20" s="104">
        <f t="shared" si="26"/>
        <v>0</v>
      </c>
      <c r="BT20" s="104">
        <f t="shared" si="27"/>
        <v>0</v>
      </c>
      <c r="BU20" s="105">
        <v>0</v>
      </c>
      <c r="BV20" s="105">
        <v>0</v>
      </c>
      <c r="BW20" s="142">
        <f t="shared" si="28"/>
        <v>0</v>
      </c>
      <c r="BX20" s="142">
        <f t="shared" si="29"/>
        <v>0</v>
      </c>
      <c r="BY20" s="110"/>
      <c r="BZ20" s="110"/>
      <c r="CA20" s="142">
        <f t="shared" si="30"/>
        <v>0</v>
      </c>
      <c r="CB20" s="142">
        <f t="shared" si="30"/>
        <v>0</v>
      </c>
      <c r="CC20" s="106"/>
      <c r="CD20" s="106"/>
      <c r="CE20" s="98">
        <f t="shared" si="31"/>
        <v>0</v>
      </c>
      <c r="CF20" s="107">
        <f t="shared" si="31"/>
        <v>0</v>
      </c>
      <c r="CG20" s="81"/>
      <c r="CH20" s="65">
        <f t="shared" si="32"/>
        <v>1570000</v>
      </c>
      <c r="CI20" s="74"/>
      <c r="CJ20" s="74"/>
      <c r="CK20" s="54">
        <v>1570000</v>
      </c>
      <c r="CL20" s="74"/>
      <c r="CM20" s="54"/>
      <c r="CN20" s="74"/>
      <c r="CO20" s="74"/>
      <c r="CP20" s="90"/>
      <c r="CQ20" s="68">
        <v>0</v>
      </c>
      <c r="CR20" s="69">
        <f t="shared" si="33"/>
        <v>299.11160000000001</v>
      </c>
      <c r="CS20" s="69">
        <f t="shared" si="34"/>
        <v>925.93785600000001</v>
      </c>
      <c r="CT20" s="70">
        <f t="shared" si="0"/>
        <v>2619645.7567104003</v>
      </c>
      <c r="CU20" s="70">
        <f t="shared" si="1"/>
        <v>1746430.5044736003</v>
      </c>
      <c r="CV20" s="70">
        <f t="shared" si="35"/>
        <v>1049645.7567104003</v>
      </c>
      <c r="CW20" s="55"/>
      <c r="CX20" s="118"/>
    </row>
    <row r="21" spans="1:102">
      <c r="A21" s="171" t="s">
        <v>199</v>
      </c>
      <c r="B21" s="169" t="s">
        <v>200</v>
      </c>
      <c r="C21" s="170" t="s">
        <v>201</v>
      </c>
      <c r="D21" s="102">
        <v>0</v>
      </c>
      <c r="E21" s="102">
        <v>0</v>
      </c>
      <c r="F21" s="98">
        <f t="shared" si="2"/>
        <v>0</v>
      </c>
      <c r="G21" s="98">
        <f t="shared" si="2"/>
        <v>0</v>
      </c>
      <c r="H21" s="110">
        <v>0</v>
      </c>
      <c r="I21" s="110">
        <v>0</v>
      </c>
      <c r="J21" s="98">
        <f t="shared" si="3"/>
        <v>0</v>
      </c>
      <c r="K21" s="98">
        <f t="shared" si="4"/>
        <v>0</v>
      </c>
      <c r="L21" s="103">
        <v>121.34</v>
      </c>
      <c r="M21" s="98">
        <f>L21*C3</f>
        <v>135.9008</v>
      </c>
      <c r="N21" s="98"/>
      <c r="O21" s="98"/>
      <c r="P21" s="98">
        <f t="shared" si="6"/>
        <v>0</v>
      </c>
      <c r="Q21" s="98">
        <f t="shared" si="7"/>
        <v>0</v>
      </c>
      <c r="R21" s="103">
        <v>9.4700000000000006</v>
      </c>
      <c r="S21" s="98">
        <f t="shared" si="8"/>
        <v>10.606400000000002</v>
      </c>
      <c r="T21" s="103">
        <v>4.18</v>
      </c>
      <c r="U21" s="98">
        <v>15.67</v>
      </c>
      <c r="V21" s="98">
        <f t="shared" si="9"/>
        <v>4.6816000000000004</v>
      </c>
      <c r="W21" s="98">
        <f t="shared" si="10"/>
        <v>17.550400000000003</v>
      </c>
      <c r="X21" s="120">
        <v>0</v>
      </c>
      <c r="Y21" s="120">
        <v>0</v>
      </c>
      <c r="Z21" s="110"/>
      <c r="AA21" s="121">
        <f t="shared" si="11"/>
        <v>0</v>
      </c>
      <c r="AB21" s="121">
        <f t="shared" si="12"/>
        <v>0</v>
      </c>
      <c r="AC21" s="110"/>
      <c r="AD21" s="110"/>
      <c r="AE21" s="121">
        <f t="shared" si="13"/>
        <v>0</v>
      </c>
      <c r="AF21" s="121">
        <f t="shared" si="13"/>
        <v>0</v>
      </c>
      <c r="AG21" s="98">
        <v>0</v>
      </c>
      <c r="AH21" s="98">
        <v>0</v>
      </c>
      <c r="AI21" s="98">
        <f t="shared" si="14"/>
        <v>0</v>
      </c>
      <c r="AJ21" s="98">
        <f t="shared" si="14"/>
        <v>0</v>
      </c>
      <c r="AK21" s="103">
        <v>76.88</v>
      </c>
      <c r="AL21" s="98">
        <v>34.630000000000003</v>
      </c>
      <c r="AM21" s="98">
        <f t="shared" si="15"/>
        <v>86.10560000000001</v>
      </c>
      <c r="AN21" s="98">
        <f t="shared" si="16"/>
        <v>38.785600000000009</v>
      </c>
      <c r="AO21" s="98"/>
      <c r="AP21" s="98"/>
      <c r="AQ21" s="131"/>
      <c r="AR21" s="131"/>
      <c r="AS21" s="99"/>
      <c r="AT21" s="98">
        <f t="shared" si="17"/>
        <v>0</v>
      </c>
      <c r="AU21" s="99">
        <v>26</v>
      </c>
      <c r="AV21" s="149">
        <f t="shared" si="18"/>
        <v>26</v>
      </c>
      <c r="AW21" s="98">
        <v>39.22</v>
      </c>
      <c r="AX21" s="98">
        <v>29.9</v>
      </c>
      <c r="AY21" s="101"/>
      <c r="AZ21" s="98">
        <f t="shared" si="19"/>
        <v>0</v>
      </c>
      <c r="BA21" s="98"/>
      <c r="BB21" s="98"/>
      <c r="BC21" s="99"/>
      <c r="BD21" s="99"/>
      <c r="BE21" s="98">
        <f t="shared" si="20"/>
        <v>0</v>
      </c>
      <c r="BF21" s="98">
        <f t="shared" si="21"/>
        <v>0</v>
      </c>
      <c r="BG21" s="99"/>
      <c r="BH21" s="99"/>
      <c r="BI21" s="98">
        <f t="shared" si="22"/>
        <v>0</v>
      </c>
      <c r="BJ21" s="98">
        <f t="shared" si="23"/>
        <v>0</v>
      </c>
      <c r="BK21" s="100"/>
      <c r="BL21" s="100"/>
      <c r="BM21" s="98">
        <v>0</v>
      </c>
      <c r="BN21" s="98">
        <f t="shared" si="24"/>
        <v>0</v>
      </c>
      <c r="BO21" s="105">
        <v>111.91</v>
      </c>
      <c r="BP21" s="149">
        <f t="shared" si="25"/>
        <v>125.33920000000001</v>
      </c>
      <c r="BQ21" s="112"/>
      <c r="BR21" s="112"/>
      <c r="BS21" s="104">
        <f t="shared" si="26"/>
        <v>0</v>
      </c>
      <c r="BT21" s="104">
        <f t="shared" si="27"/>
        <v>0</v>
      </c>
      <c r="BU21" s="105">
        <v>84.2</v>
      </c>
      <c r="BV21" s="105">
        <v>28.49</v>
      </c>
      <c r="BW21" s="142">
        <f t="shared" si="28"/>
        <v>111.14400000000001</v>
      </c>
      <c r="BX21" s="142">
        <f t="shared" si="29"/>
        <v>36.467199999999998</v>
      </c>
      <c r="BY21" s="110">
        <v>0</v>
      </c>
      <c r="BZ21" s="110">
        <v>0</v>
      </c>
      <c r="CA21" s="142">
        <f t="shared" si="30"/>
        <v>0</v>
      </c>
      <c r="CB21" s="142">
        <f t="shared" si="30"/>
        <v>0</v>
      </c>
      <c r="CC21" s="106"/>
      <c r="CD21" s="106"/>
      <c r="CE21" s="98">
        <f t="shared" si="31"/>
        <v>0</v>
      </c>
      <c r="CF21" s="107">
        <f t="shared" si="31"/>
        <v>0</v>
      </c>
      <c r="CG21" s="81"/>
      <c r="CH21" s="65">
        <f t="shared" si="32"/>
        <v>1050000</v>
      </c>
      <c r="CI21" s="74"/>
      <c r="CJ21" s="74"/>
      <c r="CK21" s="54">
        <v>1050000</v>
      </c>
      <c r="CL21" s="74"/>
      <c r="CM21" s="54"/>
      <c r="CN21" s="74"/>
      <c r="CO21" s="74"/>
      <c r="CP21" s="90"/>
      <c r="CQ21" s="68">
        <v>0</v>
      </c>
      <c r="CR21" s="69">
        <f>SUM(AO21,AQ21,F21,P21,BS21,AM21,AA21,AE21,J21,AI21,V21,BA21,BE21,CE21,AW21,CA21,BW21)</f>
        <v>241.15120000000002</v>
      </c>
      <c r="CS21" s="69">
        <f t="shared" si="34"/>
        <v>420.5496</v>
      </c>
      <c r="CT21" s="70">
        <f>(((CR21*$A$2)+(CS21*$A$3))*0.7)+((BJ21*$A$3)*0.75)</f>
        <v>1650811.1558400001</v>
      </c>
      <c r="CU21" s="70">
        <f>((CR21*$A$2)+(CS21*$A$3))*0.3+((BJ21*$A$3)*0.25)</f>
        <v>707490.49536000006</v>
      </c>
      <c r="CV21" s="70">
        <f t="shared" si="35"/>
        <v>600811.15584000014</v>
      </c>
      <c r="CW21" s="55"/>
      <c r="CX21" s="118"/>
    </row>
    <row r="22" spans="1:102">
      <c r="A22" s="18"/>
      <c r="B22" s="94" t="s">
        <v>202</v>
      </c>
      <c r="C22" s="92" t="s">
        <v>203</v>
      </c>
      <c r="D22" s="102">
        <v>0</v>
      </c>
      <c r="E22" s="102">
        <v>0</v>
      </c>
      <c r="F22" s="98">
        <f t="shared" si="2"/>
        <v>0</v>
      </c>
      <c r="G22" s="98">
        <f t="shared" si="2"/>
        <v>0</v>
      </c>
      <c r="H22" s="110"/>
      <c r="I22" s="110"/>
      <c r="J22" s="98">
        <f t="shared" si="3"/>
        <v>0</v>
      </c>
      <c r="K22" s="98">
        <f t="shared" si="4"/>
        <v>0</v>
      </c>
      <c r="L22" s="103">
        <v>0</v>
      </c>
      <c r="M22" s="98">
        <f t="shared" si="5"/>
        <v>0</v>
      </c>
      <c r="N22" s="98"/>
      <c r="O22" s="98"/>
      <c r="P22" s="98">
        <f t="shared" si="6"/>
        <v>0</v>
      </c>
      <c r="Q22" s="98">
        <f t="shared" si="7"/>
        <v>0</v>
      </c>
      <c r="R22" s="103">
        <v>0</v>
      </c>
      <c r="S22" s="98">
        <f t="shared" si="8"/>
        <v>0</v>
      </c>
      <c r="T22" s="103"/>
      <c r="U22" s="98"/>
      <c r="V22" s="98">
        <f t="shared" si="9"/>
        <v>0</v>
      </c>
      <c r="W22" s="98">
        <f t="shared" si="10"/>
        <v>0</v>
      </c>
      <c r="X22" s="120">
        <v>0</v>
      </c>
      <c r="Y22" s="120">
        <v>0</v>
      </c>
      <c r="Z22" s="110"/>
      <c r="AA22" s="121">
        <f t="shared" si="11"/>
        <v>0</v>
      </c>
      <c r="AB22" s="121">
        <f t="shared" si="12"/>
        <v>0</v>
      </c>
      <c r="AC22" s="110"/>
      <c r="AD22" s="110"/>
      <c r="AE22" s="121">
        <f t="shared" si="13"/>
        <v>0</v>
      </c>
      <c r="AF22" s="121">
        <f t="shared" si="13"/>
        <v>0</v>
      </c>
      <c r="AG22" s="98">
        <v>0</v>
      </c>
      <c r="AH22" s="98">
        <v>0</v>
      </c>
      <c r="AI22" s="98">
        <f t="shared" si="14"/>
        <v>0</v>
      </c>
      <c r="AJ22" s="98">
        <f t="shared" si="14"/>
        <v>0</v>
      </c>
      <c r="AK22" s="103"/>
      <c r="AL22" s="98"/>
      <c r="AM22" s="98">
        <f t="shared" si="15"/>
        <v>0</v>
      </c>
      <c r="AN22" s="98">
        <f t="shared" si="16"/>
        <v>0</v>
      </c>
      <c r="AO22" s="98"/>
      <c r="AP22" s="98"/>
      <c r="AQ22" s="131">
        <v>0</v>
      </c>
      <c r="AR22" s="131">
        <v>0</v>
      </c>
      <c r="AS22" s="99"/>
      <c r="AT22" s="98">
        <f t="shared" si="17"/>
        <v>0</v>
      </c>
      <c r="AU22" s="99"/>
      <c r="AV22" s="149">
        <f t="shared" si="18"/>
        <v>0</v>
      </c>
      <c r="AW22" s="98">
        <v>0</v>
      </c>
      <c r="AX22" s="98">
        <v>0</v>
      </c>
      <c r="AY22" s="101"/>
      <c r="AZ22" s="98">
        <f t="shared" si="19"/>
        <v>0</v>
      </c>
      <c r="BA22" s="98"/>
      <c r="BB22" s="98"/>
      <c r="BC22" s="99"/>
      <c r="BD22" s="99"/>
      <c r="BE22" s="98">
        <f t="shared" si="20"/>
        <v>0</v>
      </c>
      <c r="BF22" s="98">
        <f t="shared" si="21"/>
        <v>0</v>
      </c>
      <c r="BG22" s="99"/>
      <c r="BH22" s="99"/>
      <c r="BI22" s="98">
        <f t="shared" si="22"/>
        <v>0</v>
      </c>
      <c r="BJ22" s="98">
        <f t="shared" si="23"/>
        <v>0</v>
      </c>
      <c r="BK22" s="100"/>
      <c r="BL22" s="100"/>
      <c r="BM22" s="98">
        <v>0</v>
      </c>
      <c r="BN22" s="98">
        <f t="shared" si="24"/>
        <v>0</v>
      </c>
      <c r="BO22" s="105"/>
      <c r="BP22" s="149">
        <f t="shared" si="25"/>
        <v>0</v>
      </c>
      <c r="BQ22" s="112"/>
      <c r="BR22" s="112"/>
      <c r="BS22" s="104">
        <f t="shared" si="26"/>
        <v>0</v>
      </c>
      <c r="BT22" s="104">
        <f t="shared" si="27"/>
        <v>0</v>
      </c>
      <c r="BU22" s="105">
        <v>0</v>
      </c>
      <c r="BV22" s="105">
        <v>0</v>
      </c>
      <c r="BW22" s="142">
        <f t="shared" si="28"/>
        <v>0</v>
      </c>
      <c r="BX22" s="142">
        <f t="shared" si="29"/>
        <v>0</v>
      </c>
      <c r="BY22" s="110"/>
      <c r="BZ22" s="110"/>
      <c r="CA22" s="142">
        <f t="shared" si="30"/>
        <v>0</v>
      </c>
      <c r="CB22" s="142">
        <f t="shared" si="30"/>
        <v>0</v>
      </c>
      <c r="CC22" s="106"/>
      <c r="CD22" s="106"/>
      <c r="CE22" s="98">
        <f t="shared" si="31"/>
        <v>0</v>
      </c>
      <c r="CF22" s="107">
        <f t="shared" si="31"/>
        <v>0</v>
      </c>
      <c r="CG22" s="81"/>
      <c r="CH22" s="65">
        <f t="shared" si="32"/>
        <v>0</v>
      </c>
      <c r="CI22" s="74"/>
      <c r="CJ22" s="74"/>
      <c r="CK22" s="54"/>
      <c r="CL22" s="74"/>
      <c r="CM22" s="54"/>
      <c r="CN22" s="74"/>
      <c r="CO22" s="74"/>
      <c r="CP22" s="90"/>
      <c r="CQ22" s="68">
        <v>0</v>
      </c>
      <c r="CR22" s="69">
        <f t="shared" ref="CR22" si="36">SUM(AO22,AQ22,F22,P22,BS22,AM22,AA22,AE22,J22,AI22,V22,BA22,BE22,CE22,AW22,CA22,BW22)</f>
        <v>0</v>
      </c>
      <c r="CS22" s="69">
        <f t="shared" ref="CS22:CS28" si="37">SUM(AP22,AR22,G22,Q22,BN22,AZ22,M22,BT22,AN22,S22,AB22,AF22,K22,AJ22,BI22,W22,BB22,BF22,CF22,BP22,BL22,CG22,AT22,AV22,AX22,CB22,BX22)</f>
        <v>0</v>
      </c>
      <c r="CT22" s="70">
        <f t="shared" ref="CT22" si="38">(((CR22*$A$2)+(CS22*$A$3))*0.6)+((BJ22*$A$3)*0.75)</f>
        <v>0</v>
      </c>
      <c r="CU22" s="70">
        <f t="shared" ref="CU22" si="39">((CR22*$A$2)+(CS22*$A$3))*0.4+((BJ22*$A$3)*0.25)</f>
        <v>0</v>
      </c>
      <c r="CV22" s="70">
        <f t="shared" si="35"/>
        <v>0</v>
      </c>
      <c r="CW22" s="55"/>
      <c r="CX22" s="118"/>
    </row>
    <row r="23" spans="1:102">
      <c r="A23" s="18"/>
      <c r="B23" s="94" t="s">
        <v>206</v>
      </c>
      <c r="C23" s="92" t="s">
        <v>207</v>
      </c>
      <c r="D23" s="102">
        <v>0</v>
      </c>
      <c r="E23" s="102">
        <v>0</v>
      </c>
      <c r="F23" s="98">
        <f>SUM((D23*2)*0.3)</f>
        <v>0</v>
      </c>
      <c r="G23" s="98">
        <f>SUM((E23*2)*0.3)</f>
        <v>0</v>
      </c>
      <c r="H23" s="110"/>
      <c r="I23" s="110"/>
      <c r="J23" s="98">
        <f>SUM(H23*0.78)*$C$2</f>
        <v>0</v>
      </c>
      <c r="K23" s="98">
        <f>SUM(I23*0.78)*$C$3</f>
        <v>0</v>
      </c>
      <c r="L23" s="103">
        <v>0</v>
      </c>
      <c r="M23" s="98">
        <f>L23</f>
        <v>0</v>
      </c>
      <c r="N23" s="98"/>
      <c r="O23" s="98"/>
      <c r="P23" s="98">
        <f>N23*$C$2</f>
        <v>0</v>
      </c>
      <c r="Q23" s="98">
        <f>O23*$C$3</f>
        <v>0</v>
      </c>
      <c r="R23" s="103">
        <v>51.73</v>
      </c>
      <c r="S23" s="98">
        <f>R23*$C$3</f>
        <v>57.937600000000003</v>
      </c>
      <c r="T23" s="108"/>
      <c r="U23" s="99"/>
      <c r="V23" s="98">
        <f>SUM(T23*($C$2))</f>
        <v>0</v>
      </c>
      <c r="W23" s="98">
        <f>SUM(U23*($C$3))</f>
        <v>0</v>
      </c>
      <c r="X23" s="120">
        <v>0</v>
      </c>
      <c r="Y23" s="120">
        <v>0</v>
      </c>
      <c r="Z23" s="110"/>
      <c r="AA23" s="121">
        <f>SUM(X23*0.75)+(Z23*0.75)</f>
        <v>0</v>
      </c>
      <c r="AB23" s="121">
        <f>(Y23*0.75)+(Z23*0.75)</f>
        <v>0</v>
      </c>
      <c r="AC23" s="110"/>
      <c r="AD23" s="110"/>
      <c r="AE23" s="121">
        <f>AC23*0.75</f>
        <v>0</v>
      </c>
      <c r="AF23" s="121">
        <f>AD23*0.75</f>
        <v>0</v>
      </c>
      <c r="AG23" s="98">
        <v>0</v>
      </c>
      <c r="AH23" s="98">
        <v>0</v>
      </c>
      <c r="AI23" s="98">
        <f>AG23*0.75</f>
        <v>0</v>
      </c>
      <c r="AJ23" s="98">
        <f>AH23*0.75</f>
        <v>0</v>
      </c>
      <c r="AK23" s="103">
        <v>23.93</v>
      </c>
      <c r="AL23" s="98">
        <v>69.010000000000005</v>
      </c>
      <c r="AM23" s="98">
        <f>AK23*$C$2</f>
        <v>26.801600000000001</v>
      </c>
      <c r="AN23" s="98">
        <f>AL23*$C$3</f>
        <v>77.291200000000018</v>
      </c>
      <c r="AO23" s="98"/>
      <c r="AP23" s="98"/>
      <c r="AQ23" s="131"/>
      <c r="AR23" s="131"/>
      <c r="AS23" s="99"/>
      <c r="AT23" s="98">
        <f>AS23*$C$3</f>
        <v>0</v>
      </c>
      <c r="AU23" s="99"/>
      <c r="AV23" s="149">
        <f t="shared" si="18"/>
        <v>0</v>
      </c>
      <c r="AW23" s="98">
        <v>49.82</v>
      </c>
      <c r="AX23" s="98">
        <v>42.07</v>
      </c>
      <c r="AY23" s="101"/>
      <c r="AZ23" s="98">
        <f>AY23*$D$2</f>
        <v>0</v>
      </c>
      <c r="BA23" s="98"/>
      <c r="BB23" s="98"/>
      <c r="BC23" s="99"/>
      <c r="BD23" s="99"/>
      <c r="BE23" s="98">
        <f>SUM(BC23*0.62)*$B$2</f>
        <v>0</v>
      </c>
      <c r="BF23" s="98">
        <f>SUM(BD23*0.62)*$B$3</f>
        <v>0</v>
      </c>
      <c r="BG23" s="99">
        <v>309.75</v>
      </c>
      <c r="BH23" s="99">
        <v>6.3</v>
      </c>
      <c r="BI23" s="98">
        <f>(BG23*$C$3)</f>
        <v>346.92</v>
      </c>
      <c r="BJ23" s="98">
        <f>BH23*$C$3</f>
        <v>7.056</v>
      </c>
      <c r="BK23" s="100"/>
      <c r="BL23" s="100"/>
      <c r="BM23" s="98"/>
      <c r="BN23" s="98">
        <f t="shared" si="24"/>
        <v>0</v>
      </c>
      <c r="BO23" s="105">
        <v>39.26</v>
      </c>
      <c r="BP23" s="149">
        <f>BO23*$C$3</f>
        <v>43.971200000000003</v>
      </c>
      <c r="BQ23" s="112"/>
      <c r="BR23" s="112"/>
      <c r="BS23" s="104">
        <f>(BQ23/$D$2)*$C$2</f>
        <v>0</v>
      </c>
      <c r="BT23" s="104">
        <f>(BR23/$D$3)*$C$3</f>
        <v>0</v>
      </c>
      <c r="BU23" s="105">
        <v>0</v>
      </c>
      <c r="BV23" s="105">
        <v>0</v>
      </c>
      <c r="BW23" s="142">
        <f>BU23*$E$2</f>
        <v>0</v>
      </c>
      <c r="BX23" s="142">
        <f>BV23*$E$3</f>
        <v>0</v>
      </c>
      <c r="BY23" s="110"/>
      <c r="BZ23" s="110"/>
      <c r="CA23" s="142">
        <f>BY23/2</f>
        <v>0</v>
      </c>
      <c r="CB23" s="142">
        <f>BZ23/2</f>
        <v>0</v>
      </c>
      <c r="CC23" s="106"/>
      <c r="CD23" s="106"/>
      <c r="CE23" s="98">
        <f>CC23*0.05</f>
        <v>0</v>
      </c>
      <c r="CF23" s="107">
        <f>CD23*0.05</f>
        <v>0</v>
      </c>
      <c r="CG23" s="81"/>
      <c r="CH23" s="65">
        <f>SUM(CI23:CO23)</f>
        <v>610000</v>
      </c>
      <c r="CI23" s="133"/>
      <c r="CJ23" s="133"/>
      <c r="CK23" s="54">
        <v>610000</v>
      </c>
      <c r="CL23" s="133"/>
      <c r="CM23" s="54"/>
      <c r="CN23" s="133"/>
      <c r="CO23" s="133"/>
      <c r="CP23" s="69"/>
      <c r="CQ23" s="68">
        <v>0</v>
      </c>
      <c r="CR23" s="69">
        <f>SUM(AO23,AQ23,F23,P23,BS23,AM23,AA23,AE23,J23,AI23,V23,BA23,BE23,CE23,AW23,CA23,BW23)</f>
        <v>76.621600000000001</v>
      </c>
      <c r="CS23" s="69">
        <f t="shared" si="37"/>
        <v>568.19000000000005</v>
      </c>
      <c r="CT23" s="70">
        <f>(((CR23*$A$2)+(CS23*$A$3))*0.6)+((BJ23*$A$3)*0.75)</f>
        <v>1397725.8134400002</v>
      </c>
      <c r="CU23" s="70">
        <f>((CR23*$A$2)+(CS23*$A$3))*0.4+((BJ23*$A$3)*0.25)</f>
        <v>925530.31296000001</v>
      </c>
      <c r="CV23" s="70">
        <f>CT23-CH23</f>
        <v>787725.81344000017</v>
      </c>
      <c r="CW23" s="55"/>
      <c r="CX23" s="118"/>
    </row>
    <row r="24" spans="1:102">
      <c r="A24" s="18"/>
      <c r="B24" s="94" t="s">
        <v>213</v>
      </c>
      <c r="C24" s="92" t="s">
        <v>214</v>
      </c>
      <c r="D24" s="102">
        <v>0</v>
      </c>
      <c r="E24" s="102">
        <v>0</v>
      </c>
      <c r="F24" s="98">
        <f t="shared" ref="F24" si="40">SUM((D24*2)*0.3)</f>
        <v>0</v>
      </c>
      <c r="G24" s="98">
        <f t="shared" ref="G24" si="41">SUM((E24*2)*0.3)</f>
        <v>0</v>
      </c>
      <c r="H24" s="110"/>
      <c r="I24" s="110"/>
      <c r="J24" s="98">
        <f t="shared" ref="J24" si="42">SUM(H24*0.78)*$C$2</f>
        <v>0</v>
      </c>
      <c r="K24" s="98">
        <f t="shared" ref="K24" si="43">SUM(I24*0.78)*$C$3</f>
        <v>0</v>
      </c>
      <c r="L24" s="103">
        <v>0</v>
      </c>
      <c r="M24" s="98">
        <f t="shared" ref="M24" si="44">L24</f>
        <v>0</v>
      </c>
      <c r="N24" s="98"/>
      <c r="O24" s="98"/>
      <c r="P24" s="98">
        <f t="shared" ref="P24" si="45">N24*$C$2</f>
        <v>0</v>
      </c>
      <c r="Q24" s="98">
        <f t="shared" ref="Q24" si="46">O24*$C$3</f>
        <v>0</v>
      </c>
      <c r="R24" s="103">
        <v>8.6199999999999992</v>
      </c>
      <c r="S24" s="98">
        <f t="shared" ref="S24" si="47">R24*$C$3</f>
        <v>9.6544000000000008</v>
      </c>
      <c r="T24" s="108"/>
      <c r="U24" s="99"/>
      <c r="V24" s="98">
        <f t="shared" ref="V24" si="48">SUM(T24*($C$2))</f>
        <v>0</v>
      </c>
      <c r="W24" s="98">
        <f t="shared" ref="W24" si="49">SUM(U24*($C$3))</f>
        <v>0</v>
      </c>
      <c r="X24" s="120">
        <v>0</v>
      </c>
      <c r="Y24" s="120">
        <v>0</v>
      </c>
      <c r="Z24" s="110"/>
      <c r="AA24" s="121">
        <f t="shared" ref="AA24" si="50">SUM(X24*0.75)+(Z24*0.75)</f>
        <v>0</v>
      </c>
      <c r="AB24" s="121">
        <f t="shared" ref="AB24" si="51">(Y24*0.75)+(Z24*0.75)</f>
        <v>0</v>
      </c>
      <c r="AC24" s="110"/>
      <c r="AD24" s="110"/>
      <c r="AE24" s="121">
        <f t="shared" ref="AE24" si="52">AC24*0.75</f>
        <v>0</v>
      </c>
      <c r="AF24" s="121">
        <f t="shared" ref="AF24" si="53">AD24*0.75</f>
        <v>0</v>
      </c>
      <c r="AG24" s="98">
        <v>0</v>
      </c>
      <c r="AH24" s="98">
        <v>0</v>
      </c>
      <c r="AI24" s="98">
        <f t="shared" ref="AI24" si="54">AG24*0.75</f>
        <v>0</v>
      </c>
      <c r="AJ24" s="98">
        <f t="shared" ref="AJ24" si="55">AH24*0.75</f>
        <v>0</v>
      </c>
      <c r="AK24" s="103">
        <v>0.28999999999999998</v>
      </c>
      <c r="AL24" s="98"/>
      <c r="AM24" s="98">
        <f t="shared" ref="AM24" si="56">AK24*$C$2</f>
        <v>0.32480000000000003</v>
      </c>
      <c r="AN24" s="98">
        <f t="shared" ref="AN24" si="57">AL24*$C$3</f>
        <v>0</v>
      </c>
      <c r="AO24" s="98"/>
      <c r="AP24" s="98"/>
      <c r="AQ24" s="131"/>
      <c r="AR24" s="131"/>
      <c r="AS24" s="99"/>
      <c r="AT24" s="98">
        <f t="shared" ref="AT24" si="58">AS24*$C$3</f>
        <v>0</v>
      </c>
      <c r="AU24" s="99"/>
      <c r="AV24" s="149">
        <f t="shared" si="18"/>
        <v>0</v>
      </c>
      <c r="AW24" s="98">
        <v>0</v>
      </c>
      <c r="AX24" s="98">
        <v>0</v>
      </c>
      <c r="AY24" s="101"/>
      <c r="AZ24" s="98">
        <f t="shared" ref="AZ24" si="59">AY24*$D$2</f>
        <v>0</v>
      </c>
      <c r="BA24" s="98"/>
      <c r="BB24" s="98"/>
      <c r="BC24" s="99"/>
      <c r="BD24" s="99"/>
      <c r="BE24" s="98">
        <f t="shared" ref="BE24" si="60">SUM(BC24*0.62)*$B$2</f>
        <v>0</v>
      </c>
      <c r="BF24" s="98">
        <f t="shared" ref="BF24" si="61">SUM(BD24*0.62)*$B$3</f>
        <v>0</v>
      </c>
      <c r="BG24" s="99"/>
      <c r="BH24" s="99"/>
      <c r="BI24" s="98">
        <f t="shared" ref="BI24" si="62">(BG24*$C$3)</f>
        <v>0</v>
      </c>
      <c r="BJ24" s="98">
        <f t="shared" ref="BJ24" si="63">BH24*$C$3</f>
        <v>0</v>
      </c>
      <c r="BK24" s="100"/>
      <c r="BL24" s="100"/>
      <c r="BM24" s="98"/>
      <c r="BN24" s="98">
        <f t="shared" si="24"/>
        <v>0</v>
      </c>
      <c r="BO24" s="105">
        <v>0.47</v>
      </c>
      <c r="BP24" s="149">
        <f t="shared" ref="BP24" si="64">BO24*$C$3</f>
        <v>0.52639999999999998</v>
      </c>
      <c r="BQ24" s="112"/>
      <c r="BR24" s="112"/>
      <c r="BS24" s="104">
        <f t="shared" ref="BS24" si="65">(BQ24/$D$2)*$C$2</f>
        <v>0</v>
      </c>
      <c r="BT24" s="104">
        <f t="shared" ref="BT24" si="66">(BR24/$D$3)*$C$3</f>
        <v>0</v>
      </c>
      <c r="BU24" s="105">
        <v>0</v>
      </c>
      <c r="BV24" s="105">
        <v>0</v>
      </c>
      <c r="BW24" s="142">
        <f t="shared" ref="BW24" si="67">BU24*$E$2</f>
        <v>0</v>
      </c>
      <c r="BX24" s="142">
        <f t="shared" ref="BX24" si="68">BV24*$E$3</f>
        <v>0</v>
      </c>
      <c r="BY24" s="110"/>
      <c r="BZ24" s="110"/>
      <c r="CA24" s="142">
        <f t="shared" ref="CA24" si="69">BY24/2</f>
        <v>0</v>
      </c>
      <c r="CB24" s="142">
        <f t="shared" ref="CB24" si="70">BZ24/2</f>
        <v>0</v>
      </c>
      <c r="CC24" s="106"/>
      <c r="CD24" s="106"/>
      <c r="CE24" s="98">
        <f t="shared" ref="CE24" si="71">CC24*0.05</f>
        <v>0</v>
      </c>
      <c r="CF24" s="107">
        <f t="shared" ref="CF24" si="72">CD24*0.05</f>
        <v>0</v>
      </c>
      <c r="CG24" s="81"/>
      <c r="CH24" s="65">
        <f t="shared" ref="CH24" si="73">SUM(CI24:CO24)</f>
        <v>20000</v>
      </c>
      <c r="CI24" s="74"/>
      <c r="CJ24" s="74"/>
      <c r="CK24" s="54">
        <v>20000</v>
      </c>
      <c r="CL24" s="74"/>
      <c r="CM24" s="54"/>
      <c r="CN24" s="74"/>
      <c r="CO24" s="74"/>
      <c r="CP24" s="90"/>
      <c r="CQ24" s="68">
        <v>0</v>
      </c>
      <c r="CR24" s="69">
        <f t="shared" ref="CR24" si="74">SUM(AO24,AQ24,F24,P24,BS24,AM24,AA24,AE24,J24,AI24,V24,BA24,BE24,CE24,AW24,CA24,BW24)</f>
        <v>0.32480000000000003</v>
      </c>
      <c r="CS24" s="69">
        <f t="shared" si="37"/>
        <v>10.180800000000001</v>
      </c>
      <c r="CT24" s="70">
        <f t="shared" ref="CT24" si="75">(((CR24*$A$2)+(CS24*$A$3))*0.6)+((BJ24*$A$3)*0.75)</f>
        <v>22465.175040000002</v>
      </c>
      <c r="CU24" s="70">
        <f t="shared" ref="CU24" si="76">((CR24*$A$2)+(CS24*$A$3))*0.4+((BJ24*$A$3)*0.25)</f>
        <v>14976.783360000001</v>
      </c>
      <c r="CV24" s="70">
        <f t="shared" ref="CV24" si="77">CT24-CH24</f>
        <v>2465.1750400000019</v>
      </c>
      <c r="CW24" s="55"/>
      <c r="CX24" s="118"/>
    </row>
    <row r="25" spans="1:102">
      <c r="A25" s="18"/>
      <c r="B25" s="94" t="s">
        <v>215</v>
      </c>
      <c r="C25" s="92" t="s">
        <v>216</v>
      </c>
      <c r="D25" s="102">
        <v>0</v>
      </c>
      <c r="E25" s="102">
        <v>0</v>
      </c>
      <c r="F25" s="98">
        <f t="shared" ref="F25:F26" si="78">SUM((D25*2)*0.3)</f>
        <v>0</v>
      </c>
      <c r="G25" s="98">
        <f t="shared" ref="G25:G26" si="79">SUM((E25*2)*0.3)</f>
        <v>0</v>
      </c>
      <c r="H25" s="110"/>
      <c r="I25" s="110"/>
      <c r="J25" s="98">
        <f t="shared" ref="J25:J26" si="80">SUM(H25*0.78)*$C$2</f>
        <v>0</v>
      </c>
      <c r="K25" s="98">
        <f t="shared" ref="K25:K26" si="81">SUM(I25*0.78)*$C$3</f>
        <v>0</v>
      </c>
      <c r="L25" s="103">
        <v>0</v>
      </c>
      <c r="M25" s="98">
        <f t="shared" ref="M25:M26" si="82">L25</f>
        <v>0</v>
      </c>
      <c r="N25" s="98"/>
      <c r="O25" s="98"/>
      <c r="P25" s="98">
        <f t="shared" ref="P25:P26" si="83">N25*$C$2</f>
        <v>0</v>
      </c>
      <c r="Q25" s="98">
        <f t="shared" ref="Q25:Q26" si="84">O25*$C$3</f>
        <v>0</v>
      </c>
      <c r="R25" s="103">
        <v>3.75</v>
      </c>
      <c r="S25" s="98">
        <f t="shared" ref="S25:S26" si="85">R25*$C$3</f>
        <v>4.2</v>
      </c>
      <c r="T25" s="108"/>
      <c r="U25" s="99"/>
      <c r="V25" s="98">
        <f t="shared" ref="V25:V26" si="86">SUM(T25*($C$2))</f>
        <v>0</v>
      </c>
      <c r="W25" s="98">
        <f t="shared" ref="W25:W26" si="87">SUM(U25*($C$3))</f>
        <v>0</v>
      </c>
      <c r="X25" s="120">
        <v>0</v>
      </c>
      <c r="Y25" s="120">
        <v>0</v>
      </c>
      <c r="Z25" s="110"/>
      <c r="AA25" s="121">
        <f t="shared" ref="AA25:AA26" si="88">SUM(X25*0.75)+(Z25*0.75)</f>
        <v>0</v>
      </c>
      <c r="AB25" s="121">
        <f t="shared" ref="AB25:AB26" si="89">(Y25*0.75)+(Z25*0.75)</f>
        <v>0</v>
      </c>
      <c r="AC25" s="110"/>
      <c r="AD25" s="110"/>
      <c r="AE25" s="121">
        <f t="shared" ref="AE25:AE26" si="90">AC25*0.75</f>
        <v>0</v>
      </c>
      <c r="AF25" s="121">
        <f t="shared" ref="AF25:AF26" si="91">AD25*0.75</f>
        <v>0</v>
      </c>
      <c r="AG25" s="98">
        <v>0</v>
      </c>
      <c r="AH25" s="98">
        <v>0</v>
      </c>
      <c r="AI25" s="98">
        <f t="shared" ref="AI25:AI26" si="92">AG25*0.75</f>
        <v>0</v>
      </c>
      <c r="AJ25" s="98">
        <f t="shared" ref="AJ25:AJ26" si="93">AH25*0.75</f>
        <v>0</v>
      </c>
      <c r="AK25" s="103">
        <v>0.87</v>
      </c>
      <c r="AL25" s="98">
        <v>0.43</v>
      </c>
      <c r="AM25" s="98">
        <f t="shared" ref="AM25:AM26" si="94">AK25*$C$2</f>
        <v>0.97440000000000004</v>
      </c>
      <c r="AN25" s="98">
        <f t="shared" ref="AN25:AN26" si="95">AL25*$C$3</f>
        <v>0.48160000000000003</v>
      </c>
      <c r="AO25" s="98"/>
      <c r="AP25" s="98"/>
      <c r="AQ25" s="131"/>
      <c r="AR25" s="131"/>
      <c r="AS25" s="99"/>
      <c r="AT25" s="98">
        <f t="shared" ref="AT25:AT26" si="96">AS25*$C$3</f>
        <v>0</v>
      </c>
      <c r="AU25" s="99"/>
      <c r="AV25" s="149">
        <f t="shared" ref="AV25:AV26" si="97">AU25</f>
        <v>0</v>
      </c>
      <c r="AW25" s="98">
        <v>0</v>
      </c>
      <c r="AX25" s="98">
        <v>0</v>
      </c>
      <c r="AY25" s="101"/>
      <c r="AZ25" s="98">
        <f t="shared" ref="AZ25:AZ26" si="98">AY25*$D$2</f>
        <v>0</v>
      </c>
      <c r="BA25" s="98"/>
      <c r="BB25" s="98"/>
      <c r="BC25" s="99"/>
      <c r="BD25" s="99"/>
      <c r="BE25" s="98">
        <f t="shared" ref="BE25:BE26" si="99">SUM(BC25*0.62)*$B$2</f>
        <v>0</v>
      </c>
      <c r="BF25" s="98">
        <f t="shared" ref="BF25:BF26" si="100">SUM(BD25*0.62)*$B$3</f>
        <v>0</v>
      </c>
      <c r="BG25" s="99"/>
      <c r="BH25" s="99"/>
      <c r="BI25" s="98">
        <f t="shared" ref="BI25:BI26" si="101">(BG25*$C$3)</f>
        <v>0</v>
      </c>
      <c r="BJ25" s="98">
        <f t="shared" ref="BJ25:BJ26" si="102">BH25*$C$3</f>
        <v>0</v>
      </c>
      <c r="BK25" s="100"/>
      <c r="BL25" s="100"/>
      <c r="BM25" s="98"/>
      <c r="BN25" s="98">
        <f t="shared" ref="BN25:BN26" si="103">(BM25*$C$3)-((BM25*$C$3)*0.16)</f>
        <v>0</v>
      </c>
      <c r="BO25" s="105">
        <v>4.63</v>
      </c>
      <c r="BP25" s="149">
        <f t="shared" ref="BP25:BP26" si="104">BO25*$C$3</f>
        <v>5.1856</v>
      </c>
      <c r="BQ25" s="112"/>
      <c r="BR25" s="112"/>
      <c r="BS25" s="104">
        <f t="shared" ref="BS25:BS26" si="105">(BQ25/$D$2)*$C$2</f>
        <v>0</v>
      </c>
      <c r="BT25" s="104">
        <f t="shared" ref="BT25:BT26" si="106">(BR25/$D$3)*$C$3</f>
        <v>0</v>
      </c>
      <c r="BU25" s="105">
        <v>0</v>
      </c>
      <c r="BV25" s="105">
        <v>0</v>
      </c>
      <c r="BW25" s="142">
        <f t="shared" ref="BW25:BW26" si="107">BU25*$E$2</f>
        <v>0</v>
      </c>
      <c r="BX25" s="142">
        <f t="shared" ref="BX25:BX26" si="108">BV25*$E$3</f>
        <v>0</v>
      </c>
      <c r="BY25" s="110"/>
      <c r="BZ25" s="110"/>
      <c r="CA25" s="142">
        <f t="shared" ref="CA25:CA26" si="109">BY25/2</f>
        <v>0</v>
      </c>
      <c r="CB25" s="142">
        <f t="shared" ref="CB25:CB26" si="110">BZ25/2</f>
        <v>0</v>
      </c>
      <c r="CC25" s="106"/>
      <c r="CD25" s="106"/>
      <c r="CE25" s="98">
        <f t="shared" ref="CE25:CE26" si="111">CC25*0.05</f>
        <v>0</v>
      </c>
      <c r="CF25" s="107">
        <f t="shared" ref="CF25:CF26" si="112">CD25*0.05</f>
        <v>0</v>
      </c>
      <c r="CG25" s="81"/>
      <c r="CH25" s="65">
        <f t="shared" ref="CH25:CH26" si="113">SUM(CI25:CO25)</f>
        <v>20000</v>
      </c>
      <c r="CI25" s="74"/>
      <c r="CJ25" s="74"/>
      <c r="CK25" s="54">
        <v>20000</v>
      </c>
      <c r="CL25" s="74"/>
      <c r="CM25" s="54"/>
      <c r="CN25" s="74"/>
      <c r="CO25" s="74"/>
      <c r="CP25" s="90"/>
      <c r="CQ25" s="68">
        <v>0</v>
      </c>
      <c r="CR25" s="69">
        <f t="shared" ref="CR25:CR26" si="114">SUM(AO25,AQ25,F25,P25,BS25,AM25,AA25,AE25,J25,AI25,V25,BA25,BE25,CE25,AW25,CA25,BW25)</f>
        <v>0.97440000000000004</v>
      </c>
      <c r="CS25" s="69">
        <f t="shared" si="37"/>
        <v>9.8672000000000004</v>
      </c>
      <c r="CT25" s="70">
        <f t="shared" ref="CT25:CT26" si="115">(((CR25*$A$2)+(CS25*$A$3))*0.6)+((BJ25*$A$3)*0.75)</f>
        <v>23183.677439999996</v>
      </c>
      <c r="CU25" s="70">
        <f t="shared" ref="CU25:CU26" si="116">((CR25*$A$2)+(CS25*$A$3))*0.4+((BJ25*$A$3)*0.25)</f>
        <v>15455.784959999999</v>
      </c>
      <c r="CV25" s="70">
        <f t="shared" ref="CV25:CV26" si="117">CT25-CH25</f>
        <v>3183.6774399999958</v>
      </c>
      <c r="CW25" s="55"/>
      <c r="CX25" s="118"/>
    </row>
    <row r="26" spans="1:102">
      <c r="A26" s="18"/>
      <c r="B26" s="94" t="s">
        <v>217</v>
      </c>
      <c r="C26" s="92" t="s">
        <v>218</v>
      </c>
      <c r="D26" s="102">
        <v>0</v>
      </c>
      <c r="E26" s="102">
        <v>0</v>
      </c>
      <c r="F26" s="98">
        <f t="shared" si="78"/>
        <v>0</v>
      </c>
      <c r="G26" s="98">
        <f t="shared" si="79"/>
        <v>0</v>
      </c>
      <c r="H26" s="110"/>
      <c r="I26" s="110"/>
      <c r="J26" s="98">
        <f t="shared" si="80"/>
        <v>0</v>
      </c>
      <c r="K26" s="98">
        <f t="shared" si="81"/>
        <v>0</v>
      </c>
      <c r="L26" s="103">
        <v>0</v>
      </c>
      <c r="M26" s="98">
        <f t="shared" si="82"/>
        <v>0</v>
      </c>
      <c r="N26" s="98"/>
      <c r="O26" s="98"/>
      <c r="P26" s="98">
        <f t="shared" si="83"/>
        <v>0</v>
      </c>
      <c r="Q26" s="98">
        <f t="shared" si="84"/>
        <v>0</v>
      </c>
      <c r="R26" s="103">
        <v>241.62</v>
      </c>
      <c r="S26" s="98">
        <f t="shared" si="85"/>
        <v>270.61440000000005</v>
      </c>
      <c r="T26" s="108"/>
      <c r="U26" s="99"/>
      <c r="V26" s="98">
        <f t="shared" si="86"/>
        <v>0</v>
      </c>
      <c r="W26" s="98">
        <f t="shared" si="87"/>
        <v>0</v>
      </c>
      <c r="X26" s="120">
        <v>0</v>
      </c>
      <c r="Y26" s="120">
        <v>0</v>
      </c>
      <c r="Z26" s="110"/>
      <c r="AA26" s="121">
        <f t="shared" si="88"/>
        <v>0</v>
      </c>
      <c r="AB26" s="121">
        <f t="shared" si="89"/>
        <v>0</v>
      </c>
      <c r="AC26" s="110"/>
      <c r="AD26" s="110"/>
      <c r="AE26" s="121">
        <f t="shared" si="90"/>
        <v>0</v>
      </c>
      <c r="AF26" s="121">
        <f t="shared" si="91"/>
        <v>0</v>
      </c>
      <c r="AG26" s="98">
        <v>0</v>
      </c>
      <c r="AH26" s="98">
        <v>0</v>
      </c>
      <c r="AI26" s="98">
        <f t="shared" si="92"/>
        <v>0</v>
      </c>
      <c r="AJ26" s="98">
        <f t="shared" si="93"/>
        <v>0</v>
      </c>
      <c r="AK26" s="103">
        <v>40.97</v>
      </c>
      <c r="AL26" s="98">
        <v>77.33</v>
      </c>
      <c r="AM26" s="98">
        <f t="shared" si="94"/>
        <v>45.886400000000002</v>
      </c>
      <c r="AN26" s="98">
        <f t="shared" si="95"/>
        <v>86.6096</v>
      </c>
      <c r="AO26" s="98"/>
      <c r="AP26" s="98"/>
      <c r="AQ26" s="131"/>
      <c r="AR26" s="131"/>
      <c r="AS26" s="99"/>
      <c r="AT26" s="98">
        <f t="shared" si="96"/>
        <v>0</v>
      </c>
      <c r="AU26" s="99"/>
      <c r="AV26" s="149">
        <f t="shared" si="97"/>
        <v>0</v>
      </c>
      <c r="AW26" s="98">
        <v>0</v>
      </c>
      <c r="AX26" s="98">
        <v>0</v>
      </c>
      <c r="AY26" s="101"/>
      <c r="AZ26" s="98">
        <f t="shared" si="98"/>
        <v>0</v>
      </c>
      <c r="BA26" s="98"/>
      <c r="BB26" s="98"/>
      <c r="BC26" s="99"/>
      <c r="BD26" s="99"/>
      <c r="BE26" s="98">
        <f t="shared" si="99"/>
        <v>0</v>
      </c>
      <c r="BF26" s="98">
        <f t="shared" si="100"/>
        <v>0</v>
      </c>
      <c r="BG26" s="99"/>
      <c r="BH26" s="99"/>
      <c r="BI26" s="98">
        <f t="shared" si="101"/>
        <v>0</v>
      </c>
      <c r="BJ26" s="98">
        <f t="shared" si="102"/>
        <v>0</v>
      </c>
      <c r="BK26" s="100"/>
      <c r="BL26" s="100"/>
      <c r="BM26" s="98"/>
      <c r="BN26" s="98">
        <f t="shared" si="103"/>
        <v>0</v>
      </c>
      <c r="BO26" s="105">
        <v>374.61</v>
      </c>
      <c r="BP26" s="149">
        <f t="shared" si="104"/>
        <v>419.56320000000005</v>
      </c>
      <c r="BQ26" s="112"/>
      <c r="BR26" s="112"/>
      <c r="BS26" s="104">
        <f t="shared" si="105"/>
        <v>0</v>
      </c>
      <c r="BT26" s="104">
        <f t="shared" si="106"/>
        <v>0</v>
      </c>
      <c r="BU26" s="105">
        <v>0</v>
      </c>
      <c r="BV26" s="105">
        <v>0</v>
      </c>
      <c r="BW26" s="142">
        <f t="shared" si="107"/>
        <v>0</v>
      </c>
      <c r="BX26" s="142">
        <f t="shared" si="108"/>
        <v>0</v>
      </c>
      <c r="BY26" s="110"/>
      <c r="BZ26" s="110"/>
      <c r="CA26" s="142">
        <f t="shared" si="109"/>
        <v>0</v>
      </c>
      <c r="CB26" s="142">
        <f t="shared" si="110"/>
        <v>0</v>
      </c>
      <c r="CC26" s="106"/>
      <c r="CD26" s="106"/>
      <c r="CE26" s="98">
        <f t="shared" si="111"/>
        <v>0</v>
      </c>
      <c r="CF26" s="107">
        <f t="shared" si="112"/>
        <v>0</v>
      </c>
      <c r="CG26" s="81"/>
      <c r="CH26" s="65">
        <f t="shared" si="113"/>
        <v>910000</v>
      </c>
      <c r="CI26" s="74"/>
      <c r="CJ26" s="74"/>
      <c r="CK26" s="54">
        <v>910000</v>
      </c>
      <c r="CL26" s="74"/>
      <c r="CM26" s="54"/>
      <c r="CN26" s="74"/>
      <c r="CO26" s="74"/>
      <c r="CP26" s="90"/>
      <c r="CQ26" s="68">
        <v>0</v>
      </c>
      <c r="CR26" s="69">
        <f t="shared" si="114"/>
        <v>45.886400000000002</v>
      </c>
      <c r="CS26" s="69">
        <f t="shared" si="37"/>
        <v>776.7872000000001</v>
      </c>
      <c r="CT26" s="70">
        <f t="shared" si="115"/>
        <v>1759205.2262400005</v>
      </c>
      <c r="CU26" s="70">
        <f t="shared" si="116"/>
        <v>1172803.4841600002</v>
      </c>
      <c r="CV26" s="70">
        <f t="shared" si="117"/>
        <v>849205.22624000045</v>
      </c>
      <c r="CW26" s="55"/>
      <c r="CX26" s="118"/>
    </row>
    <row r="27" spans="1:102">
      <c r="A27" s="18"/>
      <c r="B27" s="94"/>
      <c r="C27" s="92"/>
      <c r="D27" s="102">
        <v>0</v>
      </c>
      <c r="E27" s="102">
        <v>0</v>
      </c>
      <c r="F27" s="98">
        <f t="shared" ref="F27:G28" si="118">SUM((D27*2)*0.3)</f>
        <v>0</v>
      </c>
      <c r="G27" s="98">
        <f t="shared" si="118"/>
        <v>0</v>
      </c>
      <c r="H27" s="110"/>
      <c r="I27" s="110"/>
      <c r="J27" s="98">
        <f t="shared" ref="J27" si="119">SUM(H27*0.78)*$C$2</f>
        <v>0</v>
      </c>
      <c r="K27" s="98">
        <f t="shared" ref="K27" si="120">SUM(I27*0.78)*$C$3</f>
        <v>0</v>
      </c>
      <c r="L27" s="103">
        <v>0</v>
      </c>
      <c r="M27" s="98">
        <f t="shared" ref="M27" si="121">L27</f>
        <v>0</v>
      </c>
      <c r="N27" s="98"/>
      <c r="O27" s="98"/>
      <c r="P27" s="98">
        <f t="shared" ref="P27" si="122">N27*$C$2</f>
        <v>0</v>
      </c>
      <c r="Q27" s="98">
        <f t="shared" ref="Q27" si="123">O27*$C$3</f>
        <v>0</v>
      </c>
      <c r="R27" s="103">
        <v>0</v>
      </c>
      <c r="S27" s="98">
        <f t="shared" ref="S27" si="124">R27*$C$3</f>
        <v>0</v>
      </c>
      <c r="T27" s="108"/>
      <c r="U27" s="99"/>
      <c r="V27" s="98">
        <f t="shared" ref="V27" si="125">SUM(T27*($C$2))</f>
        <v>0</v>
      </c>
      <c r="W27" s="98">
        <f t="shared" ref="W27" si="126">SUM(U27*($C$3))</f>
        <v>0</v>
      </c>
      <c r="X27" s="120">
        <v>0</v>
      </c>
      <c r="Y27" s="120">
        <v>0</v>
      </c>
      <c r="Z27" s="110"/>
      <c r="AA27" s="121">
        <f t="shared" ref="AA27" si="127">SUM(X27*0.75)+(Z27*0.75)</f>
        <v>0</v>
      </c>
      <c r="AB27" s="121">
        <f t="shared" ref="AB27" si="128">(Y27*0.75)+(Z27*0.75)</f>
        <v>0</v>
      </c>
      <c r="AC27" s="110"/>
      <c r="AD27" s="110"/>
      <c r="AE27" s="121">
        <f t="shared" ref="AE27:AF27" si="129">AC27*0.75</f>
        <v>0</v>
      </c>
      <c r="AF27" s="121">
        <f t="shared" si="129"/>
        <v>0</v>
      </c>
      <c r="AG27" s="98">
        <v>0</v>
      </c>
      <c r="AH27" s="98">
        <v>0</v>
      </c>
      <c r="AI27" s="98">
        <f t="shared" ref="AI27:AJ27" si="130">AG27*0.75</f>
        <v>0</v>
      </c>
      <c r="AJ27" s="98">
        <f t="shared" si="130"/>
        <v>0</v>
      </c>
      <c r="AK27" s="103">
        <v>0</v>
      </c>
      <c r="AL27" s="98">
        <v>0</v>
      </c>
      <c r="AM27" s="98">
        <f t="shared" ref="AM27" si="131">AK27*$C$2</f>
        <v>0</v>
      </c>
      <c r="AN27" s="98">
        <f t="shared" ref="AN27" si="132">AL27*$C$3</f>
        <v>0</v>
      </c>
      <c r="AO27" s="98"/>
      <c r="AP27" s="98"/>
      <c r="AQ27" s="131"/>
      <c r="AR27" s="131"/>
      <c r="AS27" s="99"/>
      <c r="AT27" s="98">
        <f t="shared" ref="AT27" si="133">AS27*$C$3</f>
        <v>0</v>
      </c>
      <c r="AU27" s="99"/>
      <c r="AV27" s="149">
        <f t="shared" si="18"/>
        <v>0</v>
      </c>
      <c r="AW27" s="98">
        <v>0</v>
      </c>
      <c r="AX27" s="98">
        <v>0</v>
      </c>
      <c r="AY27" s="101"/>
      <c r="AZ27" s="98">
        <f t="shared" ref="AZ27" si="134">AY27*$D$2</f>
        <v>0</v>
      </c>
      <c r="BA27" s="98"/>
      <c r="BB27" s="98"/>
      <c r="BC27" s="99"/>
      <c r="BD27" s="99"/>
      <c r="BE27" s="98">
        <f t="shared" ref="BE27" si="135">SUM(BC27*0.62)*$B$2</f>
        <v>0</v>
      </c>
      <c r="BF27" s="98">
        <f t="shared" ref="BF27" si="136">SUM(BD27*0.62)*$B$3</f>
        <v>0</v>
      </c>
      <c r="BG27" s="99"/>
      <c r="BH27" s="99"/>
      <c r="BI27" s="98">
        <f t="shared" ref="BI27" si="137">(BG27*$C$3)</f>
        <v>0</v>
      </c>
      <c r="BJ27" s="98">
        <f t="shared" ref="BJ27" si="138">BH27*$C$3</f>
        <v>0</v>
      </c>
      <c r="BK27" s="100"/>
      <c r="BL27" s="100"/>
      <c r="BM27" s="98"/>
      <c r="BN27" s="98">
        <f t="shared" si="24"/>
        <v>0</v>
      </c>
      <c r="BO27" s="105">
        <v>0</v>
      </c>
      <c r="BP27" s="149">
        <f t="shared" ref="BP27" si="139">BO27*$C$3</f>
        <v>0</v>
      </c>
      <c r="BQ27" s="112"/>
      <c r="BR27" s="112"/>
      <c r="BS27" s="104">
        <f t="shared" ref="BS27" si="140">(BQ27/$D$2)*$C$2</f>
        <v>0</v>
      </c>
      <c r="BT27" s="104">
        <f t="shared" ref="BT27" si="141">(BR27/$D$3)*$C$3</f>
        <v>0</v>
      </c>
      <c r="BU27" s="105">
        <v>0</v>
      </c>
      <c r="BV27" s="105">
        <v>0</v>
      </c>
      <c r="BW27" s="142">
        <f t="shared" ref="BW27" si="142">BU27*$E$2</f>
        <v>0</v>
      </c>
      <c r="BX27" s="142">
        <f t="shared" ref="BX27" si="143">BV27*$E$3</f>
        <v>0</v>
      </c>
      <c r="BY27" s="110"/>
      <c r="BZ27" s="110"/>
      <c r="CA27" s="142">
        <f t="shared" ref="CA27:CB27" si="144">BY27/2</f>
        <v>0</v>
      </c>
      <c r="CB27" s="142">
        <f t="shared" si="144"/>
        <v>0</v>
      </c>
      <c r="CC27" s="106"/>
      <c r="CD27" s="106"/>
      <c r="CE27" s="98">
        <f t="shared" ref="CE27:CF27" si="145">CC27*0.05</f>
        <v>0</v>
      </c>
      <c r="CF27" s="107">
        <f t="shared" si="145"/>
        <v>0</v>
      </c>
      <c r="CG27" s="81"/>
      <c r="CH27" s="65">
        <f t="shared" ref="CH27" si="146">SUM(CI27:CO27)</f>
        <v>0</v>
      </c>
      <c r="CI27" s="74"/>
      <c r="CJ27" s="74"/>
      <c r="CK27" s="54"/>
      <c r="CL27" s="74"/>
      <c r="CM27" s="54"/>
      <c r="CN27" s="74"/>
      <c r="CO27" s="74"/>
      <c r="CP27" s="90"/>
      <c r="CQ27" s="68">
        <v>0</v>
      </c>
      <c r="CR27" s="69">
        <f t="shared" ref="CR27" si="147">SUM(AO27,AQ27,F27,P27,BS27,AM27,AA27,AE27,J27,AI27,V27,BA27,BE27,CE27,AW27,CA27,BW27)</f>
        <v>0</v>
      </c>
      <c r="CS27" s="69">
        <f t="shared" si="37"/>
        <v>0</v>
      </c>
      <c r="CT27" s="70">
        <f t="shared" ref="CT27" si="148">(((CR27*$A$2)+(CS27*$A$3))*0.6)+((BJ27*$A$3)*0.75)</f>
        <v>0</v>
      </c>
      <c r="CU27" s="70">
        <f t="shared" ref="CU27" si="149">((CR27*$A$2)+(CS27*$A$3))*0.4+((BJ27*$A$3)*0.25)</f>
        <v>0</v>
      </c>
      <c r="CV27" s="70">
        <f t="shared" ref="CV27" si="150">CT27-CH27</f>
        <v>0</v>
      </c>
      <c r="CW27" s="55"/>
      <c r="CX27" s="118"/>
    </row>
    <row r="28" spans="1:102">
      <c r="A28" s="18"/>
      <c r="B28" s="94"/>
      <c r="C28" s="92"/>
      <c r="D28" s="102">
        <v>0</v>
      </c>
      <c r="E28" s="102">
        <v>0</v>
      </c>
      <c r="F28" s="98">
        <f t="shared" si="118"/>
        <v>0</v>
      </c>
      <c r="G28" s="98">
        <f t="shared" si="118"/>
        <v>0</v>
      </c>
      <c r="H28" s="110"/>
      <c r="I28" s="110"/>
      <c r="J28" s="98">
        <f t="shared" si="3"/>
        <v>0</v>
      </c>
      <c r="K28" s="98">
        <f t="shared" si="4"/>
        <v>0</v>
      </c>
      <c r="L28" s="103">
        <v>0</v>
      </c>
      <c r="M28" s="98">
        <f t="shared" si="5"/>
        <v>0</v>
      </c>
      <c r="N28" s="98"/>
      <c r="O28" s="98"/>
      <c r="P28" s="98">
        <f t="shared" si="6"/>
        <v>0</v>
      </c>
      <c r="Q28" s="98">
        <f t="shared" si="7"/>
        <v>0</v>
      </c>
      <c r="R28" s="103">
        <v>0</v>
      </c>
      <c r="S28" s="98">
        <f t="shared" si="8"/>
        <v>0</v>
      </c>
      <c r="T28" s="108">
        <v>0</v>
      </c>
      <c r="U28" s="99">
        <v>0</v>
      </c>
      <c r="V28" s="98">
        <f t="shared" si="9"/>
        <v>0</v>
      </c>
      <c r="W28" s="98">
        <f t="shared" si="10"/>
        <v>0</v>
      </c>
      <c r="X28" s="120">
        <v>0</v>
      </c>
      <c r="Y28" s="120">
        <v>0</v>
      </c>
      <c r="Z28" s="110"/>
      <c r="AA28" s="121">
        <f t="shared" si="11"/>
        <v>0</v>
      </c>
      <c r="AB28" s="121">
        <f t="shared" si="12"/>
        <v>0</v>
      </c>
      <c r="AC28" s="110"/>
      <c r="AD28" s="110"/>
      <c r="AE28" s="121">
        <f t="shared" si="13"/>
        <v>0</v>
      </c>
      <c r="AF28" s="121">
        <f t="shared" si="13"/>
        <v>0</v>
      </c>
      <c r="AG28" s="98">
        <v>0</v>
      </c>
      <c r="AH28" s="98">
        <v>0</v>
      </c>
      <c r="AI28" s="98">
        <f t="shared" si="14"/>
        <v>0</v>
      </c>
      <c r="AJ28" s="98">
        <f t="shared" si="14"/>
        <v>0</v>
      </c>
      <c r="AK28" s="103"/>
      <c r="AL28" s="98"/>
      <c r="AM28" s="98">
        <f t="shared" si="15"/>
        <v>0</v>
      </c>
      <c r="AN28" s="98">
        <f t="shared" si="16"/>
        <v>0</v>
      </c>
      <c r="AO28" s="98"/>
      <c r="AP28" s="98"/>
      <c r="AQ28" s="131"/>
      <c r="AR28" s="131"/>
      <c r="AS28" s="99"/>
      <c r="AT28" s="98">
        <f t="shared" si="17"/>
        <v>0</v>
      </c>
      <c r="AU28" s="99"/>
      <c r="AV28" s="149">
        <f t="shared" si="18"/>
        <v>0</v>
      </c>
      <c r="AW28" s="99">
        <v>0</v>
      </c>
      <c r="AX28" s="99">
        <v>0</v>
      </c>
      <c r="AY28" s="101"/>
      <c r="AZ28" s="98">
        <f t="shared" si="19"/>
        <v>0</v>
      </c>
      <c r="BA28" s="98">
        <v>0</v>
      </c>
      <c r="BB28" s="98"/>
      <c r="BC28" s="99"/>
      <c r="BD28" s="99"/>
      <c r="BE28" s="98">
        <f t="shared" si="20"/>
        <v>0</v>
      </c>
      <c r="BF28" s="98">
        <f t="shared" si="21"/>
        <v>0</v>
      </c>
      <c r="BG28" s="99"/>
      <c r="BH28" s="99"/>
      <c r="BI28" s="98">
        <f t="shared" si="22"/>
        <v>0</v>
      </c>
      <c r="BJ28" s="98">
        <f t="shared" si="23"/>
        <v>0</v>
      </c>
      <c r="BK28" s="100"/>
      <c r="BL28" s="100"/>
      <c r="BM28" s="98"/>
      <c r="BN28" s="98">
        <f t="shared" si="24"/>
        <v>0</v>
      </c>
      <c r="BO28" s="105">
        <v>0</v>
      </c>
      <c r="BP28" s="149">
        <f t="shared" si="25"/>
        <v>0</v>
      </c>
      <c r="BQ28" s="112"/>
      <c r="BR28" s="112"/>
      <c r="BS28" s="104">
        <f t="shared" si="26"/>
        <v>0</v>
      </c>
      <c r="BT28" s="104">
        <f t="shared" si="27"/>
        <v>0</v>
      </c>
      <c r="BU28" s="105">
        <v>0</v>
      </c>
      <c r="BV28" s="105">
        <v>0</v>
      </c>
      <c r="BW28" s="142">
        <f t="shared" si="28"/>
        <v>0</v>
      </c>
      <c r="BX28" s="142">
        <f t="shared" si="29"/>
        <v>0</v>
      </c>
      <c r="BY28" s="110"/>
      <c r="BZ28" s="110"/>
      <c r="CA28" s="142">
        <f t="shared" si="30"/>
        <v>0</v>
      </c>
      <c r="CB28" s="142">
        <f t="shared" si="30"/>
        <v>0</v>
      </c>
      <c r="CC28" s="106"/>
      <c r="CD28" s="106"/>
      <c r="CE28" s="98">
        <f t="shared" si="31"/>
        <v>0</v>
      </c>
      <c r="CF28" s="107">
        <f t="shared" si="31"/>
        <v>0</v>
      </c>
      <c r="CG28" s="81"/>
      <c r="CH28" s="65">
        <f t="shared" si="32"/>
        <v>0</v>
      </c>
      <c r="CI28" s="74"/>
      <c r="CJ28" s="74"/>
      <c r="CK28" s="54"/>
      <c r="CL28" s="74"/>
      <c r="CM28" s="54"/>
      <c r="CN28" s="74"/>
      <c r="CO28" s="74"/>
      <c r="CP28" s="90"/>
      <c r="CQ28" s="68">
        <v>0</v>
      </c>
      <c r="CR28" s="69">
        <f t="shared" si="33"/>
        <v>0</v>
      </c>
      <c r="CS28" s="69">
        <f t="shared" si="37"/>
        <v>0</v>
      </c>
      <c r="CT28" s="70">
        <f t="shared" si="0"/>
        <v>0</v>
      </c>
      <c r="CU28" s="70">
        <f t="shared" si="1"/>
        <v>0</v>
      </c>
      <c r="CV28" s="70">
        <f t="shared" si="35"/>
        <v>0</v>
      </c>
      <c r="CW28" s="55"/>
      <c r="CX28" s="118"/>
    </row>
    <row r="29" spans="1:102" s="5" customFormat="1" ht="44.25" customHeight="1">
      <c r="A29" s="19"/>
      <c r="B29" s="38"/>
      <c r="C29" s="20" t="s">
        <v>172</v>
      </c>
      <c r="D29" s="77">
        <f t="shared" ref="D29:BO29" si="151">SUM(D7:D28)</f>
        <v>44.699999999999996</v>
      </c>
      <c r="E29" s="77">
        <f t="shared" si="151"/>
        <v>199.89999999999998</v>
      </c>
      <c r="F29" s="77">
        <f t="shared" si="151"/>
        <v>26.82</v>
      </c>
      <c r="G29" s="77">
        <f t="shared" si="151"/>
        <v>119.94</v>
      </c>
      <c r="H29" s="77">
        <f t="shared" si="151"/>
        <v>15</v>
      </c>
      <c r="I29" s="77">
        <f t="shared" si="151"/>
        <v>10</v>
      </c>
      <c r="J29" s="77">
        <f t="shared" si="151"/>
        <v>13.104000000000003</v>
      </c>
      <c r="K29" s="77">
        <f t="shared" si="151"/>
        <v>8.7360000000000024</v>
      </c>
      <c r="L29" s="77">
        <f t="shared" si="151"/>
        <v>564.15</v>
      </c>
      <c r="M29" s="77">
        <f t="shared" si="151"/>
        <v>578.71080000000006</v>
      </c>
      <c r="N29" s="77">
        <f t="shared" si="151"/>
        <v>55.069999999999993</v>
      </c>
      <c r="O29" s="77">
        <f t="shared" si="151"/>
        <v>98.509999999999991</v>
      </c>
      <c r="P29" s="77">
        <f t="shared" si="151"/>
        <v>61.678400000000003</v>
      </c>
      <c r="Q29" s="77">
        <f t="shared" si="151"/>
        <v>110.33120000000001</v>
      </c>
      <c r="R29" s="77">
        <f t="shared" si="151"/>
        <v>1356.8200000000002</v>
      </c>
      <c r="S29" s="77">
        <f t="shared" si="151"/>
        <v>1519.6383999999998</v>
      </c>
      <c r="T29" s="77">
        <f t="shared" si="151"/>
        <v>171.73</v>
      </c>
      <c r="U29" s="77">
        <f t="shared" si="151"/>
        <v>137.51999999999998</v>
      </c>
      <c r="V29" s="77">
        <f t="shared" si="151"/>
        <v>192.33760000000007</v>
      </c>
      <c r="W29" s="77">
        <f t="shared" si="151"/>
        <v>154.02239999999998</v>
      </c>
      <c r="X29" s="77">
        <f t="shared" si="151"/>
        <v>527</v>
      </c>
      <c r="Y29" s="77">
        <f t="shared" si="151"/>
        <v>157</v>
      </c>
      <c r="Z29" s="77">
        <f t="shared" si="151"/>
        <v>0</v>
      </c>
      <c r="AA29" s="77">
        <f t="shared" si="151"/>
        <v>395.25</v>
      </c>
      <c r="AB29" s="77">
        <f t="shared" si="151"/>
        <v>117.75</v>
      </c>
      <c r="AC29" s="77">
        <f t="shared" si="151"/>
        <v>0</v>
      </c>
      <c r="AD29" s="77">
        <f t="shared" si="151"/>
        <v>0</v>
      </c>
      <c r="AE29" s="77">
        <f t="shared" si="151"/>
        <v>0</v>
      </c>
      <c r="AF29" s="77">
        <f t="shared" si="151"/>
        <v>0</v>
      </c>
      <c r="AG29" s="77">
        <f t="shared" si="151"/>
        <v>0</v>
      </c>
      <c r="AH29" s="77">
        <f t="shared" si="151"/>
        <v>0</v>
      </c>
      <c r="AI29" s="77">
        <f t="shared" si="151"/>
        <v>0</v>
      </c>
      <c r="AJ29" s="77">
        <f t="shared" si="151"/>
        <v>0</v>
      </c>
      <c r="AK29" s="77">
        <f t="shared" si="151"/>
        <v>1323.3399999999997</v>
      </c>
      <c r="AL29" s="77">
        <f t="shared" si="151"/>
        <v>661.94</v>
      </c>
      <c r="AM29" s="77">
        <f t="shared" si="151"/>
        <v>1482.1408000000001</v>
      </c>
      <c r="AN29" s="77">
        <f t="shared" si="151"/>
        <v>741.37279999999998</v>
      </c>
      <c r="AO29" s="77">
        <f t="shared" si="151"/>
        <v>0</v>
      </c>
      <c r="AP29" s="77">
        <f t="shared" si="151"/>
        <v>0</v>
      </c>
      <c r="AQ29" s="77">
        <f t="shared" si="151"/>
        <v>147</v>
      </c>
      <c r="AR29" s="77">
        <f t="shared" si="151"/>
        <v>0</v>
      </c>
      <c r="AS29" s="77">
        <f t="shared" si="151"/>
        <v>0</v>
      </c>
      <c r="AT29" s="77">
        <f t="shared" si="151"/>
        <v>0</v>
      </c>
      <c r="AU29" s="77">
        <f t="shared" si="151"/>
        <v>159.30000000000001</v>
      </c>
      <c r="AV29" s="77">
        <f t="shared" si="151"/>
        <v>159.30000000000001</v>
      </c>
      <c r="AW29" s="77">
        <f t="shared" si="151"/>
        <v>517.95000000000005</v>
      </c>
      <c r="AX29" s="77">
        <f t="shared" si="151"/>
        <v>369.63</v>
      </c>
      <c r="AY29" s="77">
        <f t="shared" si="151"/>
        <v>0</v>
      </c>
      <c r="AZ29" s="77">
        <f t="shared" si="151"/>
        <v>0</v>
      </c>
      <c r="BA29" s="77">
        <f t="shared" si="151"/>
        <v>72.94</v>
      </c>
      <c r="BB29" s="77">
        <f t="shared" si="151"/>
        <v>45.05</v>
      </c>
      <c r="BC29" s="77">
        <f t="shared" si="151"/>
        <v>1.5</v>
      </c>
      <c r="BD29" s="77">
        <f t="shared" si="151"/>
        <v>0</v>
      </c>
      <c r="BE29" s="77">
        <f t="shared" si="151"/>
        <v>1.1903999999999999</v>
      </c>
      <c r="BF29" s="77">
        <f t="shared" si="151"/>
        <v>0</v>
      </c>
      <c r="BG29" s="77">
        <f t="shared" si="151"/>
        <v>1054.3400000000001</v>
      </c>
      <c r="BH29" s="77">
        <f t="shared" si="151"/>
        <v>71.94</v>
      </c>
      <c r="BI29" s="77">
        <f t="shared" si="151"/>
        <v>1180.8608000000002</v>
      </c>
      <c r="BJ29" s="77">
        <f t="shared" si="151"/>
        <v>80.572800000000001</v>
      </c>
      <c r="BK29" s="77">
        <f t="shared" si="151"/>
        <v>0</v>
      </c>
      <c r="BL29" s="77">
        <f t="shared" si="151"/>
        <v>0</v>
      </c>
      <c r="BM29" s="77">
        <f t="shared" si="151"/>
        <v>333.55</v>
      </c>
      <c r="BN29" s="77">
        <f t="shared" si="151"/>
        <v>313.80384000000004</v>
      </c>
      <c r="BO29" s="77">
        <f t="shared" si="151"/>
        <v>986.19</v>
      </c>
      <c r="BP29" s="77">
        <f t="shared" ref="BP29:CP29" si="152">SUM(BP7:BP28)</f>
        <v>1104.5328</v>
      </c>
      <c r="BQ29" s="114">
        <f t="shared" si="152"/>
        <v>0</v>
      </c>
      <c r="BR29" s="77">
        <f t="shared" si="152"/>
        <v>0</v>
      </c>
      <c r="BS29" s="77">
        <f t="shared" si="152"/>
        <v>0</v>
      </c>
      <c r="BT29" s="77">
        <f t="shared" si="152"/>
        <v>0</v>
      </c>
      <c r="BU29" s="77">
        <f t="shared" si="152"/>
        <v>100.48</v>
      </c>
      <c r="BV29" s="77">
        <f t="shared" si="152"/>
        <v>28.49</v>
      </c>
      <c r="BW29" s="77">
        <f t="shared" si="152"/>
        <v>132.6336</v>
      </c>
      <c r="BX29" s="77">
        <f t="shared" si="152"/>
        <v>36.467199999999998</v>
      </c>
      <c r="BY29" s="77">
        <f t="shared" si="152"/>
        <v>178.74</v>
      </c>
      <c r="BZ29" s="77">
        <f t="shared" si="152"/>
        <v>92</v>
      </c>
      <c r="CA29" s="77">
        <f t="shared" si="152"/>
        <v>89.37</v>
      </c>
      <c r="CB29" s="77">
        <f t="shared" si="152"/>
        <v>46</v>
      </c>
      <c r="CC29" s="77">
        <f t="shared" si="152"/>
        <v>1501</v>
      </c>
      <c r="CD29" s="77">
        <f t="shared" si="152"/>
        <v>0</v>
      </c>
      <c r="CE29" s="77">
        <f t="shared" si="152"/>
        <v>75.05</v>
      </c>
      <c r="CF29" s="77">
        <f t="shared" si="152"/>
        <v>0</v>
      </c>
      <c r="CG29" s="77">
        <f t="shared" si="152"/>
        <v>0</v>
      </c>
      <c r="CH29" s="77">
        <f t="shared" si="152"/>
        <v>13110000</v>
      </c>
      <c r="CI29" s="77">
        <f t="shared" si="152"/>
        <v>0</v>
      </c>
      <c r="CJ29" s="77">
        <f t="shared" si="152"/>
        <v>0</v>
      </c>
      <c r="CK29" s="77">
        <f t="shared" si="152"/>
        <v>13110000</v>
      </c>
      <c r="CL29" s="77">
        <f t="shared" si="152"/>
        <v>0</v>
      </c>
      <c r="CM29" s="77">
        <f t="shared" si="152"/>
        <v>0</v>
      </c>
      <c r="CN29" s="77">
        <f t="shared" si="152"/>
        <v>0</v>
      </c>
      <c r="CO29" s="77">
        <f t="shared" si="152"/>
        <v>0</v>
      </c>
      <c r="CP29" s="77">
        <f t="shared" si="152"/>
        <v>0</v>
      </c>
      <c r="CR29" s="5">
        <f>SUM(CR7:CR28)</f>
        <v>3207.4648000000002</v>
      </c>
      <c r="CS29" s="5">
        <f>SUM(CS7:CS28)</f>
        <v>6606.14624</v>
      </c>
      <c r="CT29" s="6">
        <f>SUM(CT7:CT28)</f>
        <v>21436627.107455999</v>
      </c>
      <c r="CU29" s="6">
        <f>SUM(CU7:CU28)</f>
        <v>13826244.098304003</v>
      </c>
      <c r="CV29" s="5">
        <f>SUM(CV7:CV28)</f>
        <v>8326627.1074560015</v>
      </c>
      <c r="CW29" s="56" t="s">
        <v>173</v>
      </c>
      <c r="CX29" s="57">
        <f>SUM(CX6:CX28)</f>
        <v>8966959</v>
      </c>
    </row>
    <row r="30" spans="1:102" ht="26.25">
      <c r="B30" s="39"/>
      <c r="CW30" s="58" t="s">
        <v>174</v>
      </c>
      <c r="CX30" s="47">
        <f>CU29</f>
        <v>13826244.098304003</v>
      </c>
    </row>
    <row r="31" spans="1:102" ht="28.5">
      <c r="CW31" s="59" t="s">
        <v>175</v>
      </c>
      <c r="CX31" s="76">
        <f>CX30-CX29</f>
        <v>4859285.0983040035</v>
      </c>
    </row>
    <row r="32" spans="1:102">
      <c r="B32" s="1"/>
      <c r="H32" s="10"/>
      <c r="I32" s="10"/>
      <c r="J32" s="10"/>
      <c r="K32" s="10"/>
      <c r="L32" s="88"/>
      <c r="M32" s="10"/>
      <c r="N32" s="10"/>
      <c r="O32" s="10"/>
      <c r="BT32" s="7"/>
      <c r="BX32" s="7"/>
      <c r="CB32" s="7"/>
      <c r="CC32" s="8"/>
      <c r="CD32" s="5"/>
      <c r="CE32" s="5"/>
    </row>
    <row r="33" spans="1:90">
      <c r="A33" s="12"/>
      <c r="B33" s="1"/>
      <c r="C33" s="40"/>
      <c r="D33" s="40"/>
      <c r="E33" s="40"/>
      <c r="F33" s="40"/>
      <c r="G33" s="40"/>
      <c r="H33" s="40"/>
    </row>
    <row r="34" spans="1:90" ht="52.5" customHeight="1">
      <c r="A34" s="12"/>
      <c r="B34" s="1"/>
      <c r="C34" s="40"/>
      <c r="D34" s="13"/>
      <c r="E34" s="40"/>
      <c r="F34" s="41"/>
      <c r="G34" s="42"/>
      <c r="H34" s="40"/>
      <c r="V34" s="10"/>
      <c r="W34" s="10"/>
      <c r="X34" s="10"/>
      <c r="Y34" s="10"/>
      <c r="Z34" s="10"/>
      <c r="AA34" s="10"/>
      <c r="AB34" s="10"/>
      <c r="AC34" s="10"/>
      <c r="AD34" s="10"/>
    </row>
    <row r="35" spans="1:90">
      <c r="A35" s="12"/>
      <c r="B35" s="1"/>
      <c r="C35" s="40"/>
      <c r="D35" s="13"/>
      <c r="E35" s="40"/>
      <c r="F35" s="42"/>
      <c r="G35" s="42"/>
      <c r="H35" s="40"/>
      <c r="Q35" s="40"/>
      <c r="R35" s="40"/>
      <c r="S35" s="40"/>
      <c r="T35" s="40"/>
      <c r="U35" s="40"/>
      <c r="V35" s="40"/>
      <c r="CL35" s="1">
        <v>2</v>
      </c>
    </row>
    <row r="36" spans="1:90">
      <c r="A36" s="12"/>
      <c r="B36" s="1"/>
      <c r="C36" s="40"/>
      <c r="D36" s="13"/>
      <c r="E36" s="40"/>
      <c r="F36" s="42"/>
      <c r="G36" s="42"/>
      <c r="H36" s="40"/>
      <c r="Q36" s="40"/>
      <c r="R36" s="13"/>
      <c r="S36" s="40"/>
      <c r="T36" s="41"/>
      <c r="U36" s="42"/>
      <c r="V36" s="40"/>
    </row>
    <row r="37" spans="1:90">
      <c r="A37" s="12"/>
      <c r="B37" s="1"/>
      <c r="C37" s="40"/>
      <c r="D37" s="40"/>
      <c r="E37" s="40"/>
      <c r="F37" s="40"/>
      <c r="G37" s="40"/>
      <c r="H37" s="40"/>
      <c r="Q37" s="40"/>
      <c r="R37" s="13"/>
      <c r="S37" s="40"/>
      <c r="T37" s="42"/>
      <c r="U37" s="42"/>
      <c r="V37" s="40"/>
    </row>
    <row r="38" spans="1:90" ht="20.25" customHeight="1">
      <c r="A38" s="12"/>
      <c r="B38" s="1"/>
      <c r="C38" s="40"/>
      <c r="D38" s="14"/>
      <c r="E38" s="40"/>
      <c r="F38" s="42"/>
      <c r="G38" s="42"/>
      <c r="H38" s="40"/>
      <c r="Q38" s="40"/>
      <c r="R38" s="13"/>
      <c r="S38" s="40"/>
      <c r="T38" s="42"/>
      <c r="U38" s="42"/>
      <c r="V38" s="40"/>
    </row>
    <row r="39" spans="1:90" ht="18" customHeight="1">
      <c r="A39" s="12"/>
      <c r="B39" s="1"/>
      <c r="C39" s="40"/>
      <c r="D39" s="40"/>
      <c r="E39" s="40"/>
      <c r="F39" s="40"/>
      <c r="G39" s="40"/>
      <c r="H39" s="40"/>
      <c r="Q39" s="40"/>
      <c r="R39" s="40"/>
      <c r="S39" s="40"/>
      <c r="T39" s="40"/>
      <c r="U39" s="40"/>
      <c r="V39" s="40"/>
    </row>
    <row r="40" spans="1:90">
      <c r="A40" s="12"/>
      <c r="B40" s="1"/>
      <c r="C40" s="40"/>
      <c r="D40" s="40"/>
      <c r="E40" s="40"/>
      <c r="F40" s="40"/>
      <c r="G40" s="40"/>
      <c r="H40" s="40"/>
      <c r="Q40" s="40"/>
      <c r="R40" s="14"/>
      <c r="S40" s="40"/>
      <c r="T40" s="42"/>
      <c r="U40" s="42"/>
      <c r="V40" s="40"/>
    </row>
    <row r="41" spans="1:90">
      <c r="A41" s="12"/>
      <c r="B41" s="1"/>
      <c r="Q41" s="40"/>
      <c r="R41" s="40"/>
      <c r="S41" s="40"/>
      <c r="T41" s="40"/>
      <c r="U41" s="40"/>
      <c r="V41" s="40"/>
    </row>
    <row r="42" spans="1:90">
      <c r="A42" s="12"/>
      <c r="B42" s="1"/>
      <c r="Q42" s="40"/>
      <c r="R42" s="40"/>
      <c r="S42" s="40"/>
      <c r="T42" s="40"/>
      <c r="U42" s="40"/>
      <c r="V42" s="40"/>
    </row>
    <row r="43" spans="1:90">
      <c r="A43" s="12"/>
      <c r="B43" s="1"/>
    </row>
    <row r="44" spans="1:90">
      <c r="A44" s="12"/>
      <c r="B44" s="1"/>
    </row>
    <row r="45" spans="1:90" ht="21" customHeight="1">
      <c r="A45" s="12"/>
      <c r="B45" s="1"/>
    </row>
    <row r="46" spans="1:90">
      <c r="A46" s="12"/>
      <c r="B46" s="1"/>
    </row>
    <row r="47" spans="1:90" ht="20.25" customHeight="1">
      <c r="A47" s="12"/>
      <c r="B47" s="1"/>
    </row>
    <row r="48" spans="1:90">
      <c r="B48" s="1"/>
      <c r="H48" s="10"/>
      <c r="I48" s="10"/>
      <c r="J48" s="10"/>
      <c r="K48" s="10"/>
      <c r="L48" s="10"/>
      <c r="M48" s="10"/>
      <c r="N48" s="10"/>
      <c r="O48" s="10"/>
    </row>
    <row r="49" spans="1:11">
      <c r="B49" s="1"/>
      <c r="C49" s="40"/>
      <c r="D49" s="40"/>
      <c r="E49" s="40"/>
      <c r="F49" s="40"/>
      <c r="G49" s="40"/>
      <c r="H49" s="40"/>
    </row>
    <row r="50" spans="1:11">
      <c r="B50" s="1"/>
      <c r="C50" s="40"/>
      <c r="D50" s="13"/>
      <c r="E50" s="40"/>
      <c r="F50" s="41"/>
      <c r="G50" s="42"/>
      <c r="H50" s="40"/>
    </row>
    <row r="51" spans="1:11">
      <c r="B51" s="1"/>
      <c r="C51" s="40"/>
      <c r="D51" s="13"/>
      <c r="E51" s="40"/>
      <c r="F51" s="42"/>
      <c r="G51" s="42"/>
      <c r="H51" s="40"/>
    </row>
    <row r="52" spans="1:11">
      <c r="B52" s="1"/>
      <c r="C52" s="40"/>
      <c r="D52" s="13"/>
      <c r="E52" s="40"/>
      <c r="F52" s="42"/>
      <c r="G52" s="42"/>
      <c r="H52" s="40"/>
    </row>
    <row r="53" spans="1:11" ht="21.75" customHeight="1">
      <c r="B53" s="1"/>
      <c r="C53" s="40"/>
      <c r="D53" s="40"/>
      <c r="E53" s="40"/>
      <c r="F53" s="40"/>
      <c r="G53" s="40"/>
      <c r="H53" s="40"/>
    </row>
    <row r="54" spans="1:11" ht="21.75" customHeight="1">
      <c r="B54" s="1"/>
      <c r="C54" s="40"/>
      <c r="D54" s="14"/>
      <c r="E54" s="40"/>
      <c r="F54" s="42"/>
      <c r="G54" s="42"/>
      <c r="H54" s="40"/>
    </row>
    <row r="55" spans="1:11" ht="21.75" customHeight="1">
      <c r="B55" s="1"/>
    </row>
    <row r="56" spans="1:11" ht="21.75" customHeight="1">
      <c r="B56" s="1"/>
    </row>
    <row r="57" spans="1:11" ht="21.75" customHeight="1">
      <c r="B57" s="1"/>
    </row>
    <row r="58" spans="1:11" ht="21.75" customHeight="1">
      <c r="B58" s="1"/>
    </row>
    <row r="59" spans="1:11" ht="21.75" customHeight="1">
      <c r="B59" s="1"/>
    </row>
    <row r="60" spans="1:11" ht="21.75" customHeight="1">
      <c r="B60" s="1"/>
    </row>
    <row r="61" spans="1:11" ht="21.75" customHeight="1">
      <c r="B61" s="1"/>
    </row>
    <row r="62" spans="1:11" ht="21.75" customHeight="1">
      <c r="A62" s="12"/>
      <c r="B62" s="1"/>
    </row>
    <row r="63" spans="1:11" ht="21.75" customHeight="1">
      <c r="A63" s="12"/>
      <c r="B63" s="1"/>
    </row>
    <row r="64" spans="1:11" ht="21.75" customHeight="1">
      <c r="B64" s="1"/>
      <c r="K64" s="11"/>
    </row>
    <row r="65" spans="2:35" ht="21.75" customHeight="1">
      <c r="B65" s="1"/>
      <c r="K65" s="11"/>
    </row>
    <row r="66" spans="2:35">
      <c r="B66" s="1"/>
      <c r="K66" s="11"/>
    </row>
    <row r="67" spans="2:35">
      <c r="B67" s="1"/>
      <c r="K67" s="11"/>
    </row>
    <row r="68" spans="2:35">
      <c r="B68" s="1"/>
      <c r="K68" s="11"/>
    </row>
    <row r="69" spans="2:35">
      <c r="B69" s="1"/>
      <c r="K69" s="16"/>
    </row>
    <row r="70" spans="2:35">
      <c r="B70" s="1"/>
      <c r="K70" s="12"/>
    </row>
    <row r="71" spans="2:35">
      <c r="B71" s="1"/>
    </row>
    <row r="72" spans="2:35">
      <c r="B72" s="1"/>
    </row>
    <row r="73" spans="2:35">
      <c r="B73" s="9"/>
      <c r="C73" s="9"/>
      <c r="D73" s="9"/>
      <c r="E73" s="9"/>
      <c r="F73" s="9"/>
      <c r="G73" s="9"/>
      <c r="H73" s="9"/>
      <c r="I73" s="9"/>
      <c r="J73" s="9"/>
    </row>
    <row r="74" spans="2:35">
      <c r="B74" s="1"/>
    </row>
    <row r="75" spans="2:35" ht="46.5" customHeight="1">
      <c r="B75" s="1"/>
      <c r="K75" s="9"/>
      <c r="U75" s="9"/>
      <c r="V75" s="9"/>
      <c r="W75" s="9"/>
      <c r="X75" s="9"/>
      <c r="Y75" s="9"/>
      <c r="Z75" s="9"/>
      <c r="AA75" s="9"/>
      <c r="AB75" s="9"/>
      <c r="AC75" s="9"/>
      <c r="AD75" s="9"/>
      <c r="AI75" s="17"/>
    </row>
    <row r="76" spans="2:35" ht="21.75" customHeight="1">
      <c r="B76" s="1"/>
    </row>
    <row r="77" spans="2:35">
      <c r="B77" s="1"/>
      <c r="M77" s="9"/>
      <c r="N77" s="9"/>
      <c r="O77" s="9"/>
      <c r="P77" s="9"/>
      <c r="Q77" s="9"/>
      <c r="R77" s="9"/>
      <c r="S77" s="9"/>
      <c r="T77" s="9"/>
    </row>
    <row r="78" spans="2:35">
      <c r="B78" s="1"/>
    </row>
    <row r="79" spans="2:35">
      <c r="B79" s="1"/>
    </row>
    <row r="80" spans="2:35">
      <c r="B80" s="1"/>
    </row>
    <row r="81" spans="2:12">
      <c r="B81" s="1"/>
    </row>
    <row r="82" spans="2:12">
      <c r="B82" s="1"/>
    </row>
    <row r="83" spans="2:12">
      <c r="B83" s="1"/>
    </row>
    <row r="84" spans="2:12">
      <c r="B84" s="1"/>
    </row>
    <row r="85" spans="2:12">
      <c r="B85" s="1"/>
    </row>
    <row r="86" spans="2:12">
      <c r="B86" s="1"/>
    </row>
    <row r="87" spans="2:12">
      <c r="B87" s="1"/>
    </row>
    <row r="88" spans="2:12">
      <c r="B88" s="1"/>
    </row>
    <row r="89" spans="2:12">
      <c r="B89" s="1"/>
    </row>
    <row r="90" spans="2:12">
      <c r="B90" s="1"/>
    </row>
    <row r="91" spans="2:12">
      <c r="B91" s="1"/>
    </row>
    <row r="92" spans="2:12">
      <c r="B92" s="1"/>
    </row>
    <row r="93" spans="2:12">
      <c r="B93" s="1"/>
    </row>
    <row r="94" spans="2:12">
      <c r="B94" s="1"/>
    </row>
    <row r="95" spans="2:12">
      <c r="B95" s="1"/>
      <c r="D95" s="9"/>
      <c r="E95" s="9"/>
      <c r="F95" s="9"/>
      <c r="G95" s="9"/>
      <c r="H95" s="9"/>
      <c r="I95" s="9"/>
      <c r="J95" s="9"/>
      <c r="K95" s="9"/>
      <c r="L95" s="9"/>
    </row>
    <row r="96" spans="2:12">
      <c r="B96" s="1"/>
    </row>
    <row r="97" spans="1:3">
      <c r="A97" s="9"/>
      <c r="B97" s="9"/>
      <c r="C97" s="9"/>
    </row>
    <row r="98" spans="1:3">
      <c r="B98" s="1"/>
    </row>
    <row r="99" spans="1:3">
      <c r="B99" s="1"/>
    </row>
    <row r="100" spans="1:3">
      <c r="B100" s="1"/>
    </row>
    <row r="101" spans="1:3">
      <c r="B101" s="1"/>
    </row>
    <row r="102" spans="1:3">
      <c r="B102" s="1"/>
    </row>
    <row r="103" spans="1:3">
      <c r="B103" s="1"/>
    </row>
    <row r="104" spans="1:3">
      <c r="B104" s="1"/>
    </row>
    <row r="105" spans="1:3">
      <c r="B105" s="1"/>
    </row>
    <row r="106" spans="1:3">
      <c r="B106" s="1"/>
    </row>
    <row r="107" spans="1:3">
      <c r="B107" s="1"/>
    </row>
    <row r="108" spans="1:3">
      <c r="B108" s="1"/>
    </row>
    <row r="109" spans="1:3">
      <c r="B109" s="1"/>
    </row>
    <row r="110" spans="1:3">
      <c r="B110" s="1"/>
    </row>
    <row r="111" spans="1:3">
      <c r="B111" s="1"/>
    </row>
    <row r="112" spans="1:3">
      <c r="B112" s="1"/>
    </row>
    <row r="113" spans="1:12">
      <c r="B113" s="1"/>
    </row>
    <row r="114" spans="1:12">
      <c r="B114" s="1"/>
    </row>
    <row r="115" spans="1:12">
      <c r="B115" s="1"/>
    </row>
    <row r="116" spans="1:12">
      <c r="B116" s="1"/>
      <c r="D116" s="9"/>
      <c r="E116" s="9"/>
      <c r="F116" s="9"/>
      <c r="G116" s="9"/>
      <c r="H116" s="9"/>
      <c r="I116" s="9"/>
    </row>
    <row r="117" spans="1:12">
      <c r="B117" s="1"/>
      <c r="J117" s="9"/>
      <c r="K117" s="9"/>
      <c r="L117" s="9"/>
    </row>
    <row r="118" spans="1:12">
      <c r="A118" s="9"/>
      <c r="B118" s="9"/>
      <c r="C118" s="9"/>
    </row>
    <row r="119" spans="1:12">
      <c r="B119" s="1"/>
    </row>
    <row r="120" spans="1:12">
      <c r="B120" s="1"/>
    </row>
  </sheetData>
  <mergeCells count="27">
    <mergeCell ref="T5:W5"/>
    <mergeCell ref="D5:G5"/>
    <mergeCell ref="H5:K5"/>
    <mergeCell ref="L5:M5"/>
    <mergeCell ref="N5:Q5"/>
    <mergeCell ref="R5:S5"/>
    <mergeCell ref="BC5:BF5"/>
    <mergeCell ref="X5:AB5"/>
    <mergeCell ref="AC5:AF5"/>
    <mergeCell ref="AG5:AJ5"/>
    <mergeCell ref="AK5:AN5"/>
    <mergeCell ref="AO5:AP5"/>
    <mergeCell ref="AQ5:AR5"/>
    <mergeCell ref="AS5:AT5"/>
    <mergeCell ref="AU5:AV5"/>
    <mergeCell ref="AW5:AX5"/>
    <mergeCell ref="AY5:AZ5"/>
    <mergeCell ref="BA5:BB5"/>
    <mergeCell ref="BY5:CB5"/>
    <mergeCell ref="CC5:CF5"/>
    <mergeCell ref="CW5:CX5"/>
    <mergeCell ref="BG5:BJ5"/>
    <mergeCell ref="BK5:BL5"/>
    <mergeCell ref="BM5:BN5"/>
    <mergeCell ref="BO5:BP5"/>
    <mergeCell ref="BQ5:BT5"/>
    <mergeCell ref="BU5:BX5"/>
  </mergeCells>
  <conditionalFormatting sqref="CT7:CV28">
    <cfRule type="cellIs" dxfId="24" priority="28" operator="lessThan">
      <formula>0</formula>
    </cfRule>
    <cfRule type="cellIs" dxfId="23" priority="29" operator="greaterThan">
      <formula>0</formula>
    </cfRule>
  </conditionalFormatting>
  <conditionalFormatting sqref="CR7:CS28">
    <cfRule type="cellIs" dxfId="22" priority="24" operator="greaterThan">
      <formula>1000</formula>
    </cfRule>
    <cfRule type="cellIs" dxfId="21" priority="25" operator="between">
      <formula>500</formula>
      <formula>1000</formula>
    </cfRule>
    <cfRule type="cellIs" dxfId="20" priority="26" operator="between">
      <formula>300</formula>
      <formula>500</formula>
    </cfRule>
    <cfRule type="cellIs" dxfId="19" priority="27" operator="lessThan">
      <formula>300</formula>
    </cfRule>
  </conditionalFormatting>
  <conditionalFormatting sqref="AI75">
    <cfRule type="cellIs" dxfId="18" priority="23" operator="greaterThanOrEqual">
      <formula>10</formula>
    </cfRule>
  </conditionalFormatting>
  <conditionalFormatting sqref="B121:B1048576 B6 C5 B13:B54">
    <cfRule type="duplicateValues" dxfId="17" priority="22"/>
  </conditionalFormatting>
  <conditionalFormatting sqref="C13:C28">
    <cfRule type="containsText" dxfId="16" priority="21" operator="containsText" text="@">
      <formula>NOT(ISERROR(SEARCH("@",C13)))</formula>
    </cfRule>
  </conditionalFormatting>
  <conditionalFormatting sqref="B13:B28">
    <cfRule type="notContainsBlanks" dxfId="15" priority="20">
      <formula>LEN(TRIM(B13))&gt;0</formula>
    </cfRule>
  </conditionalFormatting>
  <conditionalFormatting sqref="Z7:AN7 CH6:CO7 D7:M7 P7:W7 AC8:AD8 AU7:AX7 Z8:Z11 AY8:AY11 AA8:AB12 AZ8:BF12 AE8:AJ12 B15:C15 BI7:CG7 C8:K8 CP7:CV7 CP14:XFD15 A13:C14 AM8:AP14 CP13:CX13 CY7:XFD13 AQ7:AR14 BI8:BM15 BA7:BB7 F15:Q21 A16:C21 F9:K14 M8:R9 M10:Q14 BW13:CO15 BW8:CV12 D9:E21 A22:Q23 AM15:AU23 AS8:AU14 AY13:BF15 AY16:BM23 L8:L14 Z13:AJ23 BW16:XFD23 R10:R23 S8:W23 AK8:AL23 AV8:AX23 BG7:BH15 BN8:BV23 A24:W28 Z24:XFD28">
    <cfRule type="expression" dxfId="14" priority="19">
      <formula>CELL("row")=ROW()</formula>
    </cfRule>
  </conditionalFormatting>
  <conditionalFormatting sqref="A1">
    <cfRule type="expression" dxfId="13" priority="18">
      <formula>CELL("row")=ROW()</formula>
    </cfRule>
  </conditionalFormatting>
  <conditionalFormatting sqref="C7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{ABCF42A2-1480-4F89-BA18-3BFF545C7CB8}</x14:id>
        </ext>
      </extLst>
    </cfRule>
  </conditionalFormatting>
  <conditionalFormatting sqref="AS7:AT7 AY7:AZ7 N7:O7 AO7:AP7 BC7:BF7">
    <cfRule type="expression" dxfId="12" priority="16">
      <formula>CELL("row")=ROW()</formula>
    </cfRule>
  </conditionalFormatting>
  <conditionalFormatting sqref="C35">
    <cfRule type="duplicateValues" dxfId="11" priority="15"/>
  </conditionalFormatting>
  <conditionalFormatting sqref="C35">
    <cfRule type="containsText" dxfId="10" priority="14" operator="containsText" text="@">
      <formula>NOT(ISERROR(SEARCH("@",C35)))</formula>
    </cfRule>
  </conditionalFormatting>
  <conditionalFormatting sqref="C35">
    <cfRule type="expression" dxfId="9" priority="13">
      <formula>CELL("row")=ROW()</formula>
    </cfRule>
  </conditionalFormatting>
  <conditionalFormatting sqref="C36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{0F779902-140C-4E95-A964-0923382CFBD3}</x14:id>
        </ext>
      </extLst>
    </cfRule>
  </conditionalFormatting>
  <conditionalFormatting sqref="C38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{1084B436-2180-4227-8CB4-B0041935B16E}</x14:id>
        </ext>
      </extLst>
    </cfRule>
  </conditionalFormatting>
  <conditionalFormatting sqref="C43">
    <cfRule type="containsText" dxfId="8" priority="10" operator="containsText" text="@">
      <formula>NOT(ISERROR(SEARCH("@",C43)))</formula>
    </cfRule>
  </conditionalFormatting>
  <conditionalFormatting sqref="C43">
    <cfRule type="expression" dxfId="7" priority="9">
      <formula>CELL("row")=ROW()</formula>
    </cfRule>
  </conditionalFormatting>
  <conditionalFormatting sqref="C44">
    <cfRule type="duplicateValues" dxfId="6" priority="8"/>
  </conditionalFormatting>
  <conditionalFormatting sqref="C44">
    <cfRule type="containsText" dxfId="5" priority="7" operator="containsText" text="@">
      <formula>NOT(ISERROR(SEARCH("@",C44)))</formula>
    </cfRule>
  </conditionalFormatting>
  <conditionalFormatting sqref="C44">
    <cfRule type="expression" dxfId="4" priority="6">
      <formula>CELL("row")=ROW()</formula>
    </cfRule>
  </conditionalFormatting>
  <conditionalFormatting sqref="C46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{4E35F90E-483B-4AAC-8EF7-91670261C4F2}</x14:id>
        </ext>
      </extLst>
    </cfRule>
  </conditionalFormatting>
  <conditionalFormatting sqref="C50">
    <cfRule type="duplicateValues" dxfId="3" priority="4"/>
  </conditionalFormatting>
  <conditionalFormatting sqref="C50">
    <cfRule type="containsText" dxfId="2" priority="3" operator="containsText" text="@">
      <formula>NOT(ISERROR(SEARCH("@",C50)))</formula>
    </cfRule>
  </conditionalFormatting>
  <conditionalFormatting sqref="C50">
    <cfRule type="expression" dxfId="1" priority="2">
      <formula>CELL("row")=ROW()</formula>
    </cfRule>
  </conditionalFormatting>
  <conditionalFormatting sqref="AY12 Z12 AC12:AD12">
    <cfRule type="expression" dxfId="0" priority="1">
      <formula>CELL("row")=ROW()</formula>
    </cfRule>
  </conditionalFormatting>
  <conditionalFormatting sqref="CT7:CT2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paperSize="138" scale="13" orientation="landscape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CF42A2-1480-4F89-BA18-3BFF545C7CB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0F779902-140C-4E95-A964-0923382CFB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C36</xm:sqref>
        </x14:conditionalFormatting>
        <x14:conditionalFormatting xmlns:xm="http://schemas.microsoft.com/office/excel/2006/main">
          <x14:cfRule type="dataBar" id="{1084B436-2180-4227-8CB4-B0041935B16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C38</xm:sqref>
        </x14:conditionalFormatting>
        <x14:conditionalFormatting xmlns:xm="http://schemas.microsoft.com/office/excel/2006/main">
          <x14:cfRule type="dataBar" id="{4E35F90E-483B-4AAC-8EF7-91670261C4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C46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Pablo Axel Martinez Suarez</dc:creator>
  <cp:keywords/>
  <dc:description/>
  <cp:lastModifiedBy/>
  <cp:revision/>
  <dcterms:created xsi:type="dcterms:W3CDTF">2022-01-12T19:43:36Z</dcterms:created>
  <dcterms:modified xsi:type="dcterms:W3CDTF">2025-12-03T17:25:57Z</dcterms:modified>
  <cp:category/>
  <cp:contentStatus/>
</cp:coreProperties>
</file>